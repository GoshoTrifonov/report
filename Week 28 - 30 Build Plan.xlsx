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7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7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170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60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71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61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172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167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16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73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168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163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58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64.xml" ContentType="application/vnd.openxmlformats-officedocument.spreadsheetml.revisionLog+xml"/>
  <Override PartName="/xl/revisions/revisionLog16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65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66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_4. 5 day schedule\"/>
    </mc:Choice>
  </mc:AlternateContent>
  <xr:revisionPtr revIDLastSave="0" documentId="13_ncr:81_{B5B4739E-836A-4B65-9D9F-2FEDCF79F4CD}" xr6:coauthVersionLast="47" xr6:coauthVersionMax="47" xr10:uidLastSave="{00000000-0000-0000-0000-000000000000}"/>
  <bookViews>
    <workbookView xWindow="28635" yWindow="855" windowWidth="28800" windowHeight="13560" xr2:uid="{00000000-000D-0000-FFFF-FFFF00000000}"/>
  </bookViews>
  <sheets>
    <sheet name="Database Query" sheetId="1" r:id="rId1"/>
    <sheet name="Sheet1" sheetId="2" r:id="rId2"/>
  </sheets>
  <calcPr calcId="191029"/>
  <customWorkbookViews>
    <customWorkbookView name="Zahra Haghi - Personal View" guid="{31B4C6D2-0335-443E-840F-0BE68859C862}" mergeInterval="0" personalView="1" xWindow="1909" yWindow="57" windowWidth="1920" windowHeight="904" activeSheetId="1"/>
    <customWorkbookView name="Susan Bonney - Personal View" guid="{78DC66DA-BE70-4175-B2D2-DDCFEC7F5D1E}" mergeInterval="0" personalView="1" maximized="1" xWindow="1912" yWindow="19" windowWidth="1696" windowHeight="1026" activeSheetId="1"/>
    <customWorkbookView name="Taylor Eshkakogan-Sahota - Personal View" guid="{B4D97B87-EF97-47BB-8AED-6BEC13B5929D}" mergeInterval="0" personalView="1" maximized="1" xWindow="-8" yWindow="-8" windowWidth="1936" windowHeight="1056" activeSheetId="1"/>
    <customWorkbookView name="Szilvia Koti - Personal View" guid="{5AC04785-9563-4E87-A211-A9F0B44B833C}" mergeInterval="0" personalView="1" maximized="1" xWindow="1912" yWindow="-8" windowWidth="1936" windowHeight="1048" activeSheetId="1"/>
    <customWorkbookView name="Riddhiben Patel - Personal View" guid="{8E025219-1ED0-443C-B3D2-C803CC4C7D58}" mergeInterval="0" personalView="1" maximized="1" xWindow="-8" yWindow="-8" windowWidth="1936" windowHeight="1056" activeSheetId="1"/>
    <customWorkbookView name="Paul Bradshaw - Personal View" guid="{B63A7C13-3D7C-43C1-83E0-5EC101891A9A}" mergeInterval="0" personalView="1" xWindow="15" windowWidth="1883" windowHeight="1023" activeSheetId="1"/>
    <customWorkbookView name="Shahbaaz Singh - Personal View" guid="{CE87C36A-6610-4BAA-91D3-CACA2F61657E}" mergeInterval="0" personalView="1" maximized="1" xWindow="-1688" yWindow="-8" windowWidth="1696" windowHeight="1018" activeSheetId="1"/>
    <customWorkbookView name="Michael Humber - Personal View" guid="{4805E4CC-F0DA-48EF-BB3C-6FC8381E6725}" mergeInterval="0" personalView="1" xWindow="1923" windowWidth="1920" windowHeight="1028" activeSheetId="1"/>
    <customWorkbookView name="Casey Hicks - Personal View" guid="{762CA562-56B3-4EDA-A62C-825AB49B4B24}" mergeInterval="0" personalView="1" maximized="1" xWindow="1912" yWindow="-8" windowWidth="1936" windowHeight="1056" activeSheetId="1"/>
    <customWorkbookView name="Nicole Blaire Castillo - Personal View" guid="{18C7549D-5684-4D56-9442-4D85880122F5}" mergeInterval="0" personalView="1" maximized="1" xWindow="-8" yWindow="-8" windowWidth="1936" windowHeight="1056" activeSheetId="1"/>
    <customWorkbookView name="Jennifer Dolliver - Personal View" guid="{85A59D49-6826-4D9D-864D-004AE17B1817}" mergeInterval="0" personalView="1" maximized="1" xWindow="-8" yWindow="-8" windowWidth="1936" windowHeight="1056" activeSheetId="1"/>
    <customWorkbookView name="Troy Faria - Personal View" guid="{8C6BE0E4-5BF0-46EC-835C-A13FCC94ED15}" mergeInterval="0" personalView="1" maximized="1" xWindow="-1928" yWindow="-8" windowWidth="1936" windowHeight="1056" activeSheetId="1"/>
    <customWorkbookView name="Angela Alves - Personal View" guid="{04A9B559-E089-4E44-B956-D68202AB66E0}" mergeInterval="0" personalView="1" maximized="1" xWindow="3832" yWindow="-7" windowWidth="1936" windowHeight="1048" activeSheetId="1"/>
    <customWorkbookView name="Brenda Murphy - Personal View" guid="{82E54C9D-3F8A-42DE-969A-A2E8DB66D676}" mergeInterval="0" personalView="1" xWindow="1921" yWindow="1" windowWidth="1918" windowHeight="1030" activeSheetId="1"/>
    <customWorkbookView name="Jason Forstl - Personal View" guid="{7B06D917-CD5C-4A57-82B8-7060905DC15D}" mergeInterval="0" personalView="1" maximized="1" xWindow="-8" yWindow="-8" windowWidth="1936" windowHeight="1056" activeSheetId="1"/>
    <customWorkbookView name="Pamela Boynton - Personal View" guid="{AAB7B9A4-CF23-421A-A54A-0D020AC81537}" mergeInterval="0" personalView="1" maximized="1" xWindow="-8" yWindow="-8" windowWidth="1936" windowHeight="1056" activeSheetId="1"/>
    <customWorkbookView name="Nirmal Singh - Personal View" guid="{C5A9C93B-8955-400D-A975-D1A770BB7517}" mergeInterval="0" personalView="1" maximized="1" xWindow="-8" yWindow="-8" windowWidth="1456" windowHeight="868" activeSheetId="1"/>
    <customWorkbookView name="Leigh Seymoure - Personal View" guid="{88632445-F0C1-4286-9F20-1B96C4E8571B}" mergeInterval="0" personalView="1" maximized="1" xWindow="-8" yWindow="-8" windowWidth="1936" windowHeight="1048" activeSheetId="1"/>
    <customWorkbookView name="Michael Ladouceur - Personal View" guid="{10BACC6C-BD8E-422E-A067-1B9586C4059E}" mergeInterval="0" personalView="1" maximized="1" xWindow="-8" yWindow="-8" windowWidth="1936" windowHeight="1056" activeSheetId="1"/>
    <customWorkbookView name="Brian Lambertus - Personal View" guid="{9717C610-E317-4A8E-A3DA-9B09B3F19190}" mergeInterval="0" personalView="1" maximized="1" xWindow="-8" yWindow="-8" windowWidth="1936" windowHeight="1056" activeSheetId="1"/>
    <customWorkbookView name="Richard Holmes - Personal View" guid="{F71ADF4E-7B20-46DA-AD22-B150D2D44083}" mergeInterval="0" personalView="1" maximized="1" xWindow="-8" yWindow="-8" windowWidth="1936" windowHeight="1056" activeSheetId="1"/>
    <customWorkbookView name="Chris Oliver - Personal View" guid="{A9066737-D214-4998-B3AE-C1B60D50E4FC}" mergeInterval="0" personalView="1" maximized="1" xWindow="1912" yWindow="-8" windowWidth="1936" windowHeight="1048" activeSheetId="1"/>
    <customWorkbookView name="George Trifonov - Personal View" guid="{5E43336C-C4AC-4860-9F15-9A8E94A38B84}" mergeInterval="0" personalView="1" maximized="1" xWindow="-9" yWindow="-9" windowWidth="1938" windowHeight="103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0" i="1" l="1"/>
  <c r="H169" i="1"/>
  <c r="H167" i="1"/>
  <c r="H825" i="1" l="1"/>
  <c r="L140" i="1"/>
  <c r="M140" i="1" s="1"/>
  <c r="H140" i="1"/>
</calcChain>
</file>

<file path=xl/sharedStrings.xml><?xml version="1.0" encoding="utf-8"?>
<sst xmlns="http://schemas.openxmlformats.org/spreadsheetml/2006/main" count="5724" uniqueCount="1617">
  <si>
    <t>ZONE</t>
  </si>
  <si>
    <t>RESOURCE_ID</t>
  </si>
  <si>
    <t>CREW_SIZE</t>
  </si>
  <si>
    <t>TOOL_ID</t>
  </si>
  <si>
    <t>WORKORDER</t>
  </si>
  <si>
    <t>PART</t>
  </si>
  <si>
    <t>PART_DESCR</t>
  </si>
  <si>
    <t>LABR_HRS</t>
  </si>
  <si>
    <t>RUN_HRS</t>
  </si>
  <si>
    <t>START_QTY</t>
  </si>
  <si>
    <t>COMP_QTY</t>
  </si>
  <si>
    <t>START_DATE</t>
  </si>
  <si>
    <t>FINISH_DATE</t>
  </si>
  <si>
    <t>QA</t>
  </si>
  <si>
    <t>P/V/D</t>
  </si>
  <si>
    <t>Lot #</t>
  </si>
  <si>
    <t>Expiry</t>
  </si>
  <si>
    <t>Kitted</t>
  </si>
  <si>
    <t>Comments</t>
  </si>
  <si>
    <t>WO_LOT</t>
  </si>
  <si>
    <t>WO_SUB</t>
  </si>
  <si>
    <t>Zone 1</t>
  </si>
  <si>
    <t>W1021924/1</t>
  </si>
  <si>
    <t>SMI1/73-0211</t>
  </si>
  <si>
    <t>#11 Disp Scalpel Non-Sterile</t>
  </si>
  <si>
    <t>1</t>
  </si>
  <si>
    <t>0</t>
  </si>
  <si>
    <t>Blade Coat</t>
  </si>
  <si>
    <t>W1022666/1</t>
  </si>
  <si>
    <t>SMI3/73-0022-0101</t>
  </si>
  <si>
    <t>#22PERS SS SURG BLD Polymer-Coated</t>
  </si>
  <si>
    <t>W1022667/1</t>
  </si>
  <si>
    <t>W1026895/1</t>
  </si>
  <si>
    <t>SMI3/73-0020-0101</t>
  </si>
  <si>
    <t>#20PERS SS SURG BLD Polymer-Coated</t>
  </si>
  <si>
    <t>W1026896/1</t>
  </si>
  <si>
    <t>W1026897/1</t>
  </si>
  <si>
    <t>SMI3/73-0015-0101</t>
  </si>
  <si>
    <t>#15 SS SURG BLD Polymer Coated</t>
  </si>
  <si>
    <t>W1027729/1</t>
  </si>
  <si>
    <t>W1027730/1</t>
  </si>
  <si>
    <t>SMI3/73-0010R-0101</t>
  </si>
  <si>
    <t>#10R SS SURG BLD Polymer Coated</t>
  </si>
  <si>
    <t>SMI3/73-0010-0101</t>
  </si>
  <si>
    <t>#10 SS SURG BLD Polymer Coated</t>
  </si>
  <si>
    <t>SMI3/73-0011-0101</t>
  </si>
  <si>
    <t>#11 SS SURG BLD Polymer Coated</t>
  </si>
  <si>
    <t>Blade Grinder</t>
  </si>
  <si>
    <t>SMI3/73-0010-0101UC</t>
  </si>
  <si>
    <t>#10 SS SURG BLD Un-Coated</t>
  </si>
  <si>
    <t>Blade Grinder 2</t>
  </si>
  <si>
    <t>W1027733-1/1</t>
  </si>
  <si>
    <t>SMI3/73-0020-0101UC</t>
  </si>
  <si>
    <t>#20PERS SS SURG BLD Un-Coated</t>
  </si>
  <si>
    <t>W1027734-1/1</t>
  </si>
  <si>
    <t>W1027735-1/1</t>
  </si>
  <si>
    <t>W1027194-1/1</t>
  </si>
  <si>
    <t>SMI3/73-0015-0101UC</t>
  </si>
  <si>
    <t>#15 SS SURG BLD Un-Coated</t>
  </si>
  <si>
    <t>W1027195-1/1</t>
  </si>
  <si>
    <t>W1027196-1/1</t>
  </si>
  <si>
    <t>W1027197-1/1</t>
  </si>
  <si>
    <t>W1028320-1/1</t>
  </si>
  <si>
    <t>Blue Scalpel</t>
  </si>
  <si>
    <t>5</t>
  </si>
  <si>
    <t>CANICA</t>
  </si>
  <si>
    <t>W1029753/1</t>
  </si>
  <si>
    <t>SMI1/ACD-014</t>
  </si>
  <si>
    <t>Animal Set, Small</t>
  </si>
  <si>
    <t>W1000622/1</t>
  </si>
  <si>
    <t>SMI1/CWM02A</t>
  </si>
  <si>
    <t>Adhesive Skin Closure Set</t>
  </si>
  <si>
    <t>W1030003/1</t>
  </si>
  <si>
    <t>SMI1/ACD-008</t>
  </si>
  <si>
    <t>RETRACTOR TIPS, SAMPLE PACK</t>
  </si>
  <si>
    <t>W1014095/1</t>
  </si>
  <si>
    <t>SMI1/DCX20</t>
  </si>
  <si>
    <t>DYNACLEFT-BILATERAL STERILE- 7 strips/bx</t>
  </si>
  <si>
    <t>p</t>
  </si>
  <si>
    <t>W1014120/1</t>
  </si>
  <si>
    <t>SMI1/DCNE-01</t>
  </si>
  <si>
    <t>Dynacleft Nasal Elevator- 7/PKG</t>
  </si>
  <si>
    <t>CANICA GAMMA</t>
  </si>
  <si>
    <t>W1021376/1</t>
  </si>
  <si>
    <t>SMI3/SWA07</t>
  </si>
  <si>
    <t>#5 ABRA Button Tail (20/pouch)</t>
  </si>
  <si>
    <t xml:space="preserve">In inventory; </t>
  </si>
  <si>
    <t>P</t>
  </si>
  <si>
    <t>Mini Staker</t>
  </si>
  <si>
    <t>W1029868/1</t>
  </si>
  <si>
    <t>SMI1/73-1860</t>
  </si>
  <si>
    <t>LG SAFETY SCALPEL #60 Non-Sterile Disp</t>
  </si>
  <si>
    <t>W1030161/1</t>
  </si>
  <si>
    <t>SMI1/73-1822</t>
  </si>
  <si>
    <t>LG SAFETY SCALPEL #22 Non-Sterile Disp</t>
  </si>
  <si>
    <t>W1027809-5/1</t>
  </si>
  <si>
    <t>SMI1/73-0622</t>
  </si>
  <si>
    <t>LG SAFETY SCALPEL #22 Sterile Disp</t>
  </si>
  <si>
    <t>Orange Scalpel</t>
  </si>
  <si>
    <t>W1022548-1/1</t>
  </si>
  <si>
    <t>SMI1/73-0611</t>
  </si>
  <si>
    <t>#11 Safety Scalpel sterile</t>
  </si>
  <si>
    <t>W1023759-4/1</t>
  </si>
  <si>
    <t>SMI1/73-1815</t>
  </si>
  <si>
    <t>#15 Safety Scalpel Bulk Non-Sterile</t>
  </si>
  <si>
    <t>4</t>
  </si>
  <si>
    <t>W1023408-1/1</t>
  </si>
  <si>
    <t>SMI1/73-0610</t>
  </si>
  <si>
    <t>#10 Safety Scalpel sterile</t>
  </si>
  <si>
    <t>SMI1/73-1711</t>
  </si>
  <si>
    <t>#11 Non-Sterile Bulkk PPSS Scalpel 500/cs</t>
  </si>
  <si>
    <t>PPSS Pack</t>
  </si>
  <si>
    <t>W1030192/1</t>
  </si>
  <si>
    <t>SPSS # 3</t>
  </si>
  <si>
    <t>W1024626/1</t>
  </si>
  <si>
    <t>SMI1/73-8015</t>
  </si>
  <si>
    <t>SPSS Cart #15-Sterile</t>
  </si>
  <si>
    <t>Zone 2</t>
  </si>
  <si>
    <t>Capnoxygen Line</t>
  </si>
  <si>
    <t>SMI1/CO2-01-SLM</t>
  </si>
  <si>
    <t>CAPNOXYGEN MASK With Sampling Line Male</t>
  </si>
  <si>
    <t>W1024470/1</t>
  </si>
  <si>
    <t>W1028847/1</t>
  </si>
  <si>
    <t>SMI1/CO2-03-SLM</t>
  </si>
  <si>
    <t>OPHTHALMIC MASK With Sampling Line Male</t>
  </si>
  <si>
    <t>W1024471/1</t>
  </si>
  <si>
    <t>Elastic Tipper</t>
  </si>
  <si>
    <t>W1025454/1</t>
  </si>
  <si>
    <t>SMI3/2299-PT-01</t>
  </si>
  <si>
    <t>Southmedic Elastic Strap - 21"</t>
  </si>
  <si>
    <t>W1025456/1</t>
  </si>
  <si>
    <t>W1025455/1</t>
  </si>
  <si>
    <t>W1025457/1</t>
  </si>
  <si>
    <t>W1025458/1</t>
  </si>
  <si>
    <t>W1025459/1</t>
  </si>
  <si>
    <t>W1025460/1</t>
  </si>
  <si>
    <t>Face Shield</t>
  </si>
  <si>
    <t>W1023238/1</t>
  </si>
  <si>
    <t>SMI1/SMI3610</t>
  </si>
  <si>
    <t>7.5" Foam Face Shield 40/box</t>
  </si>
  <si>
    <t>W1030183/1</t>
  </si>
  <si>
    <t>Line 1</t>
  </si>
  <si>
    <t>W1030191/1</t>
  </si>
  <si>
    <t>SMI2/OM-1125-14</t>
  </si>
  <si>
    <t>OxyMask II Adult 14'</t>
  </si>
  <si>
    <t>W1029331/1</t>
  </si>
  <si>
    <t>SMI1/OHH-1025-8</t>
  </si>
  <si>
    <t>OxyMulti-Mask Adult 22mm Adapter 7'</t>
  </si>
  <si>
    <t>W1029332/1</t>
  </si>
  <si>
    <t>SMI1/OHH-10-8 (25)</t>
  </si>
  <si>
    <t>OxyMulti Mask (Japan)</t>
  </si>
  <si>
    <t>W1029328/1</t>
  </si>
  <si>
    <t>SMI1/OA-PLUS-1125-8</t>
  </si>
  <si>
    <t>OxyArm Plus Adjust Headband Diffuser 7'</t>
  </si>
  <si>
    <t>Line 2</t>
  </si>
  <si>
    <t>W1028189/1</t>
  </si>
  <si>
    <t>SMI2/OM-2125-MDT</t>
  </si>
  <si>
    <t>OxyMask Adult ETCO2 7', Microstream</t>
  </si>
  <si>
    <t>W1029603/1</t>
  </si>
  <si>
    <t>W1028860/1</t>
  </si>
  <si>
    <t>SMI1/PRM-2110-8M</t>
  </si>
  <si>
    <t>Oxy2Pro Adult 7', SLM 10'</t>
  </si>
  <si>
    <t>W1029634/1</t>
  </si>
  <si>
    <t>SMI1/PRM-2110-MDT</t>
  </si>
  <si>
    <t>OxyPro Adult 7", Microstream</t>
  </si>
  <si>
    <t>W1028823/1</t>
  </si>
  <si>
    <t>SMI2/OM-2125-14SLM</t>
  </si>
  <si>
    <t>OxyMask II Adult ETCO2 14', SLM 15'</t>
  </si>
  <si>
    <t>W1024919/1</t>
  </si>
  <si>
    <t>SMI2/OM-2125-8</t>
  </si>
  <si>
    <t>OxyMask II Adult ETCO2 7', SLF 8"</t>
  </si>
  <si>
    <t>W1024920/1</t>
  </si>
  <si>
    <t>W1024928/1</t>
  </si>
  <si>
    <t>SMI2/OM-2125-8SLM</t>
  </si>
  <si>
    <t>OxyMask II Adult ETCO2 7', SLM 8'</t>
  </si>
  <si>
    <t>Line 3</t>
  </si>
  <si>
    <t>SMI2/OM-7025-8</t>
  </si>
  <si>
    <t>OxyMask II Adult Non PVC 7'</t>
  </si>
  <si>
    <t>W1025355/1</t>
  </si>
  <si>
    <t>W1025356/1</t>
  </si>
  <si>
    <t>Milling</t>
  </si>
  <si>
    <t>W1028787/1</t>
  </si>
  <si>
    <t>SMI3/2256-PT-01</t>
  </si>
  <si>
    <t>Isoflurane Blockend purple milled</t>
  </si>
  <si>
    <t>OP1</t>
  </si>
  <si>
    <t>W1020537/1</t>
  </si>
  <si>
    <t>SMI1/FILTER CAGEB</t>
  </si>
  <si>
    <t>Filter cage for medisafeblk S143</t>
  </si>
  <si>
    <t>W1025186/1</t>
  </si>
  <si>
    <t>SMI1/FILTER C100B</t>
  </si>
  <si>
    <t>Filter cage for medisafe blkFILTER</t>
  </si>
  <si>
    <t>OP1 Tier 1</t>
  </si>
  <si>
    <t>W1014365/1</t>
  </si>
  <si>
    <t>SMI3/73-0007-0001</t>
  </si>
  <si>
    <t>Polymer Coating Compound</t>
  </si>
  <si>
    <t>W1025170/1</t>
  </si>
  <si>
    <t>SMI1/9010-F</t>
  </si>
  <si>
    <t>Isoflurane antispil</t>
  </si>
  <si>
    <t>OxyMask Cell</t>
  </si>
  <si>
    <t>W1026840/1</t>
  </si>
  <si>
    <t>SMI2/OM-1125-8</t>
  </si>
  <si>
    <t>OxyMask II Adult 7'</t>
  </si>
  <si>
    <t>W1026841/1</t>
  </si>
  <si>
    <t>W1026842/1</t>
  </si>
  <si>
    <t>W1026843/1</t>
  </si>
  <si>
    <t>W1025064/1</t>
  </si>
  <si>
    <t>SMI1/CO2-01</t>
  </si>
  <si>
    <t>CAPNOXYGEN MASK</t>
  </si>
  <si>
    <t>W1026844/1</t>
  </si>
  <si>
    <t>Sub Assembly</t>
  </si>
  <si>
    <t>W1028082/1</t>
  </si>
  <si>
    <t>SMI3/2312-PT-21</t>
  </si>
  <si>
    <t>Oxy2 Pro Subassembly SLM 10'</t>
  </si>
  <si>
    <t>W1025816/1</t>
  </si>
  <si>
    <t>SMI3/2312-PT-41</t>
  </si>
  <si>
    <t>Oxy II EtCO2 Adult Subassembly SLM 8'</t>
  </si>
  <si>
    <t>W1028828/1</t>
  </si>
  <si>
    <t>SMI3/2312-PT-42</t>
  </si>
  <si>
    <t>Oxy II EtCO2 Adult Subassembly SLM 15'</t>
  </si>
  <si>
    <t>SMI3/2312-PT-51</t>
  </si>
  <si>
    <t>Oxy II MDT Adult Subassembly</t>
  </si>
  <si>
    <t>W1029639/1</t>
  </si>
  <si>
    <t>W1028904/1</t>
  </si>
  <si>
    <t>W1029988/1</t>
  </si>
  <si>
    <t>W1030020/SAM</t>
  </si>
  <si>
    <t>SMI3/2312-PT-30</t>
  </si>
  <si>
    <t>Oxy II Youth Subassembly SLF 8"</t>
  </si>
  <si>
    <t>SAM</t>
  </si>
  <si>
    <t>W1030021/SAM</t>
  </si>
  <si>
    <t>SMI3/2312-PT-31</t>
  </si>
  <si>
    <t>Oxy II EtCO2 Adult Subassembly SLF 8"</t>
  </si>
  <si>
    <t>W1030022/SAM</t>
  </si>
  <si>
    <t>SMI3/2312-PT-40</t>
  </si>
  <si>
    <t>Oxy II EtCO2 Youth Subassembly SLM 8'</t>
  </si>
  <si>
    <t>W1030023/SAM</t>
  </si>
  <si>
    <t>W1030024/SAM</t>
  </si>
  <si>
    <t>SMI3/2312-PT-43</t>
  </si>
  <si>
    <t>Oxy II EtCO2 Youth Subassembly SLM 15'</t>
  </si>
  <si>
    <t>W1030025/SAM</t>
  </si>
  <si>
    <t>W1030026/SAM</t>
  </si>
  <si>
    <t>W1025817/1</t>
  </si>
  <si>
    <t>W1025818/1</t>
  </si>
  <si>
    <t>W1028081/1</t>
  </si>
  <si>
    <t>W1025795/1</t>
  </si>
  <si>
    <t>Zone 3</t>
  </si>
  <si>
    <t>Camera Printing</t>
  </si>
  <si>
    <t>W1028714/1</t>
  </si>
  <si>
    <t>VER3/0142-1157</t>
  </si>
  <si>
    <t>Camera, Green OVM7695 Encapsulated QC Miller</t>
  </si>
  <si>
    <t>W1028715/1</t>
  </si>
  <si>
    <t>W1030078/1</t>
  </si>
  <si>
    <t>VER3/0142-1156</t>
  </si>
  <si>
    <t>Camera, Green OVM7695 Encapsulated Quickconnect</t>
  </si>
  <si>
    <t>W1030079/1</t>
  </si>
  <si>
    <t>W1030080/1</t>
  </si>
  <si>
    <t>W1030081/1</t>
  </si>
  <si>
    <t>W1030082/1</t>
  </si>
  <si>
    <t>W1030083/1</t>
  </si>
  <si>
    <t>W1030084/1</t>
  </si>
  <si>
    <t>W1030085/1</t>
  </si>
  <si>
    <t>W1030086/1</t>
  </si>
  <si>
    <t>W1030087/1</t>
  </si>
  <si>
    <t>Cartridge Assem</t>
  </si>
  <si>
    <t>Fume Hood</t>
  </si>
  <si>
    <t>W1026931/1</t>
  </si>
  <si>
    <t>SDD1/6821034-A</t>
  </si>
  <si>
    <t>CO2 3 Pack APC</t>
  </si>
  <si>
    <t>W1026932/1</t>
  </si>
  <si>
    <t>W1027771/1</t>
  </si>
  <si>
    <t>SDD1/2816684</t>
  </si>
  <si>
    <t>Pack, APC, Sabre 4000 rev C - Non Co2</t>
  </si>
  <si>
    <t>W1027960/1</t>
  </si>
  <si>
    <t>W1027961/1</t>
  </si>
  <si>
    <t>W1028551/1</t>
  </si>
  <si>
    <t>W1029955/1</t>
  </si>
  <si>
    <t>W1029958/1</t>
  </si>
  <si>
    <t>SDD1/6816958</t>
  </si>
  <si>
    <t>Non CO2 3 Pack APC</t>
  </si>
  <si>
    <t>W1029756/1</t>
  </si>
  <si>
    <t>DNA Bag Assy</t>
  </si>
  <si>
    <t>W1030131/1</t>
  </si>
  <si>
    <t>DNA3/71-3502A</t>
  </si>
  <si>
    <t>2 Swab bag kit</t>
  </si>
  <si>
    <t>W1030123/1</t>
  </si>
  <si>
    <t>DNA1/71-3502A</t>
  </si>
  <si>
    <t>Drug Incode Kit - Swabs in Bag</t>
  </si>
  <si>
    <t>DNA Cell 3</t>
  </si>
  <si>
    <t>W1030119/1</t>
  </si>
  <si>
    <t>DNA1/OGD-600</t>
  </si>
  <si>
    <t>Various</t>
  </si>
  <si>
    <t>DG02</t>
  </si>
  <si>
    <t>W1030121/1</t>
  </si>
  <si>
    <t>DNA1/ON-600</t>
  </si>
  <si>
    <t>DG03</t>
  </si>
  <si>
    <t>W1030122/1</t>
  </si>
  <si>
    <t>W1030120/1</t>
  </si>
  <si>
    <t>DNA1/OGD-610</t>
  </si>
  <si>
    <t>W1030118/1</t>
  </si>
  <si>
    <t>DNA1/OGD-675</t>
  </si>
  <si>
    <t>Saliva Self-Collection Kit</t>
  </si>
  <si>
    <t>W1030115/1</t>
  </si>
  <si>
    <t>DNA1/OMR-610</t>
  </si>
  <si>
    <t>Saliva Collection Kit</t>
  </si>
  <si>
    <t>DNA Cell 5</t>
  </si>
  <si>
    <t>W1030061/1</t>
  </si>
  <si>
    <t>DNA1/OGD-510.039</t>
  </si>
  <si>
    <t>P 07-09-2026</t>
  </si>
  <si>
    <t>DF20</t>
  </si>
  <si>
    <t>W1030062/1</t>
  </si>
  <si>
    <t>p 07-10-2026</t>
  </si>
  <si>
    <t>DF21</t>
  </si>
  <si>
    <t>Friday</t>
  </si>
  <si>
    <t>W1030063/1</t>
  </si>
  <si>
    <t>P 07-13-2026</t>
  </si>
  <si>
    <t>DF22</t>
  </si>
  <si>
    <t>printing Monday/Tuesday</t>
  </si>
  <si>
    <t>W1030071/1</t>
  </si>
  <si>
    <t>DG01</t>
  </si>
  <si>
    <t>Starting printing july 2, will need new lot #</t>
  </si>
  <si>
    <t>W1030138/1</t>
  </si>
  <si>
    <t>DNA1/OGD-510</t>
  </si>
  <si>
    <t>Oragene DNA Diagnostic Collection Kit</t>
  </si>
  <si>
    <t>W1030116/1</t>
  </si>
  <si>
    <t>DNA1/OME-505</t>
  </si>
  <si>
    <t>OME Saliva Collection Kit</t>
  </si>
  <si>
    <t>W1030113/1</t>
  </si>
  <si>
    <t>DNA1/OGD-500</t>
  </si>
  <si>
    <t>W1030114/1</t>
  </si>
  <si>
    <t>DNA1/OM-501</t>
  </si>
  <si>
    <t>OMNIgene Collection Kit</t>
  </si>
  <si>
    <t>W1030110/1</t>
  </si>
  <si>
    <t>DNA1/OGR-500</t>
  </si>
  <si>
    <t>W1030111/1</t>
  </si>
  <si>
    <t>DNA OC Cell # 5</t>
  </si>
  <si>
    <t>W1030240/1</t>
  </si>
  <si>
    <t>DNA1/OCR-100+ACP139</t>
  </si>
  <si>
    <t>Saliva Collection Kit / Grifols</t>
  </si>
  <si>
    <t>W1030157/1</t>
  </si>
  <si>
    <t>DNA1/OCR-100.022+ACP141</t>
  </si>
  <si>
    <t>Saliva Collection Kit / OneOme</t>
  </si>
  <si>
    <t>W1030158/1</t>
  </si>
  <si>
    <t>DNA1/OCD-100.035+ACP140</t>
  </si>
  <si>
    <t>DNA Swab Cell</t>
  </si>
  <si>
    <t>SMI Inspected Swabs</t>
  </si>
  <si>
    <t>W1029260/1</t>
  </si>
  <si>
    <t>DNA1/71-3511</t>
  </si>
  <si>
    <t>W1029261/1</t>
  </si>
  <si>
    <t>W1029262/1</t>
  </si>
  <si>
    <t>W1029263/1</t>
  </si>
  <si>
    <t>W1029435/1</t>
  </si>
  <si>
    <t>W1029436/1</t>
  </si>
  <si>
    <t>W1029437/1</t>
  </si>
  <si>
    <t>W1029438/1</t>
  </si>
  <si>
    <t>W1029439/1</t>
  </si>
  <si>
    <t>FLEX Bag Carton</t>
  </si>
  <si>
    <t>W1022180/1</t>
  </si>
  <si>
    <t>FLX1/10128</t>
  </si>
  <si>
    <t>FLEX Plant + Disc 12 Count Bag</t>
  </si>
  <si>
    <t>W1022179/1</t>
  </si>
  <si>
    <t>FLX1/10255</t>
  </si>
  <si>
    <t>FLEX Assembly 6 Count Box</t>
  </si>
  <si>
    <t>W1022146/1</t>
  </si>
  <si>
    <t>FLX1/10260</t>
  </si>
  <si>
    <t>FLEX Assembly 24 Count Box</t>
  </si>
  <si>
    <t>Flex Line 3</t>
  </si>
  <si>
    <t>W1025336/1</t>
  </si>
  <si>
    <t>INS1/00002</t>
  </si>
  <si>
    <t>Softdisc Bulk (Purple Intimate Wrap)</t>
  </si>
  <si>
    <t>Flex Packaging</t>
  </si>
  <si>
    <t>W1022159/1</t>
  </si>
  <si>
    <t>FLX1/10056WM</t>
  </si>
  <si>
    <t>FLEX 12 CT Vertical Walmart (12/18)</t>
  </si>
  <si>
    <t>W1020826/1</t>
  </si>
  <si>
    <t>FLX1/10016</t>
  </si>
  <si>
    <t>Softdisc 14 Count Canadian (18/14)</t>
  </si>
  <si>
    <t>W1030060/1</t>
  </si>
  <si>
    <t>FLX1/10122WM</t>
  </si>
  <si>
    <t>Flex Reusable Disc Walmart (1/18)</t>
  </si>
  <si>
    <t>W1022152/1</t>
  </si>
  <si>
    <t>INS1/00160</t>
  </si>
  <si>
    <t>Softdisc 14 Count (18/14)</t>
  </si>
  <si>
    <t>W1019369/1</t>
  </si>
  <si>
    <t>FLX1/10099</t>
  </si>
  <si>
    <t>Flex Disc 12 Count Canadian</t>
  </si>
  <si>
    <t>W1022194/1</t>
  </si>
  <si>
    <t>FLX1/10122</t>
  </si>
  <si>
    <t>Flex Reusable Disc</t>
  </si>
  <si>
    <t>W1019291/1</t>
  </si>
  <si>
    <t>Lopro HDMI Mix</t>
  </si>
  <si>
    <t>16-014</t>
  </si>
  <si>
    <t>W1023873/1</t>
  </si>
  <si>
    <t>VER1/0270-0933</t>
  </si>
  <si>
    <t>Direct View MAC S4</t>
  </si>
  <si>
    <t>W1029947/1</t>
  </si>
  <si>
    <t>VER1/0270-1081</t>
  </si>
  <si>
    <t>Non Sterile DVM S4</t>
  </si>
  <si>
    <t>15-004</t>
  </si>
  <si>
    <t>W1024675/1</t>
  </si>
  <si>
    <t>VER1/0270-1076</t>
  </si>
  <si>
    <t>Non Sterile LoPro S2</t>
  </si>
  <si>
    <t>18-004</t>
  </si>
  <si>
    <t>W1027239/1</t>
  </si>
  <si>
    <t>VER1/0270-0962</t>
  </si>
  <si>
    <t>LoPro S2.5</t>
  </si>
  <si>
    <t>W1027991/1</t>
  </si>
  <si>
    <t>VER1/0270-0967</t>
  </si>
  <si>
    <t>Miller 1</t>
  </si>
  <si>
    <t>18-005</t>
  </si>
  <si>
    <t>W1026668/1</t>
  </si>
  <si>
    <t>VER1/0270-0966</t>
  </si>
  <si>
    <t>Miller 0</t>
  </si>
  <si>
    <t>16-013</t>
  </si>
  <si>
    <t>W1030173/1</t>
  </si>
  <si>
    <t>VER1/0270-1080</t>
  </si>
  <si>
    <t>Non Sterile DVM S3</t>
  </si>
  <si>
    <t>W1027988/1</t>
  </si>
  <si>
    <t>VER1/0270-0932</t>
  </si>
  <si>
    <t>Direct View MAC S3</t>
  </si>
  <si>
    <t>Lopro QC Mac 3</t>
  </si>
  <si>
    <t>20-032</t>
  </si>
  <si>
    <t>VER1/0270-1147</t>
  </si>
  <si>
    <t>QC ECO ,MAC S3, NS, GS SPECTRUM BOX-10</t>
  </si>
  <si>
    <t>W1030147/1</t>
  </si>
  <si>
    <t>W1029029/1</t>
  </si>
  <si>
    <t>W1027536/1</t>
  </si>
  <si>
    <t>W1030027/1</t>
  </si>
  <si>
    <t>VER1/0270-1085</t>
  </si>
  <si>
    <t>Spectrum QC MACS3</t>
  </si>
  <si>
    <t>W1030028/1</t>
  </si>
  <si>
    <t>W1026626/1</t>
  </si>
  <si>
    <t>Lopro QC Mac 4</t>
  </si>
  <si>
    <t>20-033</t>
  </si>
  <si>
    <t>W1027575/1</t>
  </si>
  <si>
    <t>VER1/0270-1086</t>
  </si>
  <si>
    <t>Spectrum QC MAC S4</t>
  </si>
  <si>
    <t>W1026197/1</t>
  </si>
  <si>
    <t>VER1/0270-1148</t>
  </si>
  <si>
    <t>QC ECO ,MAC S4, NS, GS SPECTRUM BOX-10</t>
  </si>
  <si>
    <t>W1029033/1</t>
  </si>
  <si>
    <t>W1029653/1</t>
  </si>
  <si>
    <t>W1027577/1</t>
  </si>
  <si>
    <t>W1027193/1</t>
  </si>
  <si>
    <t>W1027568/1</t>
  </si>
  <si>
    <t>W1027569/1</t>
  </si>
  <si>
    <t>W1028628/1</t>
  </si>
  <si>
    <t>Lopro QC Mix</t>
  </si>
  <si>
    <t>20-027</t>
  </si>
  <si>
    <t>VER1/0270-1091</t>
  </si>
  <si>
    <t>SpectrumQC HA S2.5</t>
  </si>
  <si>
    <t>W1022240/1</t>
  </si>
  <si>
    <t>VER1/0270-1143</t>
  </si>
  <si>
    <t>20-026</t>
  </si>
  <si>
    <t>W1026342/1</t>
  </si>
  <si>
    <t>VER1/0270-1090</t>
  </si>
  <si>
    <t>Spectrum QC HA S2</t>
  </si>
  <si>
    <t>W1030106/1</t>
  </si>
  <si>
    <t>W1022241/1</t>
  </si>
  <si>
    <t>VER1/0270-1144</t>
  </si>
  <si>
    <t>20-030</t>
  </si>
  <si>
    <t>W1028038/1</t>
  </si>
  <si>
    <t>VER1/0270-1087</t>
  </si>
  <si>
    <t>Spectrum QC Miller S0</t>
  </si>
  <si>
    <t>W1027833/1</t>
  </si>
  <si>
    <t>VER1/0270-1153</t>
  </si>
  <si>
    <t>QCECO,MILLER S00,NS, GS SPECTRUM BOX-10</t>
  </si>
  <si>
    <t>20-031</t>
  </si>
  <si>
    <t>W1028544/1</t>
  </si>
  <si>
    <t>VER1/0270-1088</t>
  </si>
  <si>
    <t>Spectrum QC Miller S1</t>
  </si>
  <si>
    <t>W1024912/1</t>
  </si>
  <si>
    <t>VER1/0270-1150</t>
  </si>
  <si>
    <t>QC ECO ,MILLER S1, NS, GS SPECTRUM BOX-10</t>
  </si>
  <si>
    <t>Lopro QC S3</t>
  </si>
  <si>
    <t>24-014</t>
  </si>
  <si>
    <t>W1027638/1</t>
  </si>
  <si>
    <t>VER1/0270-1083</t>
  </si>
  <si>
    <t>Spectrum QC HA S3</t>
  </si>
  <si>
    <t>W1027640/1</t>
  </si>
  <si>
    <t>W1027641/1</t>
  </si>
  <si>
    <t>W1027642/1</t>
  </si>
  <si>
    <t>W1027643/1</t>
  </si>
  <si>
    <t>W1027644/1</t>
  </si>
  <si>
    <t>W1027645/1</t>
  </si>
  <si>
    <t>W1027646/1</t>
  </si>
  <si>
    <t>W1027647/1</t>
  </si>
  <si>
    <t>W1027648/1</t>
  </si>
  <si>
    <t>W1027649/1</t>
  </si>
  <si>
    <t>W1027650/1</t>
  </si>
  <si>
    <t>W1027651/1</t>
  </si>
  <si>
    <t>W1027652/1</t>
  </si>
  <si>
    <t>W1027653/1</t>
  </si>
  <si>
    <t>W1027654/1</t>
  </si>
  <si>
    <t>Lopro QC S4</t>
  </si>
  <si>
    <t>24-015</t>
  </si>
  <si>
    <t>VER1/0270-1084</t>
  </si>
  <si>
    <t>Spectrum QC HA S4</t>
  </si>
  <si>
    <t>SMI</t>
  </si>
  <si>
    <t>W1027566/1</t>
  </si>
  <si>
    <t>VER1/0270-1146</t>
  </si>
  <si>
    <t>QC ECO ,HA S4, NS, GS SPECTRUM BOX-10</t>
  </si>
  <si>
    <t>W1024226/1</t>
  </si>
  <si>
    <t>VER1/0270-1145</t>
  </si>
  <si>
    <t>QC ECO ,HA S3, NS, GS SPECTRUM BOX-10</t>
  </si>
  <si>
    <t>W1027541/1</t>
  </si>
  <si>
    <t>W1027552/1</t>
  </si>
  <si>
    <t>W1029078/1</t>
  </si>
  <si>
    <t>W1029272/1</t>
  </si>
  <si>
    <t>W1027554/1</t>
  </si>
  <si>
    <t>W1027558/1</t>
  </si>
  <si>
    <t>W1027678/1</t>
  </si>
  <si>
    <t>W1028664/1</t>
  </si>
  <si>
    <t>W1027542/1</t>
  </si>
  <si>
    <t>W1027543/1</t>
  </si>
  <si>
    <t>W1027544/1</t>
  </si>
  <si>
    <t>W1027556/1</t>
  </si>
  <si>
    <t>LoPro S3 HDMI</t>
  </si>
  <si>
    <t>25-002</t>
  </si>
  <si>
    <t>VER1/0270-0938</t>
  </si>
  <si>
    <t>LoPro S3 Short Well</t>
  </si>
  <si>
    <t>W1025513/1</t>
  </si>
  <si>
    <t>VER1/0270-1078</t>
  </si>
  <si>
    <t>Non Sterile LoPro S3</t>
  </si>
  <si>
    <t>W1027600/1</t>
  </si>
  <si>
    <t>W1027601/1</t>
  </si>
  <si>
    <t>W1027602/1</t>
  </si>
  <si>
    <t>W1027603/1</t>
  </si>
  <si>
    <t>W1027609/1</t>
  </si>
  <si>
    <t>W1027604/1</t>
  </si>
  <si>
    <t>W1027605/1</t>
  </si>
  <si>
    <t>W1027610/1</t>
  </si>
  <si>
    <t>W1027606/1</t>
  </si>
  <si>
    <t>W1027607/1</t>
  </si>
  <si>
    <t>W1028613/1</t>
  </si>
  <si>
    <t>LoPro S4 HDMI</t>
  </si>
  <si>
    <t>25-001</t>
  </si>
  <si>
    <t>VER1/0270-1079</t>
  </si>
  <si>
    <t>Non Sterile LoPro S4</t>
  </si>
  <si>
    <t>W1023960/1</t>
  </si>
  <si>
    <t>VER1/0270-1140</t>
  </si>
  <si>
    <t>Spectrum QC Mac S1</t>
  </si>
  <si>
    <t>W1026793/1</t>
  </si>
  <si>
    <t>VER1/0270-1152</t>
  </si>
  <si>
    <t>W1027664/1</t>
  </si>
  <si>
    <t>VER1/0270-0939</t>
  </si>
  <si>
    <t>LoPro S4 Short Well</t>
  </si>
  <si>
    <t>W1027663/1</t>
  </si>
  <si>
    <t>W1027665/1</t>
  </si>
  <si>
    <t>W1027667/1</t>
  </si>
  <si>
    <t>W1027666/1</t>
  </si>
  <si>
    <t>W1027674/1</t>
  </si>
  <si>
    <t>W1027675/1</t>
  </si>
  <si>
    <t>W1027668/1</t>
  </si>
  <si>
    <t>Mold Man 2</t>
  </si>
  <si>
    <t>21-005</t>
  </si>
  <si>
    <t>VER3/0142-0967</t>
  </si>
  <si>
    <t>21-003</t>
  </si>
  <si>
    <t>W1029992/1</t>
  </si>
  <si>
    <t>VER3/0142-0972</t>
  </si>
  <si>
    <t>Encapsulated Miller Quick Connect PCB</t>
  </si>
  <si>
    <t>W1029993/1</t>
  </si>
  <si>
    <t>W1029994/1</t>
  </si>
  <si>
    <t>W1030164/1</t>
  </si>
  <si>
    <t>W1030165/1</t>
  </si>
  <si>
    <t>W1030166/1</t>
  </si>
  <si>
    <t>W1030167/1</t>
  </si>
  <si>
    <t>Multivac</t>
  </si>
  <si>
    <t>W1023051/1</t>
  </si>
  <si>
    <t>CRH1/11-4120</t>
  </si>
  <si>
    <t>O'Regan Disp. Ligator Kit (box of 20)</t>
  </si>
  <si>
    <t>W1023052/1</t>
  </si>
  <si>
    <t>W1023053/1</t>
  </si>
  <si>
    <t>VER1/0270-0628</t>
  </si>
  <si>
    <t>GVL 4 Stat</t>
  </si>
  <si>
    <t>W1022669/1</t>
  </si>
  <si>
    <t>VER1/0270-1127</t>
  </si>
  <si>
    <t>Clearfit HA 3 – Box of 10</t>
  </si>
  <si>
    <t>W1022670/1</t>
  </si>
  <si>
    <t>W1022671/1</t>
  </si>
  <si>
    <t>W1022674/1</t>
  </si>
  <si>
    <t>VER1/0270-1128</t>
  </si>
  <si>
    <t>Clearfit HA 4 – Box of 10</t>
  </si>
  <si>
    <t>W1022675/1</t>
  </si>
  <si>
    <t>W1024578/1</t>
  </si>
  <si>
    <t>W1024322/1</t>
  </si>
  <si>
    <t>VER1/0270-0626</t>
  </si>
  <si>
    <t>GVL 3 Stat</t>
  </si>
  <si>
    <t>W1026670/1</t>
  </si>
  <si>
    <t>W1028528/1</t>
  </si>
  <si>
    <t>VER1/0270-0916</t>
  </si>
  <si>
    <t>Gliderite Stylet, Pediatric</t>
  </si>
  <si>
    <t>W1023406/1</t>
  </si>
  <si>
    <t>Multivac 2</t>
  </si>
  <si>
    <t>W1027685/1</t>
  </si>
  <si>
    <t>VER1/0270-1005</t>
  </si>
  <si>
    <t>Single Use Gliderite Stylet</t>
  </si>
  <si>
    <t>W1027686/1</t>
  </si>
  <si>
    <t>W1027689/1</t>
  </si>
  <si>
    <t>W1027690/1</t>
  </si>
  <si>
    <t>W1027691/1</t>
  </si>
  <si>
    <t>W1027694/1</t>
  </si>
  <si>
    <t>W1027695/1</t>
  </si>
  <si>
    <t>W1027696/1</t>
  </si>
  <si>
    <t>W1027697/1</t>
  </si>
  <si>
    <t>W1029969/1</t>
  </si>
  <si>
    <t>W1025983/1</t>
  </si>
  <si>
    <t>SMI3/SUSTYQDA</t>
  </si>
  <si>
    <t>SU Stylet QDA Test Pack</t>
  </si>
  <si>
    <t>W1027698/1</t>
  </si>
  <si>
    <t>W1027699/1</t>
  </si>
  <si>
    <t>W1027700/1</t>
  </si>
  <si>
    <t>W1027701/1</t>
  </si>
  <si>
    <t>W1027702/1</t>
  </si>
  <si>
    <t>W1027707/1</t>
  </si>
  <si>
    <t>VER1/0270-1093</t>
  </si>
  <si>
    <t>Pediatric SU Metal Stylet</t>
  </si>
  <si>
    <t>W1027708/1</t>
  </si>
  <si>
    <t>W1028500/1</t>
  </si>
  <si>
    <t>NG2</t>
  </si>
  <si>
    <t>W1019433/1</t>
  </si>
  <si>
    <t>FLX3/10155</t>
  </si>
  <si>
    <t>Plant + Bulk (Cup in Intimate Wrap)</t>
  </si>
  <si>
    <t>W1028748/1</t>
  </si>
  <si>
    <t>FLX1/10001</t>
  </si>
  <si>
    <t>FLEX Bulk (Cup in Intimate Wrap)</t>
  </si>
  <si>
    <t>W1027495/1</t>
  </si>
  <si>
    <t>W1027816/1</t>
  </si>
  <si>
    <t>W1027496/1</t>
  </si>
  <si>
    <t>OP1 Tier 2</t>
  </si>
  <si>
    <t>W1025214/1</t>
  </si>
  <si>
    <t>VER1/0130-0963</t>
  </si>
  <si>
    <t>Baton Inner Collar</t>
  </si>
  <si>
    <t>VER1/0143-0001</t>
  </si>
  <si>
    <t>W1029286/1</t>
  </si>
  <si>
    <t>VER1/0130-0964</t>
  </si>
  <si>
    <t>Baton Outer Collar</t>
  </si>
  <si>
    <t>W1029287/1</t>
  </si>
  <si>
    <t>W1029288/1</t>
  </si>
  <si>
    <t>W1029289/1</t>
  </si>
  <si>
    <t>W1029290/1</t>
  </si>
  <si>
    <t>W1029291/1</t>
  </si>
  <si>
    <t>W1029292/1</t>
  </si>
  <si>
    <t>W1029293/1</t>
  </si>
  <si>
    <t>W1029294/1</t>
  </si>
  <si>
    <t>W1029295/1</t>
  </si>
  <si>
    <t>W1029296/1</t>
  </si>
  <si>
    <t>W1029297/1</t>
  </si>
  <si>
    <t>W1029298/1</t>
  </si>
  <si>
    <t>W1029299/1</t>
  </si>
  <si>
    <t>W1029300/1</t>
  </si>
  <si>
    <t>W1028910/FG</t>
  </si>
  <si>
    <t>VER1/0143-0003</t>
  </si>
  <si>
    <t>VER3/0130-1071BS</t>
  </si>
  <si>
    <t>W1027864/1</t>
  </si>
  <si>
    <t>W1027861/FG</t>
  </si>
  <si>
    <t>VER1/0143-0002</t>
  </si>
  <si>
    <t>W1027865/1</t>
  </si>
  <si>
    <t>W1027862/FG</t>
  </si>
  <si>
    <t>W1027864/FG</t>
  </si>
  <si>
    <t>W1029257/1</t>
  </si>
  <si>
    <t>VER3/0130-1069BS</t>
  </si>
  <si>
    <t>W1027865/FG</t>
  </si>
  <si>
    <t>W1029257/FG</t>
  </si>
  <si>
    <t>W1028937/1</t>
  </si>
  <si>
    <t>VER3/0130-1070BS</t>
  </si>
  <si>
    <t>PK Dispense</t>
  </si>
  <si>
    <t>W1030136/1</t>
  </si>
  <si>
    <t>DNA3/Sarstedt5ulShortHex</t>
  </si>
  <si>
    <t>Short Hex 5 uL PK Sub Assembly</t>
  </si>
  <si>
    <t>W1030137/1</t>
  </si>
  <si>
    <t>DNA3/Sarstedt7.5ulShortHex</t>
  </si>
  <si>
    <t>7.5 uL S/HEX PK'd Tube</t>
  </si>
  <si>
    <t>W1030135/1</t>
  </si>
  <si>
    <t>DNA3/Sarstedt10ulShortHex</t>
  </si>
  <si>
    <t>10 uL S/HEX PK'd Tube</t>
  </si>
  <si>
    <t>PK Pump 074</t>
  </si>
  <si>
    <t>W1030132/1</t>
  </si>
  <si>
    <t>DNA3/PK PolyPro Tube</t>
  </si>
  <si>
    <t>20 uL PK'd Tube</t>
  </si>
  <si>
    <t>W1030134/1</t>
  </si>
  <si>
    <t>DNA3/PK PolyPro Tube 10 uL</t>
  </si>
  <si>
    <t>10 uL PK'd Tube</t>
  </si>
  <si>
    <t>W1030133/1</t>
  </si>
  <si>
    <t>SC Sub Assembly</t>
  </si>
  <si>
    <t>W1028235/1</t>
  </si>
  <si>
    <t>VER3/0142-1166</t>
  </si>
  <si>
    <t>W1027071/1</t>
  </si>
  <si>
    <t>VER1/0142-1133</t>
  </si>
  <si>
    <t>Sub-Assy,Irrigation, Orion</t>
  </si>
  <si>
    <t>W1029480/1</t>
  </si>
  <si>
    <t>VER3/0142-1120</t>
  </si>
  <si>
    <t>BFlex Sampler Container Sub Assembly</t>
  </si>
  <si>
    <t>W1027073/1</t>
  </si>
  <si>
    <t>Smiths Bake</t>
  </si>
  <si>
    <t>W1014172/1</t>
  </si>
  <si>
    <t>SDD3/7046867C</t>
  </si>
  <si>
    <t>Cleaned and Processed O-ring</t>
  </si>
  <si>
    <t>no o-rings available</t>
  </si>
  <si>
    <t>Smiths Purge</t>
  </si>
  <si>
    <t>W1026967/1</t>
  </si>
  <si>
    <t>SDD3/1821016</t>
  </si>
  <si>
    <t>CO2 Purged Sieve</t>
  </si>
  <si>
    <t>W1026967</t>
  </si>
  <si>
    <t>Sureshot Assy</t>
  </si>
  <si>
    <t>W1023521/1</t>
  </si>
  <si>
    <t>SSH1/A-16-008-3</t>
  </si>
  <si>
    <t>Pump Assy 200ml, Blue Self-locking</t>
  </si>
  <si>
    <t>Not covered; SSH3/M-04-164; SSH3/P-01-042-1; SSH4/C-01-046; SSH4/E-21-021; SSH4/F-14-049; SSH4/F-99-048; SSH4/P-01-054</t>
  </si>
  <si>
    <t>Zone 4</t>
  </si>
  <si>
    <t>06-010</t>
  </si>
  <si>
    <t>W1029869/VAL</t>
  </si>
  <si>
    <t>SMI3/2132-NB-02</t>
  </si>
  <si>
    <t>Nebulizer Elbow</t>
  </si>
  <si>
    <t>VAL</t>
  </si>
  <si>
    <t>W1029870/VAL</t>
  </si>
  <si>
    <t>W1029871/VAL</t>
  </si>
  <si>
    <t>W1024491/1</t>
  </si>
  <si>
    <t>08-019</t>
  </si>
  <si>
    <t>W1026921/1</t>
  </si>
  <si>
    <t>SMI3/73-0610-0022</t>
  </si>
  <si>
    <t>GRD PERS+ SAFETY SCALP (LNG TRAVEL)</t>
  </si>
  <si>
    <t>07-030</t>
  </si>
  <si>
    <t>W1023135/1</t>
  </si>
  <si>
    <t>CRH3/2146-PT-05</t>
  </si>
  <si>
    <t>Loader (rev 3)</t>
  </si>
  <si>
    <t>11-004</t>
  </si>
  <si>
    <t>W1028089/1</t>
  </si>
  <si>
    <t>SMI3/2105-PT-17</t>
  </si>
  <si>
    <t>10ft CO2 Tube</t>
  </si>
  <si>
    <t>SMI3/73-0005-0025</t>
  </si>
  <si>
    <t>DISP SCALPEL SLV PVC TUBE 2.5"</t>
  </si>
  <si>
    <t>11-002</t>
  </si>
  <si>
    <t>W1024441/1</t>
  </si>
  <si>
    <t>SMI3/000330-1-33</t>
  </si>
  <si>
    <t>oxygen supply tube (1500 M/Roll) - COILS</t>
  </si>
  <si>
    <t>W1024442/1</t>
  </si>
  <si>
    <t>W1024443/1</t>
  </si>
  <si>
    <t>W1024444/1</t>
  </si>
  <si>
    <t>W1024445/1</t>
  </si>
  <si>
    <t>W1024446/1</t>
  </si>
  <si>
    <t>W1024447/1</t>
  </si>
  <si>
    <t>W1024448/1</t>
  </si>
  <si>
    <t>W1024449/1</t>
  </si>
  <si>
    <t>07-012</t>
  </si>
  <si>
    <t>W1023522/1</t>
  </si>
  <si>
    <t>SSH3/P-01-042-1</t>
  </si>
  <si>
    <t>Sureshot Pump Housing</t>
  </si>
  <si>
    <t>25-031</t>
  </si>
  <si>
    <t>W1027347/1</t>
  </si>
  <si>
    <t>VER1/0143-0008</t>
  </si>
  <si>
    <t>Right Handle Shell, BFlex 2</t>
  </si>
  <si>
    <t>W1027348/1</t>
  </si>
  <si>
    <t>W1027349/1</t>
  </si>
  <si>
    <t>W1027350/1</t>
  </si>
  <si>
    <t>W1027351/1</t>
  </si>
  <si>
    <t>W1027352/1</t>
  </si>
  <si>
    <t>14-014</t>
  </si>
  <si>
    <t>W1023150/1</t>
  </si>
  <si>
    <t>CRH3/2255-PT-04</t>
  </si>
  <si>
    <t>Main Body</t>
  </si>
  <si>
    <t>W1023151/1</t>
  </si>
  <si>
    <t>W1023152/1</t>
  </si>
  <si>
    <t>07-017</t>
  </si>
  <si>
    <t>W1029330/1</t>
  </si>
  <si>
    <t>SMI3/2132-PT-06</t>
  </si>
  <si>
    <t>OxyMask Aerosol Mask</t>
  </si>
  <si>
    <t>01-0097</t>
  </si>
  <si>
    <t>W1025423/1</t>
  </si>
  <si>
    <t>SMI3/030826-1-1</t>
  </si>
  <si>
    <t>molded ophthalmic capnoxygen mask</t>
  </si>
  <si>
    <t>20-007</t>
  </si>
  <si>
    <t>W1028696/1</t>
  </si>
  <si>
    <t>SMI3/2319-PT-02</t>
  </si>
  <si>
    <t>Adjustable Strap</t>
  </si>
  <si>
    <t>09-014</t>
  </si>
  <si>
    <t>W1024864/1</t>
  </si>
  <si>
    <t>SMI3/2208-PT-01</t>
  </si>
  <si>
    <t>OXYMASK HIGH HUMIDITY (PVC)</t>
  </si>
  <si>
    <t>W1030150/1</t>
  </si>
  <si>
    <t>06-014-B</t>
  </si>
  <si>
    <t>W1028624/1</t>
  </si>
  <si>
    <t>SMI3/2288-PT-11</t>
  </si>
  <si>
    <t>Oxy II OP Mask</t>
  </si>
  <si>
    <t>W1026682/1</t>
  </si>
  <si>
    <t>VER3/0122-0579</t>
  </si>
  <si>
    <t>GVL 4 Stat Overmolded, Glidescope</t>
  </si>
  <si>
    <t>19-015</t>
  </si>
  <si>
    <t>W1026683-1/1</t>
  </si>
  <si>
    <t>VER3/0122-0578</t>
  </si>
  <si>
    <t>GVL 3 Stat Overmolded, Glidescope</t>
  </si>
  <si>
    <t>W1026684-1/1</t>
  </si>
  <si>
    <t>19-014</t>
  </si>
  <si>
    <t>W1026956/1</t>
  </si>
  <si>
    <t>SMI3/2288-PT-04</t>
  </si>
  <si>
    <t>Oxy II O2 Elbow</t>
  </si>
  <si>
    <t>W1026957/1</t>
  </si>
  <si>
    <t>W1026958/1</t>
  </si>
  <si>
    <t>W1026959/1</t>
  </si>
  <si>
    <t>10-024</t>
  </si>
  <si>
    <t>W1023298/1</t>
  </si>
  <si>
    <t>SMI3/2280-PT-01</t>
  </si>
  <si>
    <t>Capnoxygen Connector</t>
  </si>
  <si>
    <t>W1026589/1</t>
  </si>
  <si>
    <t>VER3/0122-1180</t>
  </si>
  <si>
    <t>Lopro S2.5, ABS, Left Shell HDMI</t>
  </si>
  <si>
    <t>W1026868/1</t>
  </si>
  <si>
    <t>VER3/0122-1190</t>
  </si>
  <si>
    <t>Miller S0, ABS, Left Shell HDMI</t>
  </si>
  <si>
    <t>24-007</t>
  </si>
  <si>
    <t>W1030069/1</t>
  </si>
  <si>
    <t>VER1/0122-1170</t>
  </si>
  <si>
    <t>Upper Shuttle, Zeus Baton Large</t>
  </si>
  <si>
    <t>24-008</t>
  </si>
  <si>
    <t>W1030177/1</t>
  </si>
  <si>
    <t>VER1/0122-1206</t>
  </si>
  <si>
    <t>Over Molded Lower Shuttle, Zeus Baton Large</t>
  </si>
  <si>
    <t>19-001</t>
  </si>
  <si>
    <t>VER1/0270-0681</t>
  </si>
  <si>
    <t>Reuseable Gliderite Stylet</t>
  </si>
  <si>
    <t>10-025</t>
  </si>
  <si>
    <t>FLX3/10114</t>
  </si>
  <si>
    <t>Plant+ Rim</t>
  </si>
  <si>
    <t>23-043</t>
  </si>
  <si>
    <t>W1030241/1</t>
  </si>
  <si>
    <t>VER3/0122-1298</t>
  </si>
  <si>
    <t>Mac S1 Left Shell</t>
  </si>
  <si>
    <t>14-013</t>
  </si>
  <si>
    <t>W1029945/1</t>
  </si>
  <si>
    <t>SMI3/2174-PT-08</t>
  </si>
  <si>
    <t>Zigzag Tether</t>
  </si>
  <si>
    <t>24-028</t>
  </si>
  <si>
    <t>W1021302/1</t>
  </si>
  <si>
    <t>VER3/0122-1328</t>
  </si>
  <si>
    <t>Female Luer, Accessory Port</t>
  </si>
  <si>
    <t>24-022</t>
  </si>
  <si>
    <t>W1019670/1</t>
  </si>
  <si>
    <t>VER1/0122-1312</t>
  </si>
  <si>
    <t>Control Lever, Orion</t>
  </si>
  <si>
    <t>20-004</t>
  </si>
  <si>
    <t>W1028844/1</t>
  </si>
  <si>
    <t>SMI3/2326-PT-03</t>
  </si>
  <si>
    <t>PolyPro Youth Diffuser Sleeve</t>
  </si>
  <si>
    <t>04-027</t>
  </si>
  <si>
    <t>W1027772/1</t>
  </si>
  <si>
    <t>SDD3/3816003</t>
  </si>
  <si>
    <t>Front plate rev D</t>
  </si>
  <si>
    <t>W1027962/1</t>
  </si>
  <si>
    <t>SDD3/2816059</t>
  </si>
  <si>
    <t>rear plate</t>
  </si>
  <si>
    <t>2A</t>
  </si>
  <si>
    <t>W1026682-1/1</t>
  </si>
  <si>
    <t>13-018</t>
  </si>
  <si>
    <t>W1026683/1</t>
  </si>
  <si>
    <t>W1026684/1</t>
  </si>
  <si>
    <t>23-044</t>
  </si>
  <si>
    <t>W1022932/1</t>
  </si>
  <si>
    <t>VER3/0122-1368</t>
  </si>
  <si>
    <t>Shell, Left Spectrum QC MAC S2 NS Bio-ABS</t>
  </si>
  <si>
    <t>24-005</t>
  </si>
  <si>
    <t>W1028642/1</t>
  </si>
  <si>
    <t>VER1/0122-1226</t>
  </si>
  <si>
    <t>Handle Screw Cover</t>
  </si>
  <si>
    <t>20-028</t>
  </si>
  <si>
    <t>W1025605/1</t>
  </si>
  <si>
    <t>VER3/0122-1349</t>
  </si>
  <si>
    <t>Shell, Left, Spectrum QC, Hyperangle S3, NS Bio-ABS,</t>
  </si>
  <si>
    <t>24-031</t>
  </si>
  <si>
    <t>W1029900/1</t>
  </si>
  <si>
    <t>VER3/0122-1302</t>
  </si>
  <si>
    <t>Collar, Accessory Port</t>
  </si>
  <si>
    <t>23-041</t>
  </si>
  <si>
    <t>W1026346/1</t>
  </si>
  <si>
    <t>VER3/0122-1374</t>
  </si>
  <si>
    <t>Shell, Left Spectrum QC Miller S00 NS Bio-ABS</t>
  </si>
  <si>
    <t>20-025</t>
  </si>
  <si>
    <t>W1028550/1</t>
  </si>
  <si>
    <t>VER3/0122-1353</t>
  </si>
  <si>
    <t>Shell, Left, Spectrum QC, Hyperangle S1, NS Bio-ABS</t>
  </si>
  <si>
    <t>22-003</t>
  </si>
  <si>
    <t>W1026024/1</t>
  </si>
  <si>
    <t>SMI3/000330-1-9</t>
  </si>
  <si>
    <t>Universal Oxygen Connector</t>
  </si>
  <si>
    <t>W1026025/1</t>
  </si>
  <si>
    <t>10-013</t>
  </si>
  <si>
    <t>W1025398/1</t>
  </si>
  <si>
    <t>SMI3/2159-PT-09</t>
  </si>
  <si>
    <t>Oxygen Connector - TPE Material (Rev F)</t>
  </si>
  <si>
    <t>08-010</t>
  </si>
  <si>
    <t>W1030148/1</t>
  </si>
  <si>
    <t>SMI3/2174-PT-02</t>
  </si>
  <si>
    <t>HIGH HUMIDITY MASK ELBOW</t>
  </si>
  <si>
    <t>24-016</t>
  </si>
  <si>
    <t>W1028870/1</t>
  </si>
  <si>
    <t>SMI3/2326-PT-01</t>
  </si>
  <si>
    <t>PolyPro FiO2 Insert</t>
  </si>
  <si>
    <t>W1028875/1</t>
  </si>
  <si>
    <t>19-012</t>
  </si>
  <si>
    <t>W1030239/SAM</t>
  </si>
  <si>
    <t>14-017</t>
  </si>
  <si>
    <t>W1023093/1</t>
  </si>
  <si>
    <t>CRH3/2255-PT-02</t>
  </si>
  <si>
    <t>Plunger Overmold</t>
  </si>
  <si>
    <t>24-004</t>
  </si>
  <si>
    <t>VER1/0120-1103</t>
  </si>
  <si>
    <t>Baton Cone</t>
  </si>
  <si>
    <t>W1023094/1</t>
  </si>
  <si>
    <t>W1023095/1</t>
  </si>
  <si>
    <t>W1023096/1</t>
  </si>
  <si>
    <t>W1030242/1</t>
  </si>
  <si>
    <t>01-0041</t>
  </si>
  <si>
    <t>W1025177/1</t>
  </si>
  <si>
    <t>SMI3/VAPO 2</t>
  </si>
  <si>
    <t>iso cap</t>
  </si>
  <si>
    <t>25-030</t>
  </si>
  <si>
    <t>VER1/0143-0007</t>
  </si>
  <si>
    <t>Left Handle Shell, BFlex 2</t>
  </si>
  <si>
    <t>W1027319/1</t>
  </si>
  <si>
    <t>24-019</t>
  </si>
  <si>
    <t>W1019592-1/1</t>
  </si>
  <si>
    <t>VER1/0122-1305</t>
  </si>
  <si>
    <t>Left Handle Shell, Orion</t>
  </si>
  <si>
    <t>20-019</t>
  </si>
  <si>
    <t>W1029995/1</t>
  </si>
  <si>
    <t>DNA3/MC003</t>
  </si>
  <si>
    <t>NGT Collector</t>
  </si>
  <si>
    <t>W1027320/1</t>
  </si>
  <si>
    <t>W1027321/1</t>
  </si>
  <si>
    <t>21-006-A</t>
  </si>
  <si>
    <t>W1028762/1</t>
  </si>
  <si>
    <t>SMI3/2324-PT-02</t>
  </si>
  <si>
    <t>Oxy2Pro Adult Mask</t>
  </si>
  <si>
    <t>20-017</t>
  </si>
  <si>
    <t>W1030105/1</t>
  </si>
  <si>
    <t>SMI3/2280-PT-02</t>
  </si>
  <si>
    <t>Capnoxygen Sub-Assembly</t>
  </si>
  <si>
    <t>W1026851/1</t>
  </si>
  <si>
    <t>W1025733/1</t>
  </si>
  <si>
    <t>VER3/0142-0840-BA</t>
  </si>
  <si>
    <t>Single Use Gliderite Stylet Santoprene</t>
  </si>
  <si>
    <t>W1029307/1</t>
  </si>
  <si>
    <t>W1029308/1</t>
  </si>
  <si>
    <t>W1029309/1</t>
  </si>
  <si>
    <t>W1029310/1</t>
  </si>
  <si>
    <t>W1029311/1</t>
  </si>
  <si>
    <t>W1029312/1</t>
  </si>
  <si>
    <t>16-001</t>
  </si>
  <si>
    <t>W1029961/1</t>
  </si>
  <si>
    <t>VER3/0122-1086</t>
  </si>
  <si>
    <t>Plastic Stylet Rod</t>
  </si>
  <si>
    <t>W1029962/1</t>
  </si>
  <si>
    <t>W1029959/1</t>
  </si>
  <si>
    <t>VER3/0142-0797</t>
  </si>
  <si>
    <t>Stylet Stopper subassembly</t>
  </si>
  <si>
    <t>W1029960/1</t>
  </si>
  <si>
    <t>22-002</t>
  </si>
  <si>
    <t>W1018635/1</t>
  </si>
  <si>
    <t>SMI3/2276-PT-01</t>
  </si>
  <si>
    <t>GF Nylon New Scalpel Handle #3</t>
  </si>
  <si>
    <t>W1029963/1</t>
  </si>
  <si>
    <t>W1028533/1</t>
  </si>
  <si>
    <t>09-021</t>
  </si>
  <si>
    <t>W1023452/1</t>
  </si>
  <si>
    <t>SMI3/SC-203</t>
  </si>
  <si>
    <t>#3 Cartridge Lower</t>
  </si>
  <si>
    <t>09-022</t>
  </si>
  <si>
    <t>W1023454/1</t>
  </si>
  <si>
    <t>SMI3/SC-202</t>
  </si>
  <si>
    <t>#3 Cartridge Upper</t>
  </si>
  <si>
    <t>04-023</t>
  </si>
  <si>
    <t>W1027963/1</t>
  </si>
  <si>
    <t>SDD3/3816002</t>
  </si>
  <si>
    <t>cartridge base</t>
  </si>
  <si>
    <t>24-018</t>
  </si>
  <si>
    <t>W1030143/SAM</t>
  </si>
  <si>
    <t>VER1/0122-1320</t>
  </si>
  <si>
    <t>Compression Coil Stop, Standard Direction Orion</t>
  </si>
  <si>
    <t>24-030</t>
  </si>
  <si>
    <t>W1019692/1</t>
  </si>
  <si>
    <t>VER1/0122-1316</t>
  </si>
  <si>
    <t>Proximal Coupler, Orion</t>
  </si>
  <si>
    <t>23-051</t>
  </si>
  <si>
    <t>W1027969/1</t>
  </si>
  <si>
    <t>VER3/0122-1275</t>
  </si>
  <si>
    <t>Sampler Barb Connector</t>
  </si>
  <si>
    <t>23-064</t>
  </si>
  <si>
    <t>VER3/0122-1196</t>
  </si>
  <si>
    <t>Clearfit HA S4 - overmold WIP</t>
  </si>
  <si>
    <t>W1030124-1/1</t>
  </si>
  <si>
    <t>23-052</t>
  </si>
  <si>
    <t>W1027875/1</t>
  </si>
  <si>
    <t>VER3/0122-1276</t>
  </si>
  <si>
    <t>Sampler Container Lid</t>
  </si>
  <si>
    <t>23-057</t>
  </si>
  <si>
    <t>W1027807-1/1</t>
  </si>
  <si>
    <t>VER3/0122-1198</t>
  </si>
  <si>
    <t>Clearfit MAC S3</t>
  </si>
  <si>
    <t>23-062</t>
  </si>
  <si>
    <t>W1026751-1/1</t>
  </si>
  <si>
    <t>VER3/0122-1195</t>
  </si>
  <si>
    <t>Clearfit HA S3 – Overmold WIP</t>
  </si>
  <si>
    <t>W1024595-1/1</t>
  </si>
  <si>
    <t>23-065</t>
  </si>
  <si>
    <t>W1030124/1</t>
  </si>
  <si>
    <t>23-061</t>
  </si>
  <si>
    <t>W1027807/1</t>
  </si>
  <si>
    <t>23-063</t>
  </si>
  <si>
    <t>W1026751/1</t>
  </si>
  <si>
    <t>W1024595/1</t>
  </si>
  <si>
    <t>01-0221</t>
  </si>
  <si>
    <t>W1028020/1</t>
  </si>
  <si>
    <t>BAX1/232604005</t>
  </si>
  <si>
    <t>recon connector</t>
  </si>
  <si>
    <t>W1028021/1</t>
  </si>
  <si>
    <t>W1028022/1</t>
  </si>
  <si>
    <t>W1028023/1</t>
  </si>
  <si>
    <t>W1028024/1</t>
  </si>
  <si>
    <t>W1029648/1</t>
  </si>
  <si>
    <t>W1029649/1</t>
  </si>
  <si>
    <t>08-017</t>
  </si>
  <si>
    <t>W1024302/1</t>
  </si>
  <si>
    <t>SMI3/73-0610-0021</t>
  </si>
  <si>
    <t>HNDL PERS+ SAFETY SCALP (LNG TRAVEL)</t>
  </si>
  <si>
    <t>01-0210</t>
  </si>
  <si>
    <t>W1027996/1</t>
  </si>
  <si>
    <t>BAX1/220102038</t>
  </si>
  <si>
    <t>Recon insert</t>
  </si>
  <si>
    <t>W1028005/1</t>
  </si>
  <si>
    <t>W1028006/1</t>
  </si>
  <si>
    <t>25-034</t>
  </si>
  <si>
    <t>W1028802/1</t>
  </si>
  <si>
    <t>SMI3/2182-PT-04</t>
  </si>
  <si>
    <t>Oxytrach Mask - Extended Nose</t>
  </si>
  <si>
    <t>08-020</t>
  </si>
  <si>
    <t>W1030153/1</t>
  </si>
  <si>
    <t>SMI3/2159-PT-07</t>
  </si>
  <si>
    <t>Oxymask with TPE material</t>
  </si>
  <si>
    <t>Purc. Comp. expected; CL2250</t>
  </si>
  <si>
    <t>25-035</t>
  </si>
  <si>
    <t>W1030176/SAM</t>
  </si>
  <si>
    <t>19-018</t>
  </si>
  <si>
    <t>W1025025/1</t>
  </si>
  <si>
    <t>SMI3/2288-PT-05</t>
  </si>
  <si>
    <t>OxyKid penguin mask for Oxy II</t>
  </si>
  <si>
    <t>W1025382/1</t>
  </si>
  <si>
    <t>W1029604/PV1</t>
  </si>
  <si>
    <t>PV1</t>
  </si>
  <si>
    <t>4A</t>
  </si>
  <si>
    <t>21-007</t>
  </si>
  <si>
    <t>W1030151/1</t>
  </si>
  <si>
    <t>SMI3/2312-PT-02</t>
  </si>
  <si>
    <t>Oxy 2.0 CO2 Adult Elbow</t>
  </si>
  <si>
    <t>24-011</t>
  </si>
  <si>
    <t>W1029990/1</t>
  </si>
  <si>
    <t>VER3/0122-1307</t>
  </si>
  <si>
    <t>Body, Stopcock</t>
  </si>
  <si>
    <t>24-034</t>
  </si>
  <si>
    <t>W1029991/1</t>
  </si>
  <si>
    <t>VER3/0122-1308</t>
  </si>
  <si>
    <t>Tap, Stop Cock</t>
  </si>
  <si>
    <t>21-007-A</t>
  </si>
  <si>
    <t>W1029822/1</t>
  </si>
  <si>
    <t>SMI3/2292-PT-05</t>
  </si>
  <si>
    <t>Oxy II EtCO2 MDT Adult Elbow</t>
  </si>
  <si>
    <t>W1026583/1</t>
  </si>
  <si>
    <t>01-0214</t>
  </si>
  <si>
    <t>W1029816/1</t>
  </si>
  <si>
    <t>OCM2/83530004001</t>
  </si>
  <si>
    <t>QEL enclosure base</t>
  </si>
  <si>
    <t>01-0215</t>
  </si>
  <si>
    <t>W1029817/1</t>
  </si>
  <si>
    <t>OCM2/83530004003</t>
  </si>
  <si>
    <t>M18 enclosure cover with hole</t>
  </si>
  <si>
    <t>23-003</t>
  </si>
  <si>
    <t>W1029862/1</t>
  </si>
  <si>
    <t>DNA1/710883-T3</t>
  </si>
  <si>
    <t>DNA Double Ended Cap</t>
  </si>
  <si>
    <t>W1030047/1</t>
  </si>
  <si>
    <t>W1030048/1</t>
  </si>
  <si>
    <t>07-013</t>
  </si>
  <si>
    <t>W1024503/1</t>
  </si>
  <si>
    <t>SSH1/A-97-026-2</t>
  </si>
  <si>
    <t>Cartridge/plunger High Dome assembly</t>
  </si>
  <si>
    <t>23-004</t>
  </si>
  <si>
    <t>W1029554/1</t>
  </si>
  <si>
    <t>DNA1/711057</t>
  </si>
  <si>
    <t>DNA Green Double Ended Cap</t>
  </si>
  <si>
    <t>W1029555/1</t>
  </si>
  <si>
    <t>B/F&amp; Polish</t>
  </si>
  <si>
    <t>W1028341/1</t>
  </si>
  <si>
    <t>VER3/0130-0773</t>
  </si>
  <si>
    <t>SMI Electropolished SU Adult Stylet Rod</t>
  </si>
  <si>
    <t>W1029849/1</t>
  </si>
  <si>
    <t>W1029850/1</t>
  </si>
  <si>
    <t>W1029851/1</t>
  </si>
  <si>
    <t>W1029852/1</t>
  </si>
  <si>
    <t>W1029853/1</t>
  </si>
  <si>
    <t>W1029854/1</t>
  </si>
  <si>
    <t>CBF</t>
  </si>
  <si>
    <t>W1010368/1</t>
  </si>
  <si>
    <t>VER3/0130-0773-BF</t>
  </si>
  <si>
    <t>Stylet Rod - Bent And Forged</t>
  </si>
  <si>
    <t>W1010369/1</t>
  </si>
  <si>
    <t>W1010370/1</t>
  </si>
  <si>
    <t>W1010371/1</t>
  </si>
  <si>
    <t>W1024276/1</t>
  </si>
  <si>
    <t>VER3/0130-0825-BF</t>
  </si>
  <si>
    <t>Reusable Stylet - Bend and Forge</t>
  </si>
  <si>
    <t>W1024277/1</t>
  </si>
  <si>
    <t>W1024278/1</t>
  </si>
  <si>
    <t>W1027271/1</t>
  </si>
  <si>
    <t>W1027272/1</t>
  </si>
  <si>
    <t>CBF 2</t>
  </si>
  <si>
    <t>W1023615/1</t>
  </si>
  <si>
    <t>VER3/0130-0887-BF</t>
  </si>
  <si>
    <t>Pediatric SU Stylet Rod - Bent And Forged</t>
  </si>
  <si>
    <t>W1023616/1</t>
  </si>
  <si>
    <t>W1023617/1</t>
  </si>
  <si>
    <t>Cut</t>
  </si>
  <si>
    <t>W1015569/VAL</t>
  </si>
  <si>
    <t>VER3/0130-0825-CUT</t>
  </si>
  <si>
    <t>Reusable Stylet - Cut and Tip</t>
  </si>
  <si>
    <t>W1015569</t>
  </si>
  <si>
    <t>W1026126/1</t>
  </si>
  <si>
    <t>VER3/0130-0773-CUT</t>
  </si>
  <si>
    <t>Su Stylet Rod- Cut</t>
  </si>
  <si>
    <t>W1026283/1</t>
  </si>
  <si>
    <t>W1028691/1</t>
  </si>
  <si>
    <t>W1028692/1</t>
  </si>
  <si>
    <t>W1028693/1</t>
  </si>
  <si>
    <t>W1028694/1</t>
  </si>
  <si>
    <t>Extruder</t>
  </si>
  <si>
    <t>23-036</t>
  </si>
  <si>
    <t>W1024435/1</t>
  </si>
  <si>
    <t>W1024436/1</t>
  </si>
  <si>
    <t>W1024437/1</t>
  </si>
  <si>
    <t>W1024438/1</t>
  </si>
  <si>
    <t>W1028105/1</t>
  </si>
  <si>
    <t>CHS1/577593-08</t>
  </si>
  <si>
    <t>Smooth-bore, single lumen , frosted 0.313" ID, 0.438"OD 8.00" Length</t>
  </si>
  <si>
    <t>W1024450/1</t>
  </si>
  <si>
    <t>W1024451/1</t>
  </si>
  <si>
    <t>W1024452/1</t>
  </si>
  <si>
    <t>W1030146/1</t>
  </si>
  <si>
    <t>CHS1/577593-120</t>
  </si>
  <si>
    <t>NBS Tubing, Clear, 0.375x120in</t>
  </si>
  <si>
    <t>Inspect &amp; Pack</t>
  </si>
  <si>
    <t>W1030129/1</t>
  </si>
  <si>
    <t>Mold Man</t>
  </si>
  <si>
    <t>VER3/0142-0802</t>
  </si>
  <si>
    <t>Encapsulated LoPro/Mac Ti, SU, 2.0</t>
  </si>
  <si>
    <t>W1028671/SMI</t>
  </si>
  <si>
    <t>W1028672/SMI</t>
  </si>
  <si>
    <t>W1028673/SMI</t>
  </si>
  <si>
    <t>W1028674/SMI</t>
  </si>
  <si>
    <t>W1028675/SMI</t>
  </si>
  <si>
    <t>W1028676/SMI</t>
  </si>
  <si>
    <t>W1030145/1</t>
  </si>
  <si>
    <t>Off Line Cuttin</t>
  </si>
  <si>
    <t>11-005</t>
  </si>
  <si>
    <t>W1030108/1</t>
  </si>
  <si>
    <t>SMT</t>
  </si>
  <si>
    <t>W1028754/VAL</t>
  </si>
  <si>
    <t>VER3/0141-1273-AA</t>
  </si>
  <si>
    <t>PCBA, OVM7690,CubeCamera &amp;EPROM Flex, Glidescope Single-Use</t>
  </si>
  <si>
    <t>W1029442/1</t>
  </si>
  <si>
    <t>W1029443/1</t>
  </si>
  <si>
    <t>W1029444/1</t>
  </si>
  <si>
    <t>W1029445/1</t>
  </si>
  <si>
    <t>W1029446/1</t>
  </si>
  <si>
    <t>W1029447/1</t>
  </si>
  <si>
    <t>ThermoformerDNA</t>
  </si>
  <si>
    <t>21-023</t>
  </si>
  <si>
    <t>W1027032/1</t>
  </si>
  <si>
    <t>DNA3/SP500-3</t>
  </si>
  <si>
    <t>Clamshell ( Rev 3 )</t>
  </si>
  <si>
    <t>Thermoformer-OK</t>
  </si>
  <si>
    <t>W1026066/1</t>
  </si>
  <si>
    <t>SMI3/2132-PG-16</t>
  </si>
  <si>
    <t>OK Support Shell</t>
  </si>
  <si>
    <t>21-018</t>
  </si>
  <si>
    <t>W1026067/1</t>
  </si>
  <si>
    <t>W1026068/1</t>
  </si>
  <si>
    <t>W1026069/1</t>
  </si>
  <si>
    <t>Thermoformer-OM</t>
  </si>
  <si>
    <t>W1026056/1</t>
  </si>
  <si>
    <t>SMI3/2129-PG-02</t>
  </si>
  <si>
    <t>OM Support Shell</t>
  </si>
  <si>
    <t>21-020</t>
  </si>
  <si>
    <t>W1026057/1</t>
  </si>
  <si>
    <t>W1026058/1</t>
  </si>
  <si>
    <t>W1026059/1</t>
  </si>
  <si>
    <t>W1026060/1</t>
  </si>
  <si>
    <t>W1026061/1</t>
  </si>
  <si>
    <t>W1029556/1</t>
  </si>
  <si>
    <t>24-032</t>
  </si>
  <si>
    <t>W1030249/SAM</t>
  </si>
  <si>
    <t>VER3/0122-1303</t>
  </si>
  <si>
    <t>Tube Fitting Body, Accessory Port</t>
  </si>
  <si>
    <t>W1027883/1</t>
  </si>
  <si>
    <t>Titanium Lopro T4 Belt Sand</t>
  </si>
  <si>
    <t>Titanium Lopro T2 Belt Sand</t>
  </si>
  <si>
    <t>Titanium Lopro T3 Belt Sand</t>
  </si>
  <si>
    <t>Titanium Lopro T2 Shell</t>
  </si>
  <si>
    <t>Titanium Lopro T3 Shell</t>
  </si>
  <si>
    <t>Titanium Lopro T4 Shell</t>
  </si>
  <si>
    <t>W1028937/FG</t>
  </si>
  <si>
    <t>W1029644/1</t>
  </si>
  <si>
    <t>W1029646/1</t>
  </si>
  <si>
    <t>W1029347/1</t>
  </si>
  <si>
    <t>W1029329/1</t>
  </si>
  <si>
    <t>SMI1/OMN-1025</t>
  </si>
  <si>
    <t>OxyMask Aerosol Adult 22m Adapter</t>
  </si>
  <si>
    <t>VER3/0130-1072BS</t>
  </si>
  <si>
    <t>Titanium Mac T3 Belt Sand</t>
  </si>
  <si>
    <t>Titanium Mac T4 Belt Sand</t>
  </si>
  <si>
    <t>VER3/0130-1073BS</t>
  </si>
  <si>
    <t>W1029950/1</t>
  </si>
  <si>
    <t>W1028938/1</t>
  </si>
  <si>
    <t>W1029953/1</t>
  </si>
  <si>
    <t>W1028939/1</t>
  </si>
  <si>
    <t>W1026164/1</t>
  </si>
  <si>
    <t>W1027867/1</t>
  </si>
  <si>
    <t>W1025357/1</t>
  </si>
  <si>
    <t>W1025358/1</t>
  </si>
  <si>
    <t>W1028066/1</t>
  </si>
  <si>
    <t>W1028887/1</t>
  </si>
  <si>
    <t>W1028083/1</t>
  </si>
  <si>
    <t>SMI3/2257-PT-04</t>
  </si>
  <si>
    <t>W1024551/1</t>
  </si>
  <si>
    <t>Sub Assy - 8' Male to Male Luer</t>
  </si>
  <si>
    <t>W1025796/1</t>
  </si>
  <si>
    <t>W1025797/1</t>
  </si>
  <si>
    <t>W1025798/1</t>
  </si>
  <si>
    <t>W1024552/1</t>
  </si>
  <si>
    <t>Titanium Mac T3 Shell</t>
  </si>
  <si>
    <t>Titanium Mac T4 Shell</t>
  </si>
  <si>
    <t>W1028938/FG</t>
  </si>
  <si>
    <t>W1026164/FG</t>
  </si>
  <si>
    <t>W1028939/FG</t>
  </si>
  <si>
    <t>W1027867/FG</t>
  </si>
  <si>
    <t>W1029953/FG</t>
  </si>
  <si>
    <t>W1029950/FG</t>
  </si>
  <si>
    <t>W1025416/1</t>
  </si>
  <si>
    <t>SMI1/CO2-03</t>
  </si>
  <si>
    <t>Adult Ophthalmic Capnoxygen Mask</t>
  </si>
  <si>
    <t>W1028750/1</t>
  </si>
  <si>
    <t>FLX1/10001B</t>
  </si>
  <si>
    <t>FLEX Bulk (Cup in Blank Intimate Wrap)</t>
  </si>
  <si>
    <t>W1025321/1</t>
  </si>
  <si>
    <t>W1027497/1</t>
  </si>
  <si>
    <t>W1027500/1</t>
  </si>
  <si>
    <t>W1029877/1</t>
  </si>
  <si>
    <t>W1028749/1</t>
  </si>
  <si>
    <t>W1022143/1</t>
  </si>
  <si>
    <t>FLX1/10119</t>
  </si>
  <si>
    <t>Soft Disc 24 Count Disc US Retail</t>
  </si>
  <si>
    <t>W1022144/1</t>
  </si>
  <si>
    <t>W1022201/1</t>
  </si>
  <si>
    <t>FLX1/10043</t>
  </si>
  <si>
    <t>Flex Cup Size 1 USA</t>
  </si>
  <si>
    <t>W1030000/1</t>
  </si>
  <si>
    <t>FLX1/10044</t>
  </si>
  <si>
    <t>Flex Cup Size 2 USA</t>
  </si>
  <si>
    <t>W1029970/1</t>
  </si>
  <si>
    <t>FLX1/10017</t>
  </si>
  <si>
    <t>FLEX Assembly 8 Count Bag</t>
  </si>
  <si>
    <t>W1022177/1</t>
  </si>
  <si>
    <t>W1022181/1</t>
  </si>
  <si>
    <t>W1026796/1</t>
  </si>
  <si>
    <t>FLX1/10268</t>
  </si>
  <si>
    <t>FLEX 2 Count Sample Pack</t>
  </si>
  <si>
    <t>W1022147/1</t>
  </si>
  <si>
    <t>W1019391/1</t>
  </si>
  <si>
    <t>FLX1/10044AM</t>
  </si>
  <si>
    <t>Flex Cup Size 2 Amazon</t>
  </si>
  <si>
    <t>W1029980/1</t>
  </si>
  <si>
    <t>FLX1/10128JP</t>
  </si>
  <si>
    <t>FLEX Plant + Disc 12 Count Bag Japan</t>
  </si>
  <si>
    <t>W1022202/1</t>
  </si>
  <si>
    <t>W1029971/1</t>
  </si>
  <si>
    <t>W1022157/1</t>
  </si>
  <si>
    <t>FLX1/10056</t>
  </si>
  <si>
    <t>FLEX 12 CT Vertical Assembly</t>
  </si>
  <si>
    <t>W1022160/1</t>
  </si>
  <si>
    <t>W1022153/1</t>
  </si>
  <si>
    <t>W1022195/1</t>
  </si>
  <si>
    <t>W1022198/1</t>
  </si>
  <si>
    <t>W1020817/1</t>
  </si>
  <si>
    <t>W1025674/1</t>
  </si>
  <si>
    <t>FLX1/10056A</t>
  </si>
  <si>
    <t>FLEX 12 CT Vertical (Old Packaging)</t>
  </si>
  <si>
    <t>W1022199/1</t>
  </si>
  <si>
    <t>W1022154/1</t>
  </si>
  <si>
    <t>W1025334/1</t>
  </si>
  <si>
    <t>W1028747/1</t>
  </si>
  <si>
    <t>W1028753/1</t>
  </si>
  <si>
    <t>W1021925/1</t>
  </si>
  <si>
    <t>#11 SafetyScalpel Bulk NonSterile 500/cs</t>
  </si>
  <si>
    <t>W1030264-4/1</t>
  </si>
  <si>
    <t>SPSS # 4</t>
  </si>
  <si>
    <t>SMI1/73-9222</t>
  </si>
  <si>
    <t>SPSS Cart #22-Non Sterile</t>
  </si>
  <si>
    <t>W1030263/1</t>
  </si>
  <si>
    <t>W1029791</t>
  </si>
  <si>
    <t>W1029792</t>
  </si>
  <si>
    <t>W1029113</t>
  </si>
  <si>
    <t>W1029114</t>
  </si>
  <si>
    <t>W1029115</t>
  </si>
  <si>
    <t>W1029116</t>
  </si>
  <si>
    <t>W1029117</t>
  </si>
  <si>
    <t>W1029594</t>
  </si>
  <si>
    <t>W1029595</t>
  </si>
  <si>
    <t>W1029596</t>
  </si>
  <si>
    <t>W1029597</t>
  </si>
  <si>
    <t>W1029598</t>
  </si>
  <si>
    <t>W1029901</t>
  </si>
  <si>
    <t>W1029902</t>
  </si>
  <si>
    <t>W1029903</t>
  </si>
  <si>
    <t>W1029904</t>
  </si>
  <si>
    <t>W1029905</t>
  </si>
  <si>
    <t>W1029906</t>
  </si>
  <si>
    <t>W1029907</t>
  </si>
  <si>
    <t>W1029908</t>
  </si>
  <si>
    <t>W1029909</t>
  </si>
  <si>
    <t>W1028991</t>
  </si>
  <si>
    <t>W1028992</t>
  </si>
  <si>
    <t>W1028993</t>
  </si>
  <si>
    <t>W1028994</t>
  </si>
  <si>
    <t>W1028995</t>
  </si>
  <si>
    <t>W1028996</t>
  </si>
  <si>
    <t>W1028997</t>
  </si>
  <si>
    <t>W1028998</t>
  </si>
  <si>
    <t>W1029802</t>
  </si>
  <si>
    <t>W1029803</t>
  </si>
  <si>
    <t>W1029804</t>
  </si>
  <si>
    <t>W1029805</t>
  </si>
  <si>
    <t>W1029806</t>
  </si>
  <si>
    <t>W1030290</t>
  </si>
  <si>
    <t>W1030291</t>
  </si>
  <si>
    <t>W1030292</t>
  </si>
  <si>
    <t>W1030293</t>
  </si>
  <si>
    <t>W1030294</t>
  </si>
  <si>
    <t>W1030295</t>
  </si>
  <si>
    <t>W1030296</t>
  </si>
  <si>
    <t>W1030297</t>
  </si>
  <si>
    <t>W1030298</t>
  </si>
  <si>
    <t>W1030299</t>
  </si>
  <si>
    <t>W1029612</t>
  </si>
  <si>
    <t>W1029613</t>
  </si>
  <si>
    <t>W1029614</t>
  </si>
  <si>
    <t>W1029615</t>
  </si>
  <si>
    <t>W1029616</t>
  </si>
  <si>
    <t>W1029617</t>
  </si>
  <si>
    <t>W1029618</t>
  </si>
  <si>
    <t>W1029619</t>
  </si>
  <si>
    <t>W1029920</t>
  </si>
  <si>
    <t>W1029921</t>
  </si>
  <si>
    <t>W1029922</t>
  </si>
  <si>
    <t>W1029923</t>
  </si>
  <si>
    <t>W1029924</t>
  </si>
  <si>
    <t>W1029925</t>
  </si>
  <si>
    <t>W1029926</t>
  </si>
  <si>
    <t>W1030088/1</t>
  </si>
  <si>
    <t>W1030089/1</t>
  </si>
  <si>
    <t>W1030090/1</t>
  </si>
  <si>
    <t>W1030091/1</t>
  </si>
  <si>
    <t>W1030092/1</t>
  </si>
  <si>
    <t>W1030093/1</t>
  </si>
  <si>
    <t>W1030094/1</t>
  </si>
  <si>
    <t>W1030095/1</t>
  </si>
  <si>
    <t>W1028478/1</t>
  </si>
  <si>
    <t>VER1/0270-0877</t>
  </si>
  <si>
    <t>LoPro S2</t>
  </si>
  <si>
    <t>W1027990/1</t>
  </si>
  <si>
    <t>W1028122/1</t>
  </si>
  <si>
    <t>W1027986/1</t>
  </si>
  <si>
    <t>W1028476/1</t>
  </si>
  <si>
    <t>W1030252/1</t>
  </si>
  <si>
    <t>W1030050/1</t>
  </si>
  <si>
    <t>W1030051/1</t>
  </si>
  <si>
    <t>W1028587/1</t>
  </si>
  <si>
    <t>W1028588/1</t>
  </si>
  <si>
    <t>W1030250/1</t>
  </si>
  <si>
    <t>W1030251/1</t>
  </si>
  <si>
    <t>W1028578/1</t>
  </si>
  <si>
    <t>W1029223/1</t>
  </si>
  <si>
    <t>W1030163/1</t>
  </si>
  <si>
    <t>W1028547/1</t>
  </si>
  <si>
    <t>W1029747/1</t>
  </si>
  <si>
    <t>VER1/0270-1142</t>
  </si>
  <si>
    <t>QC ECO ,HA S1, NS, GS SPECTRUM BOX-10</t>
  </si>
  <si>
    <t>W1029279/1</t>
  </si>
  <si>
    <t>W1029280/1</t>
  </si>
  <si>
    <t>W1028034/1</t>
  </si>
  <si>
    <t>VER1/0270-1089</t>
  </si>
  <si>
    <t>Spectrum QC HA S1</t>
  </si>
  <si>
    <t>W1028537/1</t>
  </si>
  <si>
    <t>W1027655/1</t>
  </si>
  <si>
    <t>W1027656/1</t>
  </si>
  <si>
    <t>W1027657/1</t>
  </si>
  <si>
    <t>W1027658/1</t>
  </si>
  <si>
    <t>W1028591/1</t>
  </si>
  <si>
    <t>W1028592/1</t>
  </si>
  <si>
    <t>W1028593/1</t>
  </si>
  <si>
    <t>W1028594/1</t>
  </si>
  <si>
    <t>W1028595/1</t>
  </si>
  <si>
    <t>W1027557/1</t>
  </si>
  <si>
    <t>W1027559/1</t>
  </si>
  <si>
    <t>W1027560/1</t>
  </si>
  <si>
    <t>W1028651/1</t>
  </si>
  <si>
    <t>W1028665/1</t>
  </si>
  <si>
    <t>W1028666/1</t>
  </si>
  <si>
    <t>W1028644/1</t>
  </si>
  <si>
    <t>W1028645/1</t>
  </si>
  <si>
    <t>W1028652/1</t>
  </si>
  <si>
    <t>W1028609/1</t>
  </si>
  <si>
    <t>W1028608/1</t>
  </si>
  <si>
    <t>W1028614/1</t>
  </si>
  <si>
    <t>W1028607/1</t>
  </si>
  <si>
    <t>W1028610/1</t>
  </si>
  <si>
    <t>W1028615/1</t>
  </si>
  <si>
    <t>W1028637/1</t>
  </si>
  <si>
    <t>W1028425/1</t>
  </si>
  <si>
    <t>W1028811/1</t>
  </si>
  <si>
    <t>VER1/0270-1151</t>
  </si>
  <si>
    <t>QC ECO, MAC S1, NS, GS SPECTRUM BOX-10</t>
  </si>
  <si>
    <t>W1028638/1</t>
  </si>
  <si>
    <t>W1028630/1</t>
  </si>
  <si>
    <r>
      <t xml:space="preserve">Encapsulated Quick Connect PCB - </t>
    </r>
    <r>
      <rPr>
        <b/>
        <sz val="11"/>
        <color rgb="FFFF0000"/>
        <rFont val="Aptos Narrow"/>
        <family val="2"/>
        <scheme val="minor"/>
      </rPr>
      <t>PFC MIPI Cameras</t>
    </r>
  </si>
  <si>
    <r>
      <t xml:space="preserve">Encapsulated Quick Connect PCB-  </t>
    </r>
    <r>
      <rPr>
        <b/>
        <sz val="11"/>
        <color rgb="FFFF0000"/>
        <rFont val="Aptos Narrow"/>
        <family val="2"/>
        <scheme val="minor"/>
      </rPr>
      <t>PFC MIPI Cameras</t>
    </r>
  </si>
  <si>
    <r>
      <t xml:space="preserve">Encapsulated Quick Connect PCB - </t>
    </r>
    <r>
      <rPr>
        <b/>
        <sz val="11"/>
        <color theme="3" tint="0.499984740745262"/>
        <rFont val="Aptos Narrow"/>
        <family val="2"/>
        <scheme val="minor"/>
      </rPr>
      <t>Celestica MIPI Cameras</t>
    </r>
  </si>
  <si>
    <t>W1023058/1</t>
  </si>
  <si>
    <t>W1023766/1</t>
  </si>
  <si>
    <t>W1023767/1</t>
  </si>
  <si>
    <t>W1027806/1</t>
  </si>
  <si>
    <t>VER1/0270-1130</t>
  </si>
  <si>
    <t>Clearfit MAC 3 - Box of 10</t>
  </si>
  <si>
    <t>W1027291/1</t>
  </si>
  <si>
    <t>W1027293/1</t>
  </si>
  <si>
    <t>W1028669/1</t>
  </si>
  <si>
    <t>W1028501/1</t>
  </si>
  <si>
    <t>W1028502/1</t>
  </si>
  <si>
    <t>W1028503/1</t>
  </si>
  <si>
    <t>W1028504/1</t>
  </si>
  <si>
    <t>W1028505/1</t>
  </si>
  <si>
    <t>W1028506/1</t>
  </si>
  <si>
    <t>W1028507/1</t>
  </si>
  <si>
    <t>W1028508/1</t>
  </si>
  <si>
    <t>W1028509/1</t>
  </si>
  <si>
    <t>W1028510/1</t>
  </si>
  <si>
    <t>W1022446/1</t>
  </si>
  <si>
    <t>VER3/0142-1119</t>
  </si>
  <si>
    <t>BFlex Sampler Bridge Assembly</t>
  </si>
  <si>
    <t>W1030261/SAM</t>
  </si>
  <si>
    <t>W1030245/PV1</t>
  </si>
  <si>
    <t>VER3/0142-1134</t>
  </si>
  <si>
    <t>Orion Sub-Assy, Stopcock</t>
  </si>
  <si>
    <t>W1030247/PV2</t>
  </si>
  <si>
    <t>PV2</t>
  </si>
  <si>
    <t>W1030248/PV3</t>
  </si>
  <si>
    <t>PV3</t>
  </si>
  <si>
    <t>W1027078/1</t>
  </si>
  <si>
    <t>VER3/0142-1127</t>
  </si>
  <si>
    <t>Orion Sub-Assy, Accessory Port</t>
  </si>
  <si>
    <t>W1022426/1</t>
  </si>
  <si>
    <t>VER1/0270-1141</t>
  </si>
  <si>
    <t>BFlex Sampler - Box of 5</t>
  </si>
  <si>
    <t>W1025599/1</t>
  </si>
  <si>
    <t>W1027831/1</t>
  </si>
  <si>
    <t>VER3/0122-1365</t>
  </si>
  <si>
    <t>Shell, Left, Spectrum QC, Miller S1, NS Bio-ABS</t>
  </si>
  <si>
    <t>W1029894/1</t>
  </si>
  <si>
    <t>20-024</t>
  </si>
  <si>
    <t>W1030155/1</t>
  </si>
  <si>
    <t>VER3/0142-0987</t>
  </si>
  <si>
    <t>Single Use Medium Gliderite Stylet</t>
  </si>
  <si>
    <t>W1029313/1</t>
  </si>
  <si>
    <t>W1029314/1</t>
  </si>
  <si>
    <t>W1029315/1</t>
  </si>
  <si>
    <t>W1029316/1</t>
  </si>
  <si>
    <t>W1029317/1</t>
  </si>
  <si>
    <t>23-053</t>
  </si>
  <si>
    <t>VER3/0122-1200</t>
  </si>
  <si>
    <t>CLEARFIT Miller S2 - Over mold</t>
  </si>
  <si>
    <t>23-038</t>
  </si>
  <si>
    <t>W1022647-1/1</t>
  </si>
  <si>
    <t>VER3/0122-1199</t>
  </si>
  <si>
    <t>CLEARFIT MAC S4</t>
  </si>
  <si>
    <t>23-050</t>
  </si>
  <si>
    <t>W1022781/1</t>
  </si>
  <si>
    <t>VER3/0122-1288</t>
  </si>
  <si>
    <t>Sampler Container Bottle</t>
  </si>
  <si>
    <t>23-054</t>
  </si>
  <si>
    <t>23-039</t>
  </si>
  <si>
    <t>W1022647/1</t>
  </si>
  <si>
    <r>
      <t>Encapsulated LoPro/Mac Ti, SU, 2.0 -</t>
    </r>
    <r>
      <rPr>
        <b/>
        <sz val="11"/>
        <color rgb="FFFF0000"/>
        <rFont val="Aptos Narrow"/>
        <family val="2"/>
        <scheme val="minor"/>
      </rPr>
      <t xml:space="preserve"> </t>
    </r>
    <r>
      <rPr>
        <b/>
        <sz val="11"/>
        <color theme="6"/>
        <rFont val="Aptos Narrow"/>
        <family val="2"/>
        <scheme val="minor"/>
      </rPr>
      <t>PFC Cameras</t>
    </r>
  </si>
  <si>
    <t>VER3/0142-0976</t>
  </si>
  <si>
    <t>OVM7695 Encapsulated Miller PCBA</t>
  </si>
  <si>
    <t>W1030321/1</t>
  </si>
  <si>
    <r>
      <t xml:space="preserve">QC ECO, MAC S2, NS, GS SPECTRUM BOX-10 - </t>
    </r>
    <r>
      <rPr>
        <b/>
        <sz val="11"/>
        <color rgb="FFFF0000"/>
        <rFont val="Aptos Narrow"/>
        <family val="2"/>
      </rPr>
      <t>MIPI Cameras</t>
    </r>
  </si>
  <si>
    <t>SMI3/2288-PT-10</t>
  </si>
  <si>
    <t>W1026619/1</t>
  </si>
  <si>
    <t>W1026620/1</t>
  </si>
  <si>
    <t>23-040</t>
  </si>
  <si>
    <t>W1026622/1</t>
  </si>
  <si>
    <t>W1026621/1</t>
  </si>
  <si>
    <t>OM2 Mask</t>
  </si>
  <si>
    <t>p 07-17-2026</t>
  </si>
  <si>
    <t>p 07-16-2026</t>
  </si>
  <si>
    <t>DG04</t>
  </si>
  <si>
    <t>DG05</t>
  </si>
  <si>
    <t>DG06</t>
  </si>
  <si>
    <t>DG101</t>
  </si>
  <si>
    <t>W1030339/1</t>
  </si>
  <si>
    <t xml:space="preserve">QC ECO ,HA S2.5, NS, GS SPECTRUM BOX-10 - </t>
  </si>
  <si>
    <t>SMI1/73-1811</t>
  </si>
  <si>
    <t>W1026729/1</t>
  </si>
  <si>
    <t>SMI2/OT-1025-8</t>
  </si>
  <si>
    <t>OxyMask II Tyke 7'</t>
  </si>
  <si>
    <t>W1028829/1</t>
  </si>
  <si>
    <t>SMI2/OP-1125-8</t>
  </si>
  <si>
    <t>OxyMask II Plus 7'</t>
  </si>
  <si>
    <t>W1028835/1</t>
  </si>
  <si>
    <t>SMI2/OK-1125-8</t>
  </si>
  <si>
    <t>OxyMask II Kid 7'</t>
  </si>
  <si>
    <r>
      <t>Spectrum QC HA S3 -</t>
    </r>
    <r>
      <rPr>
        <b/>
        <sz val="11"/>
        <color rgb="FFFF0000"/>
        <rFont val="Aptos Narrow"/>
        <family val="2"/>
      </rPr>
      <t xml:space="preserve"> MIPI Cameras</t>
    </r>
    <r>
      <rPr>
        <sz val="11"/>
        <color theme="1"/>
        <rFont val="Aptos Narrow"/>
        <family val="2"/>
      </rPr>
      <t xml:space="preserve"> </t>
    </r>
    <r>
      <rPr>
        <b/>
        <sz val="11"/>
        <color theme="8"/>
        <rFont val="Aptos Narrow"/>
        <family val="2"/>
      </rPr>
      <t>(in Purple bags)</t>
    </r>
  </si>
  <si>
    <t xml:space="preserve">Spectrum QC HA S3 </t>
  </si>
  <si>
    <r>
      <t xml:space="preserve">QC ECO ,MAC S4, NS, GS SPECTRUM - </t>
    </r>
    <r>
      <rPr>
        <b/>
        <sz val="11"/>
        <color rgb="FFFF0000"/>
        <rFont val="Aptos Narrow"/>
        <family val="2"/>
      </rPr>
      <t xml:space="preserve">MIPI Cameras  </t>
    </r>
    <r>
      <rPr>
        <b/>
        <sz val="11"/>
        <color theme="8"/>
        <rFont val="Aptos Narrow"/>
        <family val="2"/>
      </rPr>
      <t>(in Purple bags)</t>
    </r>
  </si>
  <si>
    <r>
      <t xml:space="preserve">QC ECO ,MAC S3, NS, GS SPECTRUM </t>
    </r>
    <r>
      <rPr>
        <b/>
        <sz val="11"/>
        <color rgb="FFFF0000"/>
        <rFont val="Aptos Narrow"/>
        <family val="2"/>
      </rPr>
      <t xml:space="preserve">MIPI Cameras  </t>
    </r>
    <r>
      <rPr>
        <b/>
        <sz val="11"/>
        <color theme="8"/>
        <rFont val="Aptos Narrow"/>
        <family val="2"/>
      </rPr>
      <t>(in Purple bags)</t>
    </r>
  </si>
  <si>
    <t>P 07-21-2026</t>
  </si>
  <si>
    <t>W1029937</t>
  </si>
  <si>
    <t>W1029938</t>
  </si>
  <si>
    <t>W1029939</t>
  </si>
  <si>
    <t>W1029940</t>
  </si>
  <si>
    <t>W1029941</t>
  </si>
  <si>
    <t>W1029942</t>
  </si>
  <si>
    <t>W1029943</t>
  </si>
  <si>
    <t>W1029944</t>
  </si>
  <si>
    <t>W1030202</t>
  </si>
  <si>
    <t>W1030203</t>
  </si>
  <si>
    <t>W1030204</t>
  </si>
  <si>
    <t>W1030205</t>
  </si>
  <si>
    <t>W1030206</t>
  </si>
  <si>
    <t>W1030207</t>
  </si>
  <si>
    <t>W1030208</t>
  </si>
  <si>
    <t>W1030209</t>
  </si>
  <si>
    <t>W1030210</t>
  </si>
  <si>
    <t>W1030211</t>
  </si>
  <si>
    <t>SMI3/730080</t>
  </si>
  <si>
    <t>Blade Singulate</t>
  </si>
  <si>
    <t>Singulated #10 Blade Blank</t>
  </si>
  <si>
    <t>W1028940/1</t>
  </si>
  <si>
    <t>VER1/0143-0004</t>
  </si>
  <si>
    <t>VER1/0143-0005</t>
  </si>
  <si>
    <t>W1030344/1</t>
  </si>
  <si>
    <r>
      <t>Orion Sub-Assy, Yomura Stopcock</t>
    </r>
    <r>
      <rPr>
        <b/>
        <sz val="11"/>
        <color rgb="FFFF0000"/>
        <rFont val="Aptos Narrow"/>
        <family val="2"/>
      </rPr>
      <t xml:space="preserve"> ( for Q3 QDA Testing) </t>
    </r>
  </si>
  <si>
    <r>
      <t xml:space="preserve">Encapsulated Quick Connect PCB-  </t>
    </r>
    <r>
      <rPr>
        <b/>
        <sz val="11"/>
        <color rgb="FFFF0000"/>
        <rFont val="Aptos Narrow"/>
        <family val="2"/>
      </rPr>
      <t>PFC MIPI Cameras</t>
    </r>
  </si>
  <si>
    <t>W1030343/1</t>
  </si>
  <si>
    <t>Z+A158:Q158one 2</t>
  </si>
  <si>
    <t>P+Q161</t>
  </si>
  <si>
    <t>P 07-22-2026</t>
  </si>
  <si>
    <t>W1030369/SAM</t>
  </si>
  <si>
    <t>W1030351/1</t>
  </si>
  <si>
    <t>VER1/0122-1322</t>
  </si>
  <si>
    <t>24-026</t>
  </si>
  <si>
    <t>W1030353/VAL</t>
  </si>
  <si>
    <t>W1030354/VAL</t>
  </si>
  <si>
    <t>W1030355/VAL</t>
  </si>
  <si>
    <t>Funnel Protective Cover, Orion</t>
  </si>
  <si>
    <t>W1025356 to change to inline printing for Tube labels - pause for record release</t>
  </si>
  <si>
    <t>DG102</t>
  </si>
  <si>
    <t>W1029927</t>
  </si>
  <si>
    <t>W1029928</t>
  </si>
  <si>
    <t>W1029929</t>
  </si>
  <si>
    <t>W1029930</t>
  </si>
  <si>
    <t>W1029931</t>
  </si>
  <si>
    <t>W1029932</t>
  </si>
  <si>
    <t>W1029933</t>
  </si>
  <si>
    <t>W1029934</t>
  </si>
  <si>
    <t>W1029935</t>
  </si>
  <si>
    <t>W1029936</t>
  </si>
  <si>
    <t>W1029547/1</t>
  </si>
  <si>
    <t>SMI3/730082</t>
  </si>
  <si>
    <t>Singulated #15 Blade Blank</t>
  </si>
  <si>
    <t>Cut @129</t>
  </si>
  <si>
    <t>Cut @136</t>
  </si>
  <si>
    <t>W1030432/1</t>
  </si>
  <si>
    <t>W1030433/1</t>
  </si>
  <si>
    <t>W1030434/1</t>
  </si>
  <si>
    <r>
      <t xml:space="preserve">QC ECO ,HA S3, NS, GS SPECTRUM BOX-10 </t>
    </r>
    <r>
      <rPr>
        <b/>
        <sz val="11"/>
        <color rgb="FFFF0000"/>
        <rFont val="Aptos Narrow"/>
        <family val="2"/>
      </rPr>
      <t xml:space="preserve">MIPI Cameras </t>
    </r>
    <r>
      <rPr>
        <b/>
        <sz val="11"/>
        <color theme="8"/>
        <rFont val="Aptos Narrow"/>
        <family val="2"/>
      </rPr>
      <t>(in Purple bags)</t>
    </r>
  </si>
  <si>
    <t xml:space="preserve">Spectrum QC HA S4 </t>
  </si>
  <si>
    <t xml:space="preserve">QC ECO ,HA S2, NS, GS SPECTRUM BOX-10 - </t>
  </si>
  <si>
    <r>
      <t xml:space="preserve">QC ECO ,HA S2, NS, GS SPECTRUM </t>
    </r>
    <r>
      <rPr>
        <b/>
        <sz val="11"/>
        <color rgb="FFFF0000"/>
        <rFont val="Aptos Narrow"/>
        <family val="2"/>
      </rPr>
      <t>MIPI Cameras</t>
    </r>
    <r>
      <rPr>
        <b/>
        <sz val="11"/>
        <color theme="8"/>
        <rFont val="Aptos Narrow"/>
        <family val="2"/>
      </rPr>
      <t xml:space="preserve"> (in Purple bags)</t>
    </r>
  </si>
  <si>
    <t>W1030156/1</t>
  </si>
  <si>
    <t>FLX1/10100</t>
  </si>
  <si>
    <t>Flex Cup Size 1 Canadian</t>
  </si>
  <si>
    <t>W1030439/1</t>
  </si>
  <si>
    <t>W1030441/1</t>
  </si>
  <si>
    <t>W1030318/1</t>
  </si>
  <si>
    <t>W1030430/1</t>
  </si>
  <si>
    <t>W1030431/SAM</t>
  </si>
  <si>
    <t>HNDL PERS+ SAFETY SCALP (LNG TRAVEL) - HIGH DURA SAMPLE</t>
  </si>
  <si>
    <t>W1030436/SAM</t>
  </si>
  <si>
    <t>W1030447/1</t>
  </si>
  <si>
    <t>W1024401/1</t>
  </si>
  <si>
    <t>SMI3/000330-1-8</t>
  </si>
  <si>
    <t>Oxygen Supply Tube</t>
  </si>
  <si>
    <t>SMI3/2159-PT-10</t>
  </si>
  <si>
    <t>W1025391/1</t>
  </si>
  <si>
    <t>Non Pvc Oxygen Tubing</t>
  </si>
  <si>
    <t>DG07</t>
  </si>
  <si>
    <t>DNA3/710883-T3</t>
  </si>
  <si>
    <t>W1030453/1</t>
  </si>
  <si>
    <t>14-018</t>
  </si>
  <si>
    <t>W1030352/1</t>
  </si>
  <si>
    <t>SMI1/ETPSR3/00A50</t>
  </si>
  <si>
    <t>Endo. Tube Protector triple Ring</t>
  </si>
  <si>
    <r>
      <t xml:space="preserve">Camera, Green OVM7695 Encapsulated Quickconnect - </t>
    </r>
    <r>
      <rPr>
        <b/>
        <sz val="11"/>
        <color rgb="FFFF0000"/>
        <rFont val="Aptos Narrow"/>
        <family val="2"/>
        <scheme val="minor"/>
      </rPr>
      <t>MIPI Cameras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</si>
</sst>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5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i/>
      <sz val="11"/>
      <name val="Calibri"/>
      <family val="2"/>
    </font>
    <font>
      <i/>
      <sz val="11"/>
      <color rgb="FF7030A0"/>
      <name val="Calibri"/>
      <family val="2"/>
    </font>
    <font>
      <sz val="12"/>
      <color rgb="FF000000"/>
      <name val="Aptos"/>
      <family val="2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FF0000"/>
      <name val="Aptos Narrow"/>
      <family val="2"/>
    </font>
    <font>
      <sz val="11"/>
      <color theme="1"/>
      <name val="Aptos Narrow"/>
      <family val="2"/>
    </font>
    <font>
      <b/>
      <sz val="11"/>
      <color theme="8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BDD7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3" borderId="0" xfId="0" applyFont="1" applyFill="1"/>
    <xf numFmtId="164" fontId="2" fillId="3" borderId="0" xfId="0" applyNumberFormat="1" applyFont="1" applyFill="1"/>
    <xf numFmtId="164" fontId="0" fillId="0" borderId="0" xfId="0" applyNumberFormat="1"/>
    <xf numFmtId="0" fontId="0" fillId="0" borderId="1" xfId="0" applyBorder="1"/>
    <xf numFmtId="0" fontId="0" fillId="4" borderId="0" xfId="0" applyFill="1"/>
    <xf numFmtId="0" fontId="0" fillId="5" borderId="0" xfId="0" applyFill="1"/>
    <xf numFmtId="0" fontId="0" fillId="6" borderId="1" xfId="0" applyFill="1" applyBorder="1"/>
    <xf numFmtId="0" fontId="0" fillId="7" borderId="0" xfId="0" applyFill="1"/>
    <xf numFmtId="164" fontId="0" fillId="7" borderId="0" xfId="0" applyNumberFormat="1" applyFill="1"/>
    <xf numFmtId="0" fontId="0" fillId="6" borderId="0" xfId="0" applyFill="1"/>
    <xf numFmtId="14" fontId="0" fillId="6" borderId="0" xfId="0" applyNumberFormat="1" applyFill="1"/>
    <xf numFmtId="0" fontId="0" fillId="0" borderId="2" xfId="0" applyBorder="1"/>
    <xf numFmtId="0" fontId="0" fillId="8" borderId="0" xfId="0" applyFill="1"/>
    <xf numFmtId="14" fontId="0" fillId="0" borderId="2" xfId="0" applyNumberFormat="1" applyBorder="1"/>
    <xf numFmtId="0" fontId="3" fillId="0" borderId="0" xfId="0" applyFont="1"/>
    <xf numFmtId="0" fontId="4" fillId="0" borderId="0" xfId="0" applyFont="1"/>
    <xf numFmtId="0" fontId="4" fillId="0" borderId="0" xfId="0" applyFont="1" applyAlignment="1" applyProtection="1">
      <alignment horizontal="right" vertical="top"/>
      <protection locked="0"/>
    </xf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 applyProtection="1">
      <alignment horizontal="right" vertical="top"/>
      <protection locked="0"/>
    </xf>
    <xf numFmtId="0" fontId="1" fillId="2" borderId="0" xfId="0" applyFont="1" applyFill="1"/>
    <xf numFmtId="0" fontId="4" fillId="0" borderId="0" xfId="0" applyFont="1" applyAlignment="1" applyProtection="1">
      <alignment horizontal="right"/>
      <protection locked="0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6" fillId="0" borderId="0" xfId="0" applyFont="1" applyAlignment="1" applyProtection="1">
      <alignment horizontal="right"/>
      <protection locked="0"/>
    </xf>
    <xf numFmtId="14" fontId="6" fillId="0" borderId="0" xfId="0" applyNumberFormat="1" applyFont="1"/>
    <xf numFmtId="0" fontId="0" fillId="0" borderId="0" xfId="0" applyAlignment="1">
      <alignment horizontal="right"/>
    </xf>
    <xf numFmtId="0" fontId="0" fillId="0" borderId="3" xfId="0" applyBorder="1"/>
    <xf numFmtId="164" fontId="0" fillId="0" borderId="3" xfId="0" applyNumberFormat="1" applyBorder="1"/>
    <xf numFmtId="0" fontId="0" fillId="0" borderId="2" xfId="0" applyBorder="1" applyAlignment="1">
      <alignment horizontal="right"/>
    </xf>
    <xf numFmtId="164" fontId="0" fillId="0" borderId="2" xfId="0" applyNumberFormat="1" applyBorder="1"/>
    <xf numFmtId="0" fontId="0" fillId="9" borderId="0" xfId="0" applyFill="1"/>
    <xf numFmtId="164" fontId="0" fillId="9" borderId="0" xfId="0" applyNumberFormat="1" applyFill="1"/>
    <xf numFmtId="0" fontId="0" fillId="10" borderId="2" xfId="0" applyFill="1" applyBorder="1"/>
    <xf numFmtId="0" fontId="0" fillId="6" borderId="0" xfId="0" applyFill="1" applyAlignment="1">
      <alignment horizontal="right"/>
    </xf>
    <xf numFmtId="164" fontId="0" fillId="6" borderId="0" xfId="0" applyNumberFormat="1" applyFill="1"/>
    <xf numFmtId="0" fontId="0" fillId="6" borderId="4" xfId="0" applyFill="1" applyBorder="1"/>
    <xf numFmtId="164" fontId="0" fillId="6" borderId="4" xfId="0" applyNumberFormat="1" applyFill="1" applyBorder="1"/>
    <xf numFmtId="164" fontId="0" fillId="0" borderId="1" xfId="0" applyNumberFormat="1" applyBorder="1"/>
    <xf numFmtId="164" fontId="0" fillId="10" borderId="2" xfId="0" applyNumberFormat="1" applyFill="1" applyBorder="1"/>
    <xf numFmtId="0" fontId="0" fillId="9" borderId="2" xfId="0" applyFill="1" applyBorder="1"/>
    <xf numFmtId="164" fontId="0" fillId="9" borderId="2" xfId="0" applyNumberFormat="1" applyFill="1" applyBorder="1"/>
    <xf numFmtId="0" fontId="0" fillId="5" borderId="2" xfId="0" applyFill="1" applyBorder="1"/>
    <xf numFmtId="164" fontId="0" fillId="5" borderId="0" xfId="0" applyNumberFormat="1" applyFill="1"/>
    <xf numFmtId="0" fontId="0" fillId="8" borderId="1" xfId="0" applyFill="1" applyBorder="1"/>
    <xf numFmtId="164" fontId="0" fillId="8" borderId="0" xfId="0" applyNumberFormat="1" applyFill="1"/>
    <xf numFmtId="0" fontId="0" fillId="5" borderId="1" xfId="0" applyFill="1" applyBorder="1"/>
    <xf numFmtId="0" fontId="0" fillId="6" borderId="5" xfId="0" applyFill="1" applyBorder="1"/>
    <xf numFmtId="164" fontId="0" fillId="6" borderId="5" xfId="0" applyNumberFormat="1" applyFill="1" applyBorder="1"/>
    <xf numFmtId="0" fontId="0" fillId="11" borderId="0" xfId="0" applyFill="1"/>
    <xf numFmtId="164" fontId="0" fillId="11" borderId="0" xfId="0" applyNumberFormat="1" applyFill="1"/>
    <xf numFmtId="0" fontId="0" fillId="11" borderId="1" xfId="0" applyFill="1" applyBorder="1"/>
    <xf numFmtId="164" fontId="0" fillId="11" borderId="1" xfId="0" applyNumberFormat="1" applyFill="1" applyBorder="1"/>
    <xf numFmtId="0" fontId="0" fillId="0" borderId="6" xfId="0" applyBorder="1"/>
    <xf numFmtId="164" fontId="0" fillId="0" borderId="6" xfId="0" applyNumberFormat="1" applyBorder="1"/>
    <xf numFmtId="0" fontId="2" fillId="6" borderId="0" xfId="0" applyFont="1" applyFill="1"/>
    <xf numFmtId="0" fontId="0" fillId="12" borderId="0" xfId="0" applyFill="1"/>
    <xf numFmtId="0" fontId="2" fillId="4" borderId="0" xfId="0" applyFont="1" applyFill="1"/>
    <xf numFmtId="164" fontId="2" fillId="4" borderId="0" xfId="0" applyNumberFormat="1" applyFont="1" applyFill="1"/>
    <xf numFmtId="164" fontId="0" fillId="4" borderId="0" xfId="0" applyNumberFormat="1" applyFill="1"/>
    <xf numFmtId="0" fontId="1" fillId="13" borderId="0" xfId="0" applyFont="1" applyFill="1"/>
    <xf numFmtId="0" fontId="7" fillId="4" borderId="0" xfId="0" applyFont="1" applyFill="1"/>
    <xf numFmtId="14" fontId="0" fillId="4" borderId="0" xfId="0" applyNumberFormat="1" applyFill="1"/>
    <xf numFmtId="164" fontId="0" fillId="5" borderId="1" xfId="0" applyNumberFormat="1" applyFill="1" applyBorder="1"/>
    <xf numFmtId="0" fontId="0" fillId="10" borderId="0" xfId="0" applyFill="1"/>
    <xf numFmtId="164" fontId="0" fillId="10" borderId="0" xfId="0" applyNumberFormat="1" applyFill="1"/>
    <xf numFmtId="164" fontId="2" fillId="6" borderId="0" xfId="0" applyNumberFormat="1" applyFont="1" applyFill="1"/>
    <xf numFmtId="14" fontId="2" fillId="6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164" fontId="0" fillId="17" borderId="0" xfId="0" applyNumberFormat="1" applyFill="1"/>
    <xf numFmtId="0" fontId="2" fillId="18" borderId="3" xfId="0" applyFont="1" applyFill="1" applyBorder="1"/>
    <xf numFmtId="164" fontId="2" fillId="18" borderId="3" xfId="0" applyNumberFormat="1" applyFont="1" applyFill="1" applyBorder="1"/>
    <xf numFmtId="0" fontId="0" fillId="18" borderId="0" xfId="0" applyFill="1"/>
    <xf numFmtId="164" fontId="0" fillId="18" borderId="0" xfId="0" applyNumberFormat="1" applyFill="1"/>
    <xf numFmtId="0" fontId="0" fillId="18" borderId="2" xfId="0" applyFill="1" applyBorder="1"/>
    <xf numFmtId="14" fontId="0" fillId="0" borderId="0" xfId="0" applyNumberFormat="1"/>
    <xf numFmtId="0" fontId="0" fillId="19" borderId="0" xfId="0" applyFill="1"/>
    <xf numFmtId="164" fontId="0" fillId="5" borderId="2" xfId="0" applyNumberFormat="1" applyFill="1" applyBorder="1"/>
    <xf numFmtId="0" fontId="7" fillId="9" borderId="0" xfId="0" applyFont="1" applyFill="1"/>
    <xf numFmtId="0" fontId="0" fillId="0" borderId="0" xfId="0" applyFill="1"/>
    <xf numFmtId="164" fontId="0" fillId="0" borderId="0" xfId="0" applyNumberFormat="1" applyFill="1"/>
    <xf numFmtId="0" fontId="0" fillId="20" borderId="0" xfId="0" applyFill="1"/>
  </cellXfs>
  <cellStyles count="1">
    <cellStyle name="Normal" xfId="0" builtinId="0"/>
  </cellStyles>
  <dxfs count="162"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117" Type="http://schemas.openxmlformats.org/officeDocument/2006/relationships/revisionLog" Target="revisionLog117.xml"/><Relationship Id="rId21" Type="http://schemas.openxmlformats.org/officeDocument/2006/relationships/revisionLog" Target="revisionLog21.xml"/><Relationship Id="rId42" Type="http://schemas.openxmlformats.org/officeDocument/2006/relationships/revisionLog" Target="revisionLog42.xml"/><Relationship Id="rId63" Type="http://schemas.openxmlformats.org/officeDocument/2006/relationships/revisionLog" Target="revisionLog63.xml"/><Relationship Id="rId84" Type="http://schemas.openxmlformats.org/officeDocument/2006/relationships/revisionLog" Target="revisionLog84.xml"/><Relationship Id="rId138" Type="http://schemas.openxmlformats.org/officeDocument/2006/relationships/revisionLog" Target="revisionLog138.xml"/><Relationship Id="rId159" Type="http://schemas.openxmlformats.org/officeDocument/2006/relationships/revisionLog" Target="revisionLog159.xml"/><Relationship Id="rId170" Type="http://schemas.openxmlformats.org/officeDocument/2006/relationships/revisionLog" Target="revisionLog170.xml"/><Relationship Id="rId107" Type="http://schemas.openxmlformats.org/officeDocument/2006/relationships/revisionLog" Target="revisionLog107.xml"/><Relationship Id="rId11" Type="http://schemas.openxmlformats.org/officeDocument/2006/relationships/revisionLog" Target="revisionLog11.xml"/><Relationship Id="rId32" Type="http://schemas.openxmlformats.org/officeDocument/2006/relationships/revisionLog" Target="revisionLog32.xml"/><Relationship Id="rId53" Type="http://schemas.openxmlformats.org/officeDocument/2006/relationships/revisionLog" Target="revisionLog53.xml"/><Relationship Id="rId74" Type="http://schemas.openxmlformats.org/officeDocument/2006/relationships/revisionLog" Target="revisionLog74.xml"/><Relationship Id="rId128" Type="http://schemas.openxmlformats.org/officeDocument/2006/relationships/revisionLog" Target="revisionLog128.xml"/><Relationship Id="rId149" Type="http://schemas.openxmlformats.org/officeDocument/2006/relationships/revisionLog" Target="revisionLog149.xml"/><Relationship Id="rId5" Type="http://schemas.openxmlformats.org/officeDocument/2006/relationships/revisionLog" Target="revisionLog5.xml"/><Relationship Id="rId95" Type="http://schemas.openxmlformats.org/officeDocument/2006/relationships/revisionLog" Target="revisionLog95.xml"/><Relationship Id="rId160" Type="http://schemas.openxmlformats.org/officeDocument/2006/relationships/revisionLog" Target="revisionLog160.xml"/><Relationship Id="rId22" Type="http://schemas.openxmlformats.org/officeDocument/2006/relationships/revisionLog" Target="revisionLog22.xml"/><Relationship Id="rId43" Type="http://schemas.openxmlformats.org/officeDocument/2006/relationships/revisionLog" Target="revisionLog43.xml"/><Relationship Id="rId64" Type="http://schemas.openxmlformats.org/officeDocument/2006/relationships/revisionLog" Target="revisionLog64.xml"/><Relationship Id="rId118" Type="http://schemas.openxmlformats.org/officeDocument/2006/relationships/revisionLog" Target="revisionLog118.xml"/><Relationship Id="rId139" Type="http://schemas.openxmlformats.org/officeDocument/2006/relationships/revisionLog" Target="revisionLog139.xml"/><Relationship Id="rId85" Type="http://schemas.openxmlformats.org/officeDocument/2006/relationships/revisionLog" Target="revisionLog85.xml"/><Relationship Id="rId150" Type="http://schemas.openxmlformats.org/officeDocument/2006/relationships/revisionLog" Target="revisionLog150.xml"/><Relationship Id="rId171" Type="http://schemas.openxmlformats.org/officeDocument/2006/relationships/revisionLog" Target="revisionLog171.xml"/><Relationship Id="rId12" Type="http://schemas.openxmlformats.org/officeDocument/2006/relationships/revisionLog" Target="revisionLog12.xml"/><Relationship Id="rId33" Type="http://schemas.openxmlformats.org/officeDocument/2006/relationships/revisionLog" Target="revisionLog33.xml"/><Relationship Id="rId108" Type="http://schemas.openxmlformats.org/officeDocument/2006/relationships/revisionLog" Target="revisionLog108.xml"/><Relationship Id="rId129" Type="http://schemas.openxmlformats.org/officeDocument/2006/relationships/revisionLog" Target="revisionLog129.xml"/><Relationship Id="rId54" Type="http://schemas.openxmlformats.org/officeDocument/2006/relationships/revisionLog" Target="revisionLog54.xml"/><Relationship Id="rId75" Type="http://schemas.openxmlformats.org/officeDocument/2006/relationships/revisionLog" Target="revisionLog75.xml"/><Relationship Id="rId96" Type="http://schemas.openxmlformats.org/officeDocument/2006/relationships/revisionLog" Target="revisionLog96.xml"/><Relationship Id="rId140" Type="http://schemas.openxmlformats.org/officeDocument/2006/relationships/revisionLog" Target="revisionLog140.xml"/><Relationship Id="rId161" Type="http://schemas.openxmlformats.org/officeDocument/2006/relationships/revisionLog" Target="revisionLog161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49" Type="http://schemas.openxmlformats.org/officeDocument/2006/relationships/revisionLog" Target="revisionLog49.xml"/><Relationship Id="rId114" Type="http://schemas.openxmlformats.org/officeDocument/2006/relationships/revisionLog" Target="revisionLog114.xml"/><Relationship Id="rId119" Type="http://schemas.openxmlformats.org/officeDocument/2006/relationships/revisionLog" Target="revisionLog119.xml"/><Relationship Id="rId44" Type="http://schemas.openxmlformats.org/officeDocument/2006/relationships/revisionLog" Target="revisionLog44.xml"/><Relationship Id="rId60" Type="http://schemas.openxmlformats.org/officeDocument/2006/relationships/revisionLog" Target="revisionLog60.xml"/><Relationship Id="rId65" Type="http://schemas.openxmlformats.org/officeDocument/2006/relationships/revisionLog" Target="revisionLog65.xml"/><Relationship Id="rId81" Type="http://schemas.openxmlformats.org/officeDocument/2006/relationships/revisionLog" Target="revisionLog81.xml"/><Relationship Id="rId86" Type="http://schemas.openxmlformats.org/officeDocument/2006/relationships/revisionLog" Target="revisionLog86.xml"/><Relationship Id="rId130" Type="http://schemas.openxmlformats.org/officeDocument/2006/relationships/revisionLog" Target="revisionLog130.xml"/><Relationship Id="rId135" Type="http://schemas.openxmlformats.org/officeDocument/2006/relationships/revisionLog" Target="revisionLog135.xml"/><Relationship Id="rId151" Type="http://schemas.openxmlformats.org/officeDocument/2006/relationships/revisionLog" Target="revisionLog151.xml"/><Relationship Id="rId156" Type="http://schemas.openxmlformats.org/officeDocument/2006/relationships/revisionLog" Target="revisionLog156.xml"/><Relationship Id="rId172" Type="http://schemas.openxmlformats.org/officeDocument/2006/relationships/revisionLog" Target="revisionLog172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9" Type="http://schemas.openxmlformats.org/officeDocument/2006/relationships/revisionLog" Target="revisionLog39.xml"/><Relationship Id="rId109" Type="http://schemas.openxmlformats.org/officeDocument/2006/relationships/revisionLog" Target="revisionLog109.xml"/><Relationship Id="rId34" Type="http://schemas.openxmlformats.org/officeDocument/2006/relationships/revisionLog" Target="revisionLog34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76" Type="http://schemas.openxmlformats.org/officeDocument/2006/relationships/revisionLog" Target="revisionLog76.xml"/><Relationship Id="rId97" Type="http://schemas.openxmlformats.org/officeDocument/2006/relationships/revisionLog" Target="revisionLog97.xml"/><Relationship Id="rId104" Type="http://schemas.openxmlformats.org/officeDocument/2006/relationships/revisionLog" Target="revisionLog104.xml"/><Relationship Id="rId120" Type="http://schemas.openxmlformats.org/officeDocument/2006/relationships/revisionLog" Target="revisionLog120.xml"/><Relationship Id="rId125" Type="http://schemas.openxmlformats.org/officeDocument/2006/relationships/revisionLog" Target="revisionLog125.xml"/><Relationship Id="rId141" Type="http://schemas.openxmlformats.org/officeDocument/2006/relationships/revisionLog" Target="revisionLog141.xml"/><Relationship Id="rId146" Type="http://schemas.openxmlformats.org/officeDocument/2006/relationships/revisionLog" Target="revisionLog146.xml"/><Relationship Id="rId167" Type="http://schemas.openxmlformats.org/officeDocument/2006/relationships/revisionLog" Target="revisionLog167.xml"/><Relationship Id="rId7" Type="http://schemas.openxmlformats.org/officeDocument/2006/relationships/revisionLog" Target="revisionLog7.xml"/><Relationship Id="rId71" Type="http://schemas.openxmlformats.org/officeDocument/2006/relationships/revisionLog" Target="revisionLog71.xml"/><Relationship Id="rId92" Type="http://schemas.openxmlformats.org/officeDocument/2006/relationships/revisionLog" Target="revisionLog92.xml"/><Relationship Id="rId162" Type="http://schemas.openxmlformats.org/officeDocument/2006/relationships/revisionLog" Target="revisionLog162.xml"/><Relationship Id="rId2" Type="http://schemas.openxmlformats.org/officeDocument/2006/relationships/revisionLog" Target="revisionLog2.xml"/><Relationship Id="rId29" Type="http://schemas.openxmlformats.org/officeDocument/2006/relationships/revisionLog" Target="revisionLog29.xml"/><Relationship Id="rId24" Type="http://schemas.openxmlformats.org/officeDocument/2006/relationships/revisionLog" Target="revisionLog24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66" Type="http://schemas.openxmlformats.org/officeDocument/2006/relationships/revisionLog" Target="revisionLog66.xml"/><Relationship Id="rId87" Type="http://schemas.openxmlformats.org/officeDocument/2006/relationships/revisionLog" Target="revisionLog87.xml"/><Relationship Id="rId110" Type="http://schemas.openxmlformats.org/officeDocument/2006/relationships/revisionLog" Target="revisionLog110.xml"/><Relationship Id="rId115" Type="http://schemas.openxmlformats.org/officeDocument/2006/relationships/revisionLog" Target="revisionLog115.xml"/><Relationship Id="rId131" Type="http://schemas.openxmlformats.org/officeDocument/2006/relationships/revisionLog" Target="revisionLog131.xml"/><Relationship Id="rId136" Type="http://schemas.openxmlformats.org/officeDocument/2006/relationships/revisionLog" Target="revisionLog136.xml"/><Relationship Id="rId157" Type="http://schemas.openxmlformats.org/officeDocument/2006/relationships/revisionLog" Target="revisionLog157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52" Type="http://schemas.openxmlformats.org/officeDocument/2006/relationships/revisionLog" Target="revisionLog152.xml"/><Relationship Id="rId173" Type="http://schemas.openxmlformats.org/officeDocument/2006/relationships/revisionLog" Target="revisionLog173.xml"/><Relationship Id="rId19" Type="http://schemas.openxmlformats.org/officeDocument/2006/relationships/revisionLog" Target="revisionLog19.xml"/><Relationship Id="rId14" Type="http://schemas.openxmlformats.org/officeDocument/2006/relationships/revisionLog" Target="revisionLog14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56" Type="http://schemas.openxmlformats.org/officeDocument/2006/relationships/revisionLog" Target="revisionLog56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105" Type="http://schemas.openxmlformats.org/officeDocument/2006/relationships/revisionLog" Target="revisionLog105.xml"/><Relationship Id="rId126" Type="http://schemas.openxmlformats.org/officeDocument/2006/relationships/revisionLog" Target="revisionLog126.xml"/><Relationship Id="rId147" Type="http://schemas.openxmlformats.org/officeDocument/2006/relationships/revisionLog" Target="revisionLog147.xml"/><Relationship Id="rId168" Type="http://schemas.openxmlformats.org/officeDocument/2006/relationships/revisionLog" Target="revisionLog168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93" Type="http://schemas.openxmlformats.org/officeDocument/2006/relationships/revisionLog" Target="revisionLog93.xml"/><Relationship Id="rId98" Type="http://schemas.openxmlformats.org/officeDocument/2006/relationships/revisionLog" Target="revisionLog98.xml"/><Relationship Id="rId121" Type="http://schemas.openxmlformats.org/officeDocument/2006/relationships/revisionLog" Target="revisionLog121.xml"/><Relationship Id="rId142" Type="http://schemas.openxmlformats.org/officeDocument/2006/relationships/revisionLog" Target="revisionLog142.xml"/><Relationship Id="rId163" Type="http://schemas.openxmlformats.org/officeDocument/2006/relationships/revisionLog" Target="revisionLog163.xml"/><Relationship Id="rId3" Type="http://schemas.openxmlformats.org/officeDocument/2006/relationships/revisionLog" Target="revisionLog3.xml"/><Relationship Id="rId25" Type="http://schemas.openxmlformats.org/officeDocument/2006/relationships/revisionLog" Target="revisionLog25.xml"/><Relationship Id="rId46" Type="http://schemas.openxmlformats.org/officeDocument/2006/relationships/revisionLog" Target="revisionLog46.xml"/><Relationship Id="rId67" Type="http://schemas.openxmlformats.org/officeDocument/2006/relationships/revisionLog" Target="revisionLog67.xml"/><Relationship Id="rId116" Type="http://schemas.openxmlformats.org/officeDocument/2006/relationships/revisionLog" Target="revisionLog116.xml"/><Relationship Id="rId137" Type="http://schemas.openxmlformats.org/officeDocument/2006/relationships/revisionLog" Target="revisionLog137.xml"/><Relationship Id="rId158" Type="http://schemas.openxmlformats.org/officeDocument/2006/relationships/revisionLog" Target="revisionLog158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62" Type="http://schemas.openxmlformats.org/officeDocument/2006/relationships/revisionLog" Target="revisionLog62.xml"/><Relationship Id="rId83" Type="http://schemas.openxmlformats.org/officeDocument/2006/relationships/revisionLog" Target="revisionLog83.xml"/><Relationship Id="rId88" Type="http://schemas.openxmlformats.org/officeDocument/2006/relationships/revisionLog" Target="revisionLog88.xml"/><Relationship Id="rId111" Type="http://schemas.openxmlformats.org/officeDocument/2006/relationships/revisionLog" Target="revisionLog111.xml"/><Relationship Id="rId132" Type="http://schemas.openxmlformats.org/officeDocument/2006/relationships/revisionLog" Target="revisionLog132.xml"/><Relationship Id="rId153" Type="http://schemas.openxmlformats.org/officeDocument/2006/relationships/revisionLog" Target="revisionLog153.xml"/><Relationship Id="rId174" Type="http://schemas.openxmlformats.org/officeDocument/2006/relationships/revisionLog" Target="revisionLog174.xml"/><Relationship Id="rId15" Type="http://schemas.openxmlformats.org/officeDocument/2006/relationships/revisionLog" Target="revisionLog15.xml"/><Relationship Id="rId36" Type="http://schemas.openxmlformats.org/officeDocument/2006/relationships/revisionLog" Target="revisionLog36.xml"/><Relationship Id="rId57" Type="http://schemas.openxmlformats.org/officeDocument/2006/relationships/revisionLog" Target="revisionLog57.xml"/><Relationship Id="rId106" Type="http://schemas.openxmlformats.org/officeDocument/2006/relationships/revisionLog" Target="revisionLog106.xml"/><Relationship Id="rId127" Type="http://schemas.openxmlformats.org/officeDocument/2006/relationships/revisionLog" Target="revisionLog127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52" Type="http://schemas.openxmlformats.org/officeDocument/2006/relationships/revisionLog" Target="revisionLog52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94" Type="http://schemas.openxmlformats.org/officeDocument/2006/relationships/revisionLog" Target="revisionLog94.xml"/><Relationship Id="rId99" Type="http://schemas.openxmlformats.org/officeDocument/2006/relationships/revisionLog" Target="revisionLog99.xml"/><Relationship Id="rId101" Type="http://schemas.openxmlformats.org/officeDocument/2006/relationships/revisionLog" Target="revisionLog101.xml"/><Relationship Id="rId122" Type="http://schemas.openxmlformats.org/officeDocument/2006/relationships/revisionLog" Target="revisionLog122.xml"/><Relationship Id="rId143" Type="http://schemas.openxmlformats.org/officeDocument/2006/relationships/revisionLog" Target="revisionLog143.xml"/><Relationship Id="rId148" Type="http://schemas.openxmlformats.org/officeDocument/2006/relationships/revisionLog" Target="revisionLog148.xml"/><Relationship Id="rId164" Type="http://schemas.openxmlformats.org/officeDocument/2006/relationships/revisionLog" Target="revisionLog164.xml"/><Relationship Id="rId169" Type="http://schemas.openxmlformats.org/officeDocument/2006/relationships/revisionLog" Target="revisionLog169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26" Type="http://schemas.openxmlformats.org/officeDocument/2006/relationships/revisionLog" Target="revisionLog26.xml"/><Relationship Id="rId47" Type="http://schemas.openxmlformats.org/officeDocument/2006/relationships/revisionLog" Target="revisionLog47.xml"/><Relationship Id="rId68" Type="http://schemas.openxmlformats.org/officeDocument/2006/relationships/revisionLog" Target="revisionLog68.xml"/><Relationship Id="rId89" Type="http://schemas.openxmlformats.org/officeDocument/2006/relationships/revisionLog" Target="revisionLog89.xml"/><Relationship Id="rId112" Type="http://schemas.openxmlformats.org/officeDocument/2006/relationships/revisionLog" Target="revisionLog112.xml"/><Relationship Id="rId133" Type="http://schemas.openxmlformats.org/officeDocument/2006/relationships/revisionLog" Target="revisionLog133.xml"/><Relationship Id="rId154" Type="http://schemas.openxmlformats.org/officeDocument/2006/relationships/revisionLog" Target="revisionLog154.xml"/><Relationship Id="rId16" Type="http://schemas.openxmlformats.org/officeDocument/2006/relationships/revisionLog" Target="revisionLog16.xml"/><Relationship Id="rId37" Type="http://schemas.openxmlformats.org/officeDocument/2006/relationships/revisionLog" Target="revisionLog37.xml"/><Relationship Id="rId58" Type="http://schemas.openxmlformats.org/officeDocument/2006/relationships/revisionLog" Target="revisionLog58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123" Type="http://schemas.openxmlformats.org/officeDocument/2006/relationships/revisionLog" Target="revisionLog123.xml"/><Relationship Id="rId144" Type="http://schemas.openxmlformats.org/officeDocument/2006/relationships/revisionLog" Target="revisionLog144.xml"/><Relationship Id="rId90" Type="http://schemas.openxmlformats.org/officeDocument/2006/relationships/revisionLog" Target="revisionLog90.xml"/><Relationship Id="rId165" Type="http://schemas.openxmlformats.org/officeDocument/2006/relationships/revisionLog" Target="revisionLog165.xml"/><Relationship Id="rId27" Type="http://schemas.openxmlformats.org/officeDocument/2006/relationships/revisionLog" Target="revisionLog27.xml"/><Relationship Id="rId48" Type="http://schemas.openxmlformats.org/officeDocument/2006/relationships/revisionLog" Target="revisionLog48.xml"/><Relationship Id="rId69" Type="http://schemas.openxmlformats.org/officeDocument/2006/relationships/revisionLog" Target="revisionLog69.xml"/><Relationship Id="rId113" Type="http://schemas.openxmlformats.org/officeDocument/2006/relationships/revisionLog" Target="revisionLog113.xml"/><Relationship Id="rId134" Type="http://schemas.openxmlformats.org/officeDocument/2006/relationships/revisionLog" Target="revisionLog134.xml"/><Relationship Id="rId80" Type="http://schemas.openxmlformats.org/officeDocument/2006/relationships/revisionLog" Target="revisionLog80.xml"/><Relationship Id="rId155" Type="http://schemas.openxmlformats.org/officeDocument/2006/relationships/revisionLog" Target="revisionLog155.xml"/><Relationship Id="rId17" Type="http://schemas.openxmlformats.org/officeDocument/2006/relationships/revisionLog" Target="revisionLog17.xml"/><Relationship Id="rId38" Type="http://schemas.openxmlformats.org/officeDocument/2006/relationships/revisionLog" Target="revisionLog38.xml"/><Relationship Id="rId59" Type="http://schemas.openxmlformats.org/officeDocument/2006/relationships/revisionLog" Target="revisionLog59.xml"/><Relationship Id="rId103" Type="http://schemas.openxmlformats.org/officeDocument/2006/relationships/revisionLog" Target="revisionLog103.xml"/><Relationship Id="rId124" Type="http://schemas.openxmlformats.org/officeDocument/2006/relationships/revisionLog" Target="revisionLog124.xml"/><Relationship Id="rId70" Type="http://schemas.openxmlformats.org/officeDocument/2006/relationships/revisionLog" Target="revisionLog70.xml"/><Relationship Id="rId91" Type="http://schemas.openxmlformats.org/officeDocument/2006/relationships/revisionLog" Target="revisionLog91.xml"/><Relationship Id="rId145" Type="http://schemas.openxmlformats.org/officeDocument/2006/relationships/revisionLog" Target="revisionLog145.xml"/><Relationship Id="rId166" Type="http://schemas.openxmlformats.org/officeDocument/2006/relationships/revisionLog" Target="revisionLog166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AC73D2B-0F02-43C2-88C4-79A147824630}" diskRevisions="1" revisionId="10821" version="174">
  <header guid="{B0D75407-9278-412D-9E51-EF4C18F06515}" dateTime="2026-07-02T14:42:59" maxSheetId="3" userName="Chris Oliver" r:id="rId1">
    <sheetIdMap count="2">
      <sheetId val="1"/>
      <sheetId val="2"/>
    </sheetIdMap>
  </header>
  <header guid="{6CA3BB1D-4C37-414D-A2F3-7E75D0E18860}" dateTime="2026-07-02T14:47:15" maxSheetId="3" userName="Casey Hicks" r:id="rId2" minRId="1" maxRId="16">
    <sheetIdMap count="2">
      <sheetId val="1"/>
      <sheetId val="2"/>
    </sheetIdMap>
  </header>
  <header guid="{B63ED417-9AE8-4920-87A7-C6FAFD6428E9}" dateTime="2026-07-02T14:49:23" maxSheetId="3" userName="Casey Hicks" r:id="rId3" minRId="17" maxRId="201">
    <sheetIdMap count="2">
      <sheetId val="1"/>
      <sheetId val="2"/>
    </sheetIdMap>
  </header>
  <header guid="{E73B30D3-E336-4DF1-89E7-1ED2B0580947}" dateTime="2026-07-02T14:52:08" maxSheetId="3" userName="Chris Oliver" r:id="rId4" minRId="202" maxRId="253">
    <sheetIdMap count="2">
      <sheetId val="1"/>
      <sheetId val="2"/>
    </sheetIdMap>
  </header>
  <header guid="{92713878-D0B7-4AB6-9E0D-645192C07FB7}" dateTime="2026-07-02T15:02:49" maxSheetId="3" userName="Chris Oliver" r:id="rId5" minRId="254" maxRId="274">
    <sheetIdMap count="2">
      <sheetId val="1"/>
      <sheetId val="2"/>
    </sheetIdMap>
  </header>
  <header guid="{A20293C0-9AC7-4AFA-B8D4-E71A042A5EAC}" dateTime="2026-07-02T15:04:48" maxSheetId="3" userName="Casey Hicks" r:id="rId6" minRId="275" maxRId="292">
    <sheetIdMap count="2">
      <sheetId val="1"/>
      <sheetId val="2"/>
    </sheetIdMap>
  </header>
  <header guid="{0A05A7EF-C57F-47FF-BF66-45021932E89B}" dateTime="2026-07-02T15:07:49" maxSheetId="3" userName="Casey Hicks" r:id="rId7" minRId="293" maxRId="305">
    <sheetIdMap count="2">
      <sheetId val="1"/>
      <sheetId val="2"/>
    </sheetIdMap>
  </header>
  <header guid="{F161AF43-5312-4099-9BDB-F40C212FA6C0}" dateTime="2026-07-02T15:08:06" maxSheetId="3" userName="Chris Oliver" r:id="rId8" minRId="306" maxRId="337">
    <sheetIdMap count="2">
      <sheetId val="1"/>
      <sheetId val="2"/>
    </sheetIdMap>
  </header>
  <header guid="{F75FD645-440B-4DB1-9DB3-6E17A0CF1C3B}" dateTime="2026-07-02T15:15:05" maxSheetId="3" userName="Chris Oliver" r:id="rId9" minRId="338" maxRId="366">
    <sheetIdMap count="2">
      <sheetId val="1"/>
      <sheetId val="2"/>
    </sheetIdMap>
  </header>
  <header guid="{AA6729F2-EBBC-404C-8AA2-CFBCD4ED868D}" dateTime="2026-07-02T15:20:42" maxSheetId="3" userName="Chris Oliver" r:id="rId10" minRId="367" maxRId="451">
    <sheetIdMap count="2">
      <sheetId val="1"/>
      <sheetId val="2"/>
    </sheetIdMap>
  </header>
  <header guid="{9A3FCF9D-4853-4336-AAA2-AEFF74901A91}" dateTime="2026-07-02T15:21:15" maxSheetId="3" userName="Chris Oliver" r:id="rId11" minRId="452" maxRId="466">
    <sheetIdMap count="2">
      <sheetId val="1"/>
      <sheetId val="2"/>
    </sheetIdMap>
  </header>
  <header guid="{F6A1CB96-1631-466F-B70C-94E361509F35}" dateTime="2026-07-02T15:25:45" maxSheetId="3" userName="Chris Oliver" r:id="rId12">
    <sheetIdMap count="2">
      <sheetId val="1"/>
      <sheetId val="2"/>
    </sheetIdMap>
  </header>
  <header guid="{DC2C2492-7349-49E8-B7CD-26E2AC84B3B7}" dateTime="2026-07-02T15:31:30" maxSheetId="3" userName="Casey Hicks" r:id="rId13" minRId="467" maxRId="515">
    <sheetIdMap count="2">
      <sheetId val="1"/>
      <sheetId val="2"/>
    </sheetIdMap>
  </header>
  <header guid="{0D8E0CBD-7265-4EA2-BB4F-7B17A05988CF}" dateTime="2026-07-02T15:34:11" maxSheetId="3" userName="Casey Hicks" r:id="rId14" minRId="516" maxRId="578">
    <sheetIdMap count="2">
      <sheetId val="1"/>
      <sheetId val="2"/>
    </sheetIdMap>
  </header>
  <header guid="{6688F248-B984-44F7-B30F-4CC3F32D3F59}" dateTime="2026-07-02T15:35:04" maxSheetId="3" userName="Casey Hicks" r:id="rId15" minRId="579" maxRId="585">
    <sheetIdMap count="2">
      <sheetId val="1"/>
      <sheetId val="2"/>
    </sheetIdMap>
  </header>
  <header guid="{98A2659C-7D75-464F-851C-841FA04DEEAC}" dateTime="2026-07-02T15:59:43" maxSheetId="3" userName="Chris Oliver" r:id="rId16">
    <sheetIdMap count="2">
      <sheetId val="1"/>
      <sheetId val="2"/>
    </sheetIdMap>
  </header>
  <header guid="{F5E9DBB8-4255-44EC-AA78-20524989A42D}" dateTime="2026-07-02T16:01:21" maxSheetId="3" userName="Chris Oliver" r:id="rId17" minRId="586" maxRId="588">
    <sheetIdMap count="2">
      <sheetId val="1"/>
      <sheetId val="2"/>
    </sheetIdMap>
  </header>
  <header guid="{9E9BC30B-6D42-4F1E-B0F6-C85A21C238B5}" dateTime="2026-07-02T16:04:18" maxSheetId="3" userName="Chris Oliver" r:id="rId18" minRId="589" maxRId="604">
    <sheetIdMap count="2">
      <sheetId val="1"/>
      <sheetId val="2"/>
    </sheetIdMap>
  </header>
  <header guid="{22D7AD55-156F-40E0-A0C3-AE131B72715E}" dateTime="2026-07-03T07:43:54" maxSheetId="3" userName="Casey Hicks" r:id="rId19" minRId="605" maxRId="606">
    <sheetIdMap count="2">
      <sheetId val="1"/>
      <sheetId val="2"/>
    </sheetIdMap>
  </header>
  <header guid="{FC4DA352-1B09-4F2B-B618-F66783D51DDC}" dateTime="2026-07-03T10:21:49" maxSheetId="3" userName="Casey Hicks" r:id="rId20" minRId="607" maxRId="1698">
    <sheetIdMap count="2">
      <sheetId val="1"/>
      <sheetId val="2"/>
    </sheetIdMap>
  </header>
  <header guid="{49F0569F-F8DC-41F2-B8A2-3CFF02215148}" dateTime="2026-07-03T10:43:56" maxSheetId="3" userName="Chris Oliver" r:id="rId21" minRId="1699" maxRId="1703">
    <sheetIdMap count="2">
      <sheetId val="1"/>
      <sheetId val="2"/>
    </sheetIdMap>
  </header>
  <header guid="{9BF3DE17-EACC-4BF1-8596-18F0D52AAF0C}" dateTime="2026-07-03T11:03:24" maxSheetId="3" userName="Casey Hicks" r:id="rId22" minRId="1704" maxRId="1725">
    <sheetIdMap count="2">
      <sheetId val="1"/>
      <sheetId val="2"/>
    </sheetIdMap>
  </header>
  <header guid="{B9E4E771-931F-4895-AD3C-ADB7FE7EE90A}" dateTime="2026-07-03T11:21:17" maxSheetId="3" userName="Casey Hicks" r:id="rId23" minRId="1726" maxRId="1741">
    <sheetIdMap count="2">
      <sheetId val="1"/>
      <sheetId val="2"/>
    </sheetIdMap>
  </header>
  <header guid="{6BF565BA-8DC2-4E05-A4C5-96F7A1114D6B}" dateTime="2026-07-03T11:22:13" maxSheetId="3" userName="Casey Hicks" r:id="rId24">
    <sheetIdMap count="2">
      <sheetId val="1"/>
      <sheetId val="2"/>
    </sheetIdMap>
  </header>
  <header guid="{438AC62F-5C07-4C0D-9422-792F3C6A5B4B}" dateTime="2026-07-03T11:25:47" maxSheetId="3" userName="Casey Hicks" r:id="rId25" minRId="1742" maxRId="4741">
    <sheetIdMap count="2">
      <sheetId val="1"/>
      <sheetId val="2"/>
    </sheetIdMap>
  </header>
  <header guid="{053A31AF-E7F3-4B84-9BC5-4E2FE2584DF0}" dateTime="2026-07-03T11:30:01" maxSheetId="3" userName="Casey Hicks" r:id="rId26" minRId="4742" maxRId="4872">
    <sheetIdMap count="2">
      <sheetId val="1"/>
      <sheetId val="2"/>
    </sheetIdMap>
  </header>
  <header guid="{D81A7DC8-07EF-4EB7-BBA4-83856491DDC0}" dateTime="2026-07-03T11:32:54" maxSheetId="3" userName="Casey Hicks" r:id="rId27" minRId="4873" maxRId="4973">
    <sheetIdMap count="2">
      <sheetId val="1"/>
      <sheetId val="2"/>
    </sheetIdMap>
  </header>
  <header guid="{90E5DE22-31CA-4548-BE62-8E0AE788E700}" dateTime="2026-07-03T11:35:07" maxSheetId="3" userName="Casey Hicks" r:id="rId28" minRId="4974" maxRId="5085">
    <sheetIdMap count="2">
      <sheetId val="1"/>
      <sheetId val="2"/>
    </sheetIdMap>
  </header>
  <header guid="{8A458FB1-6FFF-417C-985E-50C24A1930C8}" dateTime="2026-07-03T11:37:33" maxSheetId="3" userName="Casey Hicks" r:id="rId29" minRId="5086" maxRId="5127">
    <sheetIdMap count="2">
      <sheetId val="1"/>
      <sheetId val="2"/>
    </sheetIdMap>
  </header>
  <header guid="{CEDD50D0-6FEE-4CD9-A542-F3EFC58DC80C}" dateTime="2026-07-03T11:38:45" maxSheetId="3" userName="Casey Hicks" r:id="rId30" minRId="5128" maxRId="5267">
    <sheetIdMap count="2">
      <sheetId val="1"/>
      <sheetId val="2"/>
    </sheetIdMap>
  </header>
  <header guid="{8204FC4D-CE3E-43BC-B382-8F8501DF338E}" dateTime="2026-07-03T12:30:38" maxSheetId="3" userName="Zahra Haghi" r:id="rId31">
    <sheetIdMap count="2">
      <sheetId val="1"/>
      <sheetId val="2"/>
    </sheetIdMap>
  </header>
  <header guid="{929D1816-1853-4EBA-A8C8-468339249232}" dateTime="2026-07-03T12:33:00" maxSheetId="3" userName="Zahra Haghi" r:id="rId32" minRId="5268" maxRId="7854">
    <sheetIdMap count="2">
      <sheetId val="1"/>
      <sheetId val="2"/>
    </sheetIdMap>
  </header>
  <header guid="{CCFFF378-DBA7-4C5E-9F92-A8BDD0ADF405}" dateTime="2026-07-03T12:41:52" maxSheetId="3" userName="Zahra Haghi" r:id="rId33" minRId="7855" maxRId="9167">
    <sheetIdMap count="2">
      <sheetId val="1"/>
      <sheetId val="2"/>
    </sheetIdMap>
  </header>
  <header guid="{431D1AF2-3B00-4609-896A-C142BCAF6DAB}" dateTime="2026-07-03T12:44:27" maxSheetId="3" userName="Zahra Haghi" r:id="rId34" minRId="9168" maxRId="9525">
    <sheetIdMap count="2">
      <sheetId val="1"/>
      <sheetId val="2"/>
    </sheetIdMap>
  </header>
  <header guid="{BD78F579-B95F-4891-AFE4-CF803B8E606C}" dateTime="2026-07-03T12:45:18" maxSheetId="3" userName="Zahra Haghi" r:id="rId35">
    <sheetIdMap count="2">
      <sheetId val="1"/>
      <sheetId val="2"/>
    </sheetIdMap>
  </header>
  <header guid="{BD4CB6F1-8E05-41D8-B4A5-18306C23BD7E}" dateTime="2026-07-03T12:52:43" maxSheetId="3" userName="Zahra Haghi" r:id="rId36" minRId="9526" maxRId="9546">
    <sheetIdMap count="2">
      <sheetId val="1"/>
      <sheetId val="2"/>
    </sheetIdMap>
  </header>
  <header guid="{A9B8433D-FBF7-44B8-B658-3F373FCF1953}" dateTime="2026-07-03T12:57:45" maxSheetId="3" userName="Zahra Haghi" r:id="rId37" minRId="9547" maxRId="9549">
    <sheetIdMap count="2">
      <sheetId val="1"/>
      <sheetId val="2"/>
    </sheetIdMap>
  </header>
  <header guid="{5E8ECF6F-4701-4B60-A632-D542A8A0D738}" dateTime="2026-07-03T14:04:58" maxSheetId="3" userName="Zahra Haghi" r:id="rId38" minRId="9550" maxRId="9562">
    <sheetIdMap count="2">
      <sheetId val="1"/>
      <sheetId val="2"/>
    </sheetIdMap>
  </header>
  <header guid="{00F3D123-9FBB-4166-B1E6-05FD57BD47D8}" dateTime="2026-07-03T14:11:42" maxSheetId="3" userName="Nicole Blaire Castillo" r:id="rId39" minRId="9563" maxRId="9567">
    <sheetIdMap count="2">
      <sheetId val="1"/>
      <sheetId val="2"/>
    </sheetIdMap>
  </header>
  <header guid="{21AD6432-4373-4E54-AE6B-3856D75DCF3D}" dateTime="2026-07-03T14:14:47" maxSheetId="3" userName="Nicole Blaire Castillo" r:id="rId40">
    <sheetIdMap count="2">
      <sheetId val="1"/>
      <sheetId val="2"/>
    </sheetIdMap>
  </header>
  <header guid="{34C883F9-BC56-47A7-80DF-18FF44C0C7D7}" dateTime="2026-07-03T14:17:09" maxSheetId="3" userName="George Trifonov" r:id="rId41" minRId="9568" maxRId="9573">
    <sheetIdMap count="2">
      <sheetId val="1"/>
      <sheetId val="2"/>
    </sheetIdMap>
  </header>
  <header guid="{AB098043-D0F1-4512-B3F3-BBEC31534A92}" dateTime="2026-07-03T14:22:21" maxSheetId="3" userName="Zahra Haghi" r:id="rId42" minRId="9574" maxRId="9579">
    <sheetIdMap count="2">
      <sheetId val="1"/>
      <sheetId val="2"/>
    </sheetIdMap>
  </header>
  <header guid="{70AAD3DC-8A06-41DB-8F7B-AAEF514BFF46}" dateTime="2026-07-03T14:54:07" maxSheetId="3" userName="Zahra Haghi" r:id="rId43" minRId="9580" maxRId="9586">
    <sheetIdMap count="2">
      <sheetId val="1"/>
      <sheetId val="2"/>
    </sheetIdMap>
  </header>
  <header guid="{6133D3A8-3E41-421F-9535-CEF9DDB868C1}" dateTime="2026-07-03T15:28:48" maxSheetId="3" userName="Zahra Haghi" r:id="rId44" minRId="9587">
    <sheetIdMap count="2">
      <sheetId val="1"/>
      <sheetId val="2"/>
    </sheetIdMap>
  </header>
  <header guid="{4FA90FE5-BC4B-4897-837E-79D88F819F5E}" dateTime="2026-07-03T15:36:10" maxSheetId="3" userName="Casey Hicks" r:id="rId45" minRId="9588" maxRId="9746">
    <sheetIdMap count="2">
      <sheetId val="1"/>
      <sheetId val="2"/>
    </sheetIdMap>
  </header>
  <header guid="{406DD77C-0251-450D-942A-8A3FD7C14D38}" dateTime="2026-07-03T15:36:17" maxSheetId="3" userName="Chris Oliver" r:id="rId46" minRId="9747" maxRId="9756">
    <sheetIdMap count="2">
      <sheetId val="1"/>
      <sheetId val="2"/>
    </sheetIdMap>
  </header>
  <header guid="{AD99BBBC-2793-42B9-8336-05D7EBDE1602}" dateTime="2026-07-03T15:36:48" maxSheetId="3" userName="Chris Oliver" r:id="rId47">
    <sheetIdMap count="2">
      <sheetId val="1"/>
      <sheetId val="2"/>
    </sheetIdMap>
  </header>
  <header guid="{6461E35E-1AB6-4CEF-9949-FCA0C7D7E55D}" dateTime="2026-07-03T15:37:02" maxSheetId="3" userName="Chris Oliver" r:id="rId48">
    <sheetIdMap count="2">
      <sheetId val="1"/>
      <sheetId val="2"/>
    </sheetIdMap>
  </header>
  <header guid="{8336E7CD-17AC-45D2-919B-DB08EFA808AB}" dateTime="2026-07-03T15:39:57" maxSheetId="3" userName="Chris Oliver" r:id="rId49" minRId="9757" maxRId="9793">
    <sheetIdMap count="2">
      <sheetId val="1"/>
      <sheetId val="2"/>
    </sheetIdMap>
  </header>
  <header guid="{92E76785-F43B-4338-96DF-55C54CB229DA}" dateTime="2026-07-03T15:57:29" maxSheetId="3" userName="Chris Oliver" r:id="rId50" minRId="9794" maxRId="9796">
    <sheetIdMap count="2">
      <sheetId val="1"/>
      <sheetId val="2"/>
    </sheetIdMap>
  </header>
  <header guid="{A2579345-34B3-4A65-89F0-E3DD84673402}" dateTime="2026-07-03T16:34:50" maxSheetId="3" userName="Nicole Blaire Castillo" r:id="rId51" minRId="9797" maxRId="9798">
    <sheetIdMap count="2">
      <sheetId val="1"/>
      <sheetId val="2"/>
    </sheetIdMap>
  </header>
  <header guid="{CCA98F83-64CE-40D1-AB3F-CB7D31042EA9}" dateTime="2026-07-05T16:30:33" maxSheetId="3" userName="Paul Bradshaw" r:id="rId52">
    <sheetIdMap count="2">
      <sheetId val="1"/>
      <sheetId val="2"/>
    </sheetIdMap>
  </header>
  <header guid="{97009EF1-9B2C-489A-8CF1-1C0FAB7C056D}" dateTime="2026-07-06T02:47:00" maxSheetId="3" userName="Shahbaaz Singh" r:id="rId53" minRId="9799">
    <sheetIdMap count="2">
      <sheetId val="1"/>
      <sheetId val="2"/>
    </sheetIdMap>
  </header>
  <header guid="{7DFD7F07-C47A-4CFD-8CBA-37814E4335A2}" dateTime="2026-07-06T03:46:01" maxSheetId="3" userName="Shahbaaz Singh" r:id="rId54" minRId="9800">
    <sheetIdMap count="2">
      <sheetId val="1"/>
      <sheetId val="2"/>
    </sheetIdMap>
  </header>
  <header guid="{A673D977-6A05-4E9D-925B-5C7A76F1B715}" dateTime="2026-07-06T07:02:28" maxSheetId="3" userName="Michael Humber" r:id="rId55">
    <sheetIdMap count="2">
      <sheetId val="1"/>
      <sheetId val="2"/>
    </sheetIdMap>
  </header>
  <header guid="{BF44651B-839C-4DAD-A82D-91AE2888E6ED}" dateTime="2026-07-06T07:28:42" maxSheetId="3" userName="Nicole Blaire Castillo" r:id="rId56" minRId="9801" maxRId="9803">
    <sheetIdMap count="2">
      <sheetId val="1"/>
      <sheetId val="2"/>
    </sheetIdMap>
  </header>
  <header guid="{7862FE1E-B97D-4E74-9398-ED6429B8A894}" dateTime="2026-07-06T07:46:24" maxSheetId="3" userName="Casey Hicks" r:id="rId57" minRId="9804" maxRId="9807">
    <sheetIdMap count="2">
      <sheetId val="1"/>
      <sheetId val="2"/>
    </sheetIdMap>
  </header>
  <header guid="{219006FA-102A-4389-8CA9-CE953ECDD4BA}" dateTime="2026-07-06T09:19:25" maxSheetId="3" userName="Brenda Murphy" r:id="rId58">
    <sheetIdMap count="2">
      <sheetId val="1"/>
      <sheetId val="2"/>
    </sheetIdMap>
  </header>
  <header guid="{328D657B-BD1F-4BC8-95D2-5D5464947F39}" dateTime="2026-07-06T09:58:49" maxSheetId="3" userName="George Trifonov" r:id="rId59" minRId="9808">
    <sheetIdMap count="2">
      <sheetId val="1"/>
      <sheetId val="2"/>
    </sheetIdMap>
  </header>
  <header guid="{2C0ED911-FACF-43F6-A90E-6BE018DD3616}" dateTime="2026-07-06T10:05:07" maxSheetId="3" userName="George Trifonov" r:id="rId60">
    <sheetIdMap count="2">
      <sheetId val="1"/>
      <sheetId val="2"/>
    </sheetIdMap>
  </header>
  <header guid="{2F6D5129-0E7A-4190-AEB4-C6D2C3D7D616}" dateTime="2026-07-06T10:24:04" maxSheetId="3" userName="Zahra Haghi" r:id="rId61" minRId="9809" maxRId="9819">
    <sheetIdMap count="2">
      <sheetId val="1"/>
      <sheetId val="2"/>
    </sheetIdMap>
  </header>
  <header guid="{68C3C451-4536-4B3A-9F89-4EC4606E7E53}" dateTime="2026-07-06T10:42:40" maxSheetId="3" userName="Michael Ladouceur" r:id="rId62">
    <sheetIdMap count="2">
      <sheetId val="1"/>
      <sheetId val="2"/>
    </sheetIdMap>
  </header>
  <header guid="{F544927E-51B1-4AA1-B3D5-46318E87F267}" dateTime="2026-07-06T11:28:09" maxSheetId="3" userName="Troy Faria" r:id="rId63">
    <sheetIdMap count="2">
      <sheetId val="1"/>
      <sheetId val="2"/>
    </sheetIdMap>
  </header>
  <header guid="{935D7349-454B-4520-B829-13E519FBEFC0}" dateTime="2026-07-06T12:47:27" maxSheetId="3" userName="Jennifer Dolliver" r:id="rId64">
    <sheetIdMap count="2">
      <sheetId val="1"/>
      <sheetId val="2"/>
    </sheetIdMap>
  </header>
  <header guid="{430E7BF3-5A33-4796-8880-091F6D282A50}" dateTime="2026-07-06T13:24:29" maxSheetId="3" userName="Zahra Haghi" r:id="rId65" minRId="9820" maxRId="9836">
    <sheetIdMap count="2">
      <sheetId val="1"/>
      <sheetId val="2"/>
    </sheetIdMap>
  </header>
  <header guid="{7FF8B757-3012-41A5-B19A-251AA77116C6}" dateTime="2026-07-06T13:29:04" maxSheetId="3" userName="Zahra Haghi" r:id="rId66" minRId="9837" maxRId="9838">
    <sheetIdMap count="2">
      <sheetId val="1"/>
      <sheetId val="2"/>
    </sheetIdMap>
  </header>
  <header guid="{8AA48B27-4287-4FB9-83BA-3F9B49A6C362}" dateTime="2026-07-06T13:30:35" maxSheetId="3" userName="Zahra Haghi" r:id="rId67" minRId="9839" maxRId="9840">
    <sheetIdMap count="2">
      <sheetId val="1"/>
      <sheetId val="2"/>
    </sheetIdMap>
  </header>
  <header guid="{06942F09-28D2-450D-9569-C2056636AD1B}" dateTime="2026-07-06T13:53:28" maxSheetId="3" userName="Pamela Boynton" r:id="rId68" minRId="9841">
    <sheetIdMap count="2">
      <sheetId val="1"/>
      <sheetId val="2"/>
    </sheetIdMap>
  </header>
  <header guid="{53D06C1A-1BA4-4A3F-831A-0D5CDB98AC18}" dateTime="2026-07-06T14:26:07" maxSheetId="3" userName="Angela Alves" r:id="rId69">
    <sheetIdMap count="2">
      <sheetId val="1"/>
      <sheetId val="2"/>
    </sheetIdMap>
  </header>
  <header guid="{AFDBCF77-7F00-4A6E-908A-8288E9F58C0C}" dateTime="2026-07-06T14:38:44" maxSheetId="3" userName="Casey Hicks" r:id="rId70" minRId="9842" maxRId="9855">
    <sheetIdMap count="2">
      <sheetId val="1"/>
      <sheetId val="2"/>
    </sheetIdMap>
  </header>
  <header guid="{DD436314-043B-4FC9-8FFA-659386ED0E01}" dateTime="2026-07-06T15:02:15" maxSheetId="3" userName="George Trifonov" r:id="rId71" minRId="9856" maxRId="9858">
    <sheetIdMap count="2">
      <sheetId val="1"/>
      <sheetId val="2"/>
    </sheetIdMap>
  </header>
  <header guid="{812C4BE4-A122-4646-B409-1F23AC1C4A77}" dateTime="2026-07-06T16:02:43" maxSheetId="3" userName="George Trifonov" r:id="rId72">
    <sheetIdMap count="2">
      <sheetId val="1"/>
      <sheetId val="2"/>
    </sheetIdMap>
  </header>
  <header guid="{75D3C5BB-C49D-434B-8BA5-D8D51A92F32F}" dateTime="2026-07-06T16:44:03" maxSheetId="3" userName="Zahra Haghi" r:id="rId73" minRId="9859" maxRId="9893">
    <sheetIdMap count="2">
      <sheetId val="1"/>
      <sheetId val="2"/>
    </sheetIdMap>
  </header>
  <header guid="{166E4577-07B5-43A7-86E4-262A5988A312}" dateTime="2026-07-07T01:51:02" maxSheetId="3" userName="Shahbaaz Singh" r:id="rId74" minRId="9894" maxRId="9897">
    <sheetIdMap count="2">
      <sheetId val="1"/>
      <sheetId val="2"/>
    </sheetIdMap>
  </header>
  <header guid="{ACB99BC1-85E2-4996-8405-ADD06C26DA25}" dateTime="2026-07-07T08:29:09" maxSheetId="3" userName="Nicole Blaire Castillo" r:id="rId75" minRId="9898" maxRId="9904">
    <sheetIdMap count="2">
      <sheetId val="1"/>
      <sheetId val="2"/>
    </sheetIdMap>
  </header>
  <header guid="{8D07FC35-53E6-4333-8A8F-A4B8C7979684}" dateTime="2026-07-07T08:33:48" maxSheetId="3" userName="Zahra Haghi" r:id="rId76" minRId="9905">
    <sheetIdMap count="2">
      <sheetId val="1"/>
      <sheetId val="2"/>
    </sheetIdMap>
  </header>
  <header guid="{07ECD1C9-F779-4CA4-9614-461AC22314E3}" dateTime="2026-07-07T08:41:13" maxSheetId="3" userName="Nirmal Singh" r:id="rId77" minRId="9906">
    <sheetIdMap count="2">
      <sheetId val="1"/>
      <sheetId val="2"/>
    </sheetIdMap>
  </header>
  <header guid="{86646FCF-6C39-46F5-BAA6-AF6F63F136FB}" dateTime="2026-07-07T08:41:59" maxSheetId="3" userName="Michael Ladouceur" r:id="rId78" minRId="9907" maxRId="9911">
    <sheetIdMap count="2">
      <sheetId val="1"/>
      <sheetId val="2"/>
    </sheetIdMap>
  </header>
  <header guid="{61EBD750-A888-4D68-A4DF-72A2308AE374}" dateTime="2026-07-07T08:43:33" maxSheetId="3" userName="Michael Ladouceur" r:id="rId79">
    <sheetIdMap count="2">
      <sheetId val="1"/>
      <sheetId val="2"/>
    </sheetIdMap>
  </header>
  <header guid="{64FA2C8E-C9F6-4CBC-B701-D80599A6F566}" dateTime="2026-07-07T09:13:57" maxSheetId="3" userName="Michael Ladouceur" r:id="rId80" minRId="9912">
    <sheetIdMap count="2">
      <sheetId val="1"/>
      <sheetId val="2"/>
    </sheetIdMap>
  </header>
  <header guid="{B8145697-6D48-448C-8FF1-C00C116B1D14}" dateTime="2026-07-07T09:33:06" maxSheetId="3" userName="Jason Forstl" r:id="rId81">
    <sheetIdMap count="2">
      <sheetId val="1"/>
      <sheetId val="2"/>
    </sheetIdMap>
  </header>
  <header guid="{097DE029-9B04-4B5C-A05B-EE6955405881}" dateTime="2026-07-07T09:37:41" maxSheetId="3" userName="Pamela Boynton" r:id="rId82">
    <sheetIdMap count="2">
      <sheetId val="1"/>
      <sheetId val="2"/>
    </sheetIdMap>
  </header>
  <header guid="{A8E5EEFC-361B-4A91-AA52-C861FC8B0C2E}" dateTime="2026-07-07T11:20:15" maxSheetId="3" userName="Chris Oliver" r:id="rId83" minRId="9913" maxRId="9919">
    <sheetIdMap count="2">
      <sheetId val="1"/>
      <sheetId val="2"/>
    </sheetIdMap>
  </header>
  <header guid="{E01691E8-A979-4E03-9691-C80B09122FEF}" dateTime="2026-07-07T11:28:13" maxSheetId="3" userName="Chris Oliver" r:id="rId84" minRId="9920" maxRId="9932">
    <sheetIdMap count="2">
      <sheetId val="1"/>
      <sheetId val="2"/>
    </sheetIdMap>
  </header>
  <header guid="{B9B14941-53C9-4F95-9389-96AF60D2D3C4}" dateTime="2026-07-07T11:39:02" maxSheetId="3" userName="Chris Oliver" r:id="rId85" minRId="9933" maxRId="9957">
    <sheetIdMap count="2">
      <sheetId val="1"/>
      <sheetId val="2"/>
    </sheetIdMap>
  </header>
  <header guid="{E5376980-3C93-4A52-98F3-E095A5DB12FF}" dateTime="2026-07-07T11:51:08" maxSheetId="3" userName="George Trifonov" r:id="rId86">
    <sheetIdMap count="2">
      <sheetId val="1"/>
      <sheetId val="2"/>
    </sheetIdMap>
  </header>
  <header guid="{58B8255C-6CDE-4357-8E37-509166359F9D}" dateTime="2026-07-07T12:28:08" maxSheetId="3" userName="Zahra Haghi" r:id="rId87" minRId="9958" maxRId="9968">
    <sheetIdMap count="2">
      <sheetId val="1"/>
      <sheetId val="2"/>
    </sheetIdMap>
  </header>
  <header guid="{BFA3AE83-0828-4E29-B8BD-C12FE4167846}" dateTime="2026-07-07T12:28:35" maxSheetId="3" userName="Zahra Haghi" r:id="rId88" minRId="9969">
    <sheetIdMap count="2">
      <sheetId val="1"/>
      <sheetId val="2"/>
    </sheetIdMap>
  </header>
  <header guid="{52C65F8E-382D-4536-8338-507733895513}" dateTime="2026-07-07T12:44:06" maxSheetId="3" userName="Nicole Blaire Castillo" r:id="rId89" minRId="9970" maxRId="9971">
    <sheetIdMap count="2">
      <sheetId val="1"/>
      <sheetId val="2"/>
    </sheetIdMap>
  </header>
  <header guid="{0ED30963-4EBC-471A-BC2A-B33519BEC231}" dateTime="2026-07-07T13:22:22" maxSheetId="3" userName="Casey Hicks" r:id="rId90" minRId="9972" maxRId="9977">
    <sheetIdMap count="2">
      <sheetId val="1"/>
      <sheetId val="2"/>
    </sheetIdMap>
  </header>
  <header guid="{356E3944-D1E6-453D-AEAF-34B931591855}" dateTime="2026-07-07T13:31:34" maxSheetId="3" userName="Casey Hicks" r:id="rId91" minRId="9978" maxRId="10124">
    <sheetIdMap count="2">
      <sheetId val="1"/>
      <sheetId val="2"/>
    </sheetIdMap>
  </header>
  <header guid="{69AFA7B9-CC18-4BF7-ABCA-B9D0AF7640B1}" dateTime="2026-07-07T13:34:21" maxSheetId="3" userName="Casey Hicks" r:id="rId92" minRId="10125" maxRId="10129">
    <sheetIdMap count="2">
      <sheetId val="1"/>
      <sheetId val="2"/>
    </sheetIdMap>
  </header>
  <header guid="{F803B6B1-9DD4-4AC8-B573-765EEA930D4F}" dateTime="2026-07-07T14:43:25" maxSheetId="3" userName="Zahra Haghi" r:id="rId93" minRId="10130" maxRId="10196">
    <sheetIdMap count="2">
      <sheetId val="1"/>
      <sheetId val="2"/>
    </sheetIdMap>
  </header>
  <header guid="{85EF977C-959B-49F6-BA2E-B4FD6BBA7F35}" dateTime="2026-07-07T14:44:44" maxSheetId="3" userName="Zahra Haghi" r:id="rId94" minRId="10197" maxRId="10198">
    <sheetIdMap count="2">
      <sheetId val="1"/>
      <sheetId val="2"/>
    </sheetIdMap>
  </header>
  <header guid="{0D2450FD-6297-4446-8FCF-BBA47893912C}" dateTime="2026-07-07T14:45:02" maxSheetId="3" userName="Zahra Haghi" r:id="rId95">
    <sheetIdMap count="2">
      <sheetId val="1"/>
      <sheetId val="2"/>
    </sheetIdMap>
  </header>
  <header guid="{8725DBE2-DC6B-47F5-B58C-59EB5A370197}" dateTime="2026-07-07T14:47:55" maxSheetId="3" userName="Brenda Murphy" r:id="rId96" minRId="10199">
    <sheetIdMap count="2">
      <sheetId val="1"/>
      <sheetId val="2"/>
    </sheetIdMap>
  </header>
  <header guid="{7A0057C4-3CF7-4BE5-AB1B-1EAF6512F652}" dateTime="2026-07-07T14:55:54" maxSheetId="3" userName="Brenda Murphy" r:id="rId97">
    <sheetIdMap count="2">
      <sheetId val="1"/>
      <sheetId val="2"/>
    </sheetIdMap>
  </header>
  <header guid="{166B8D21-7AC2-427D-97D5-4ED1FD2C1E3C}" dateTime="2026-07-07T14:57:48" maxSheetId="3" userName="Brenda Murphy" r:id="rId98">
    <sheetIdMap count="2">
      <sheetId val="1"/>
      <sheetId val="2"/>
    </sheetIdMap>
  </header>
  <header guid="{72C52C9C-522D-47FF-A60F-CD8106C1305E}" dateTime="2026-07-07T15:09:16" maxSheetId="3" userName="Zahra Haghi" r:id="rId99" minRId="10200" maxRId="10217">
    <sheetIdMap count="2">
      <sheetId val="1"/>
      <sheetId val="2"/>
    </sheetIdMap>
  </header>
  <header guid="{6E1D3147-5CC2-44AC-B32A-73436BFB92CD}" dateTime="2026-07-07T15:09:57" maxSheetId="3" userName="Casey Hicks" r:id="rId100" minRId="10218" maxRId="10228">
    <sheetIdMap count="2">
      <sheetId val="1"/>
      <sheetId val="2"/>
    </sheetIdMap>
  </header>
  <header guid="{8141A9D8-DA76-4595-A7AC-C908B7DB35C6}" dateTime="2026-07-07T15:12:08" maxSheetId="3" userName="Casey Hicks" r:id="rId101" minRId="10229" maxRId="10230">
    <sheetIdMap count="2">
      <sheetId val="1"/>
      <sheetId val="2"/>
    </sheetIdMap>
  </header>
  <header guid="{EDB2C6C2-7CCE-402A-9C4C-C813A8C09E3F}" dateTime="2026-07-07T15:15:10" maxSheetId="3" userName="Zahra Haghi" r:id="rId102" minRId="10231" maxRId="10237">
    <sheetIdMap count="2">
      <sheetId val="1"/>
      <sheetId val="2"/>
    </sheetIdMap>
  </header>
  <header guid="{A0048061-F7D6-4232-8AD4-2B12F8EB8CFC}" dateTime="2026-07-07T15:31:56" maxSheetId="3" userName="Riddhiben Patel" r:id="rId103">
    <sheetIdMap count="2">
      <sheetId val="1"/>
      <sheetId val="2"/>
    </sheetIdMap>
  </header>
  <header guid="{96958BFE-2B52-4865-B71D-6A84A22A39EF}" dateTime="2026-07-07T16:11:24" maxSheetId="3" userName="George Trifonov" r:id="rId104">
    <sheetIdMap count="2">
      <sheetId val="1"/>
      <sheetId val="2"/>
    </sheetIdMap>
  </header>
  <header guid="{98FC36B9-F190-4783-9F89-6B5E40F54190}" dateTime="2026-07-07T16:41:06" maxSheetId="3" userName="Zahra Haghi" r:id="rId105" minRId="10238" maxRId="10246">
    <sheetIdMap count="2">
      <sheetId val="1"/>
      <sheetId val="2"/>
    </sheetIdMap>
  </header>
  <header guid="{896F795E-6E04-4409-AFA0-028EC1EC0950}" dateTime="2026-07-07T18:17:38" maxSheetId="3" userName="Riddhiben Patel" r:id="rId106" minRId="10247" maxRId="10250">
    <sheetIdMap count="2">
      <sheetId val="1"/>
      <sheetId val="2"/>
    </sheetIdMap>
  </header>
  <header guid="{5DE3E8C2-777C-4AEC-AD70-40A3AF605899}" dateTime="2026-07-07T21:06:36" maxSheetId="3" userName="Riddhiben Patel" r:id="rId107" minRId="10251" maxRId="10254">
    <sheetIdMap count="2">
      <sheetId val="1"/>
      <sheetId val="2"/>
    </sheetIdMap>
  </header>
  <header guid="{78731919-3D71-4CA7-A6D5-7A4CAD086F11}" dateTime="2026-07-08T07:45:37" maxSheetId="3" userName="Leigh Seymoure" r:id="rId108" minRId="10255" maxRId="10259">
    <sheetIdMap count="2">
      <sheetId val="1"/>
      <sheetId val="2"/>
    </sheetIdMap>
  </header>
  <header guid="{0F5D3A77-4B89-4B03-8FB7-DB75E76B8764}" dateTime="2026-07-08T08:18:43" maxSheetId="3" userName="Michael Ladouceur" r:id="rId109" minRId="10260" maxRId="10267">
    <sheetIdMap count="2">
      <sheetId val="1"/>
      <sheetId val="2"/>
    </sheetIdMap>
  </header>
  <header guid="{DA544CA3-DAEB-4DDC-AC3B-B3EE0ACB24BD}" dateTime="2026-07-08T08:21:46" maxSheetId="3" userName="Michael Ladouceur" r:id="rId110" minRId="10268">
    <sheetIdMap count="2">
      <sheetId val="1"/>
      <sheetId val="2"/>
    </sheetIdMap>
  </header>
  <header guid="{07972798-6D18-41E2-A4E1-7EED73D8B58C}" dateTime="2026-07-08T08:25:42" maxSheetId="3" userName="Michael Ladouceur" r:id="rId111" minRId="10269" maxRId="10270">
    <sheetIdMap count="2">
      <sheetId val="1"/>
      <sheetId val="2"/>
    </sheetIdMap>
  </header>
  <header guid="{F47BFBFD-CAD9-4B2A-BA20-B9312AE655B1}" dateTime="2026-07-08T08:26:38" maxSheetId="3" userName="Michael Ladouceur" r:id="rId112" minRId="10271">
    <sheetIdMap count="2">
      <sheetId val="1"/>
      <sheetId val="2"/>
    </sheetIdMap>
  </header>
  <header guid="{8091AB24-CE3D-4DC5-AC82-99FBA7D1A598}" dateTime="2026-07-08T09:11:02" maxSheetId="3" userName="Zahra Haghi" r:id="rId113" minRId="10272" maxRId="10294">
    <sheetIdMap count="2">
      <sheetId val="1"/>
      <sheetId val="2"/>
    </sheetIdMap>
  </header>
  <header guid="{34FC4525-A977-4063-A472-484DF6F86D4F}" dateTime="2026-07-08T09:20:50" maxSheetId="3" userName="Zahra Haghi" r:id="rId114" minRId="10295" maxRId="10296">
    <sheetIdMap count="2">
      <sheetId val="1"/>
      <sheetId val="2"/>
    </sheetIdMap>
  </header>
  <header guid="{9DFC8C82-94DA-413D-9EE6-6908EC4237DA}" dateTime="2026-07-08T09:25:21" maxSheetId="3" userName="Zahra Haghi" r:id="rId115" minRId="10297" maxRId="10298">
    <sheetIdMap count="2">
      <sheetId val="1"/>
      <sheetId val="2"/>
    </sheetIdMap>
  </header>
  <header guid="{A098AD72-A1F1-4417-9795-030FC586AB8A}" dateTime="2026-07-08T09:35:14" maxSheetId="3" userName="Nicole Blaire Castillo" r:id="rId116" minRId="10299">
    <sheetIdMap count="2">
      <sheetId val="1"/>
      <sheetId val="2"/>
    </sheetIdMap>
  </header>
  <header guid="{C8FC4DB5-67DE-4528-A540-ED126DFC015B}" dateTime="2026-07-08T10:08:51" maxSheetId="3" userName="Szilvia Koti" r:id="rId117">
    <sheetIdMap count="2">
      <sheetId val="1"/>
      <sheetId val="2"/>
    </sheetIdMap>
  </header>
  <header guid="{A28AF4A8-BCDF-4073-A9AF-4C0D088AC42B}" dateTime="2026-07-08T10:12:16" maxSheetId="3" userName="Zahra Haghi" r:id="rId118" minRId="10300" maxRId="10307">
    <sheetIdMap count="2">
      <sheetId val="1"/>
      <sheetId val="2"/>
    </sheetIdMap>
  </header>
  <header guid="{FF2464E9-6581-4E48-97D9-F4A2273D05F9}" dateTime="2026-07-08T10:16:55" maxSheetId="3" userName="Zahra Haghi" r:id="rId119" minRId="10308">
    <sheetIdMap count="2">
      <sheetId val="1"/>
      <sheetId val="2"/>
    </sheetIdMap>
  </header>
  <header guid="{DDD2E593-3AB0-4568-8A0F-8C1D5E32598D}" dateTime="2026-07-08T10:23:11" maxSheetId="3" userName="Chris Oliver" r:id="rId120" minRId="10309" maxRId="10358">
    <sheetIdMap count="2">
      <sheetId val="1"/>
      <sheetId val="2"/>
    </sheetIdMap>
  </header>
  <header guid="{F76271A5-7305-48F7-8629-5DE79AD12511}" dateTime="2026-07-08T10:42:43" maxSheetId="3" userName="Chris Oliver" r:id="rId121" minRId="10359" maxRId="10363">
    <sheetIdMap count="2">
      <sheetId val="1"/>
      <sheetId val="2"/>
    </sheetIdMap>
  </header>
  <header guid="{E2E5C138-059A-435D-B91A-3611AF64D578}" dateTime="2026-07-08T10:42:46" maxSheetId="3" userName="Zahra Haghi" r:id="rId122" minRId="10364" maxRId="10371">
    <sheetIdMap count="2">
      <sheetId val="1"/>
      <sheetId val="2"/>
    </sheetIdMap>
  </header>
  <header guid="{918AB99E-FA01-4046-9D1B-B0DF9D9153F6}" dateTime="2026-07-08T11:45:18" maxSheetId="3" userName="George Trifonov" r:id="rId123">
    <sheetIdMap count="2">
      <sheetId val="1"/>
      <sheetId val="2"/>
    </sheetIdMap>
  </header>
  <header guid="{CC9C64B8-75DC-4E63-A8DC-75B5A57D12CB}" dateTime="2026-07-08T12:54:32" maxSheetId="3" userName="Zahra Haghi" r:id="rId124" minRId="10372" maxRId="10373">
    <sheetIdMap count="2">
      <sheetId val="1"/>
      <sheetId val="2"/>
    </sheetIdMap>
  </header>
  <header guid="{0E7473D7-D4EB-4F51-AD0B-B3CA7406B05F}" dateTime="2026-07-08T13:42:50" maxSheetId="3" userName="Nicole Blaire Castillo" r:id="rId125" minRId="10374">
    <sheetIdMap count="2">
      <sheetId val="1"/>
      <sheetId val="2"/>
    </sheetIdMap>
  </header>
  <header guid="{9B8185FA-6B75-4BE1-9875-4E79F893FBD5}" dateTime="2026-07-08T13:44:14" maxSheetId="3" userName="George Trifonov" r:id="rId126">
    <sheetIdMap count="2">
      <sheetId val="1"/>
      <sheetId val="2"/>
    </sheetIdMap>
  </header>
  <header guid="{3FF95EAC-B130-456C-9918-CFA19866D158}" dateTime="2026-07-08T13:54:06" maxSheetId="3" userName="Casey Hicks" r:id="rId127" minRId="10375" maxRId="10469">
    <sheetIdMap count="2">
      <sheetId val="1"/>
      <sheetId val="2"/>
    </sheetIdMap>
  </header>
  <header guid="{AE3BD267-B028-4059-8CE6-960B6A57E39F}" dateTime="2026-07-08T14:24:23" maxSheetId="3" userName="Taylor Eshkakogan-Sahota" r:id="rId128">
    <sheetIdMap count="2">
      <sheetId val="1"/>
      <sheetId val="2"/>
    </sheetIdMap>
  </header>
  <header guid="{5D8458FB-39EA-4F6B-A78F-2F791F6859E6}" dateTime="2026-07-08T14:39:06" maxSheetId="3" userName="Nicole Blaire Castillo" r:id="rId129" minRId="10470" maxRId="10471">
    <sheetIdMap count="2">
      <sheetId val="1"/>
      <sheetId val="2"/>
    </sheetIdMap>
  </header>
  <header guid="{B00C67FE-2856-448F-A34E-919E5985C8AA}" dateTime="2026-07-08T14:47:17" maxSheetId="3" userName="Zahra Haghi" r:id="rId130" minRId="10472" maxRId="10477">
    <sheetIdMap count="2">
      <sheetId val="1"/>
      <sheetId val="2"/>
    </sheetIdMap>
  </header>
  <header guid="{17F5B8D7-8EFB-4283-B51F-952A099EAED4}" dateTime="2026-07-08T16:18:42" maxSheetId="3" userName="Casey Hicks" r:id="rId131" minRId="10478">
    <sheetIdMap count="2">
      <sheetId val="1"/>
      <sheetId val="2"/>
    </sheetIdMap>
  </header>
  <header guid="{5907ED5D-FD2C-4859-BCBB-DFC9936EFE5F}" dateTime="2026-07-08T16:22:29" maxSheetId="3" userName="Zahra Haghi" r:id="rId132" minRId="10479" maxRId="10510">
    <sheetIdMap count="2">
      <sheetId val="1"/>
      <sheetId val="2"/>
    </sheetIdMap>
  </header>
  <header guid="{04281769-7A8C-4727-8ADA-0DC649F6427D}" dateTime="2026-07-08T16:25:21" maxSheetId="3" userName="George Trifonov" r:id="rId133">
    <sheetIdMap count="2">
      <sheetId val="1"/>
      <sheetId val="2"/>
    </sheetIdMap>
  </header>
  <header guid="{4BF91B51-6C38-49AF-A2CF-FF658F5E9859}" dateTime="2026-07-08T16:41:16" maxSheetId="3" userName="Zahra Haghi" r:id="rId134" minRId="10511">
    <sheetIdMap count="2">
      <sheetId val="1"/>
      <sheetId val="2"/>
    </sheetIdMap>
  </header>
  <header guid="{DFBAB6F1-686D-4B9C-B157-0C0920D9232D}" dateTime="2026-07-08T16:42:52" maxSheetId="3" userName="Riddhiben Patel" r:id="rId135" minRId="10512" maxRId="10516">
    <sheetIdMap count="2">
      <sheetId val="1"/>
      <sheetId val="2"/>
    </sheetIdMap>
  </header>
  <header guid="{3E3E53AC-1BBB-4E8C-B41E-ABBF79AE8AD8}" dateTime="2026-07-08T22:51:54" maxSheetId="3" userName="Riddhiben Patel" r:id="rId136" minRId="10517" maxRId="10521">
    <sheetIdMap count="2">
      <sheetId val="1"/>
      <sheetId val="2"/>
    </sheetIdMap>
  </header>
  <header guid="{E050C094-3184-481E-A935-DAE0FBA3585A}" dateTime="2026-07-09T00:05:58" maxSheetId="3" userName="Shahbaaz Singh" r:id="rId137" minRId="10522" maxRId="10525">
    <sheetIdMap count="2">
      <sheetId val="1"/>
      <sheetId val="2"/>
    </sheetIdMap>
  </header>
  <header guid="{96738362-7692-4A2B-9055-2122EA13645A}" dateTime="2026-07-09T06:15:02" maxSheetId="3" userName="Brian Lambertus" r:id="rId138">
    <sheetIdMap count="2">
      <sheetId val="1"/>
      <sheetId val="2"/>
    </sheetIdMap>
  </header>
  <header guid="{4D2D63A0-1ED8-4451-9618-0B9E2C6DA8E3}" dateTime="2026-07-09T07:53:15" maxSheetId="3" userName="Brenda Murphy" r:id="rId139" minRId="10526">
    <sheetIdMap count="2">
      <sheetId val="1"/>
      <sheetId val="2"/>
    </sheetIdMap>
  </header>
  <header guid="{567E6320-46FC-4596-97D9-429C4D14C6CD}" dateTime="2026-07-09T07:59:27" maxSheetId="3" userName="Brenda Murphy" r:id="rId140" minRId="10527">
    <sheetIdMap count="2">
      <sheetId val="1"/>
      <sheetId val="2"/>
    </sheetIdMap>
  </header>
  <header guid="{FCFC5B99-8F4F-4BA6-AE05-7F98298F7E3A}" dateTime="2026-07-09T08:33:04" maxSheetId="3" userName="Michael Ladouceur" r:id="rId141" minRId="10528" maxRId="10534">
    <sheetIdMap count="2">
      <sheetId val="1"/>
      <sheetId val="2"/>
    </sheetIdMap>
  </header>
  <header guid="{601E903F-66B5-4BEA-81B8-08595DC57048}" dateTime="2026-07-09T09:54:37" maxSheetId="3" userName="Zahra Haghi" r:id="rId142" minRId="10535" maxRId="10540">
    <sheetIdMap count="2">
      <sheetId val="1"/>
      <sheetId val="2"/>
    </sheetIdMap>
  </header>
  <header guid="{A5E5729E-6633-4850-8415-AA3BECE9D5A0}" dateTime="2026-07-09T10:02:23" maxSheetId="3" userName="Zahra Haghi" r:id="rId143" minRId="10541">
    <sheetIdMap count="2">
      <sheetId val="1"/>
      <sheetId val="2"/>
    </sheetIdMap>
  </header>
  <header guid="{A3364688-58D0-4F3B-8EA6-34220692B990}" dateTime="2026-07-09T10:07:52" maxSheetId="3" userName="Zahra Haghi" r:id="rId144" minRId="10542">
    <sheetIdMap count="2">
      <sheetId val="1"/>
      <sheetId val="2"/>
    </sheetIdMap>
  </header>
  <header guid="{ACBC9822-CBB6-4782-BA20-F3B2AAB5F976}" dateTime="2026-07-09T11:15:51" maxSheetId="3" userName="Chris Oliver" r:id="rId145" minRId="10543" maxRId="10545">
    <sheetIdMap count="2">
      <sheetId val="1"/>
      <sheetId val="2"/>
    </sheetIdMap>
  </header>
  <header guid="{6467CE1C-D8BE-42D2-87F6-9AABC7390A36}" dateTime="2026-07-09T11:25:03" maxSheetId="3" userName="George Trifonov" r:id="rId146">
    <sheetIdMap count="2">
      <sheetId val="1"/>
      <sheetId val="2"/>
    </sheetIdMap>
  </header>
  <header guid="{B35D39D2-AE85-4147-852C-BCF8CAFEF624}" dateTime="2026-07-09T11:25:58" maxSheetId="3" userName="George Trifonov" r:id="rId147">
    <sheetIdMap count="2">
      <sheetId val="1"/>
      <sheetId val="2"/>
    </sheetIdMap>
  </header>
  <header guid="{FCD7CA4E-A24F-428A-BB82-F1DEFD663417}" dateTime="2026-07-09T12:51:42" maxSheetId="3" userName="Susan Bonney" r:id="rId148" minRId="10546" maxRId="10547">
    <sheetIdMap count="2">
      <sheetId val="1"/>
      <sheetId val="2"/>
    </sheetIdMap>
  </header>
  <header guid="{4A070357-12C7-4E33-BCAA-359642190AEB}" dateTime="2026-07-09T12:52:08" maxSheetId="3" userName="Susan Bonney" r:id="rId149">
    <sheetIdMap count="2">
      <sheetId val="1"/>
      <sheetId val="2"/>
    </sheetIdMap>
  </header>
  <header guid="{3324844D-8DA0-49D9-880F-8C6822181183}" dateTime="2026-07-09T13:34:53" maxSheetId="3" userName="Richard Holmes" r:id="rId150" minRId="10548">
    <sheetIdMap count="2">
      <sheetId val="1"/>
      <sheetId val="2"/>
    </sheetIdMap>
  </header>
  <header guid="{64F63B6C-AE07-4C00-B2C9-0F04F99E572F}" dateTime="2026-07-09T13:53:24" maxSheetId="3" userName="Michael Humber" r:id="rId151" minRId="10549">
    <sheetIdMap count="2">
      <sheetId val="1"/>
      <sheetId val="2"/>
    </sheetIdMap>
  </header>
  <header guid="{3E184182-9135-41EB-886B-60CDE16B9EAA}" dateTime="2026-07-09T14:33:44" maxSheetId="3" userName="Zahra Haghi" r:id="rId152" minRId="10550" maxRId="10556">
    <sheetIdMap count="2">
      <sheetId val="1"/>
      <sheetId val="2"/>
    </sheetIdMap>
  </header>
  <header guid="{5300E7F8-7E24-4305-ADD2-2984D9BAD79B}" dateTime="2026-07-09T14:59:59" maxSheetId="3" userName="Zahra Haghi" r:id="rId153" minRId="10557" maxRId="10605">
    <sheetIdMap count="2">
      <sheetId val="1"/>
      <sheetId val="2"/>
    </sheetIdMap>
  </header>
  <header guid="{05C912E5-A05B-4037-94C6-DB0DDB5CA3FF}" dateTime="2026-07-09T15:04:25" maxSheetId="3" userName="George Trifonov" r:id="rId154" minRId="10606" maxRId="10608">
    <sheetIdMap count="2">
      <sheetId val="1"/>
      <sheetId val="2"/>
    </sheetIdMap>
  </header>
  <header guid="{35DF44B2-EF4C-4B44-AAA7-3275F37EA41F}" dateTime="2026-07-09T15:16:17" maxSheetId="3" userName="Nirmal Singh" r:id="rId155" minRId="10609">
    <sheetIdMap count="2">
      <sheetId val="1"/>
      <sheetId val="2"/>
    </sheetIdMap>
  </header>
  <header guid="{88BB5473-C856-47D0-9479-B369A83A116B}" dateTime="2026-07-09T15:20:52" maxSheetId="3" userName="Brenda Murphy" r:id="rId156" minRId="10610" maxRId="10611">
    <sheetIdMap count="2">
      <sheetId val="1"/>
      <sheetId val="2"/>
    </sheetIdMap>
  </header>
  <header guid="{139B2A74-9003-47D3-B6E6-10B26BE7A998}" dateTime="2026-07-09T15:45:41" maxSheetId="3" userName="Zahra Haghi" r:id="rId157" minRId="10612" maxRId="10617">
    <sheetIdMap count="2">
      <sheetId val="1"/>
      <sheetId val="2"/>
    </sheetIdMap>
  </header>
  <header guid="{989AB8C6-A809-4B39-BE52-3A12F84370E9}" dateTime="2026-07-09T15:52:29" maxSheetId="3" userName="Zahra Haghi" r:id="rId158" minRId="10618" maxRId="10623">
    <sheetIdMap count="2">
      <sheetId val="1"/>
      <sheetId val="2"/>
    </sheetIdMap>
  </header>
  <header guid="{DB3B47F0-96C3-4E69-8E84-37E517748F63}" dateTime="2026-07-09T15:57:47" maxSheetId="3" userName="Zahra Haghi" r:id="rId159" minRId="10624" maxRId="10640">
    <sheetIdMap count="2">
      <sheetId val="1"/>
      <sheetId val="2"/>
    </sheetIdMap>
  </header>
  <header guid="{09B8BEFA-E839-4F7E-A619-2CA656E64D28}" dateTime="2026-07-09T16:03:37" maxSheetId="3" userName="Zahra Haghi" r:id="rId160" minRId="10641" maxRId="10650">
    <sheetIdMap count="2">
      <sheetId val="1"/>
      <sheetId val="2"/>
    </sheetIdMap>
  </header>
  <header guid="{5A349129-5CEA-446E-85D9-DA61718C2DC2}" dateTime="2026-07-09T16:05:55" maxSheetId="3" userName="Zahra Haghi" r:id="rId161" minRId="10651">
    <sheetIdMap count="2">
      <sheetId val="1"/>
      <sheetId val="2"/>
    </sheetIdMap>
  </header>
  <header guid="{F77AA611-84F4-4B5B-87DF-6997601DE3C4}" dateTime="2026-07-09T16:06:43" maxSheetId="3" userName="Chris Oliver" r:id="rId162" minRId="10652" maxRId="10711">
    <sheetIdMap count="2">
      <sheetId val="1"/>
      <sheetId val="2"/>
    </sheetIdMap>
  </header>
  <header guid="{9429E64C-A67E-495D-B9DB-6C99D5C9B68E}" dateTime="2026-07-09T16:08:10" maxSheetId="3" userName="Zahra Haghi" r:id="rId163" minRId="10712">
    <sheetIdMap count="2">
      <sheetId val="1"/>
      <sheetId val="2"/>
    </sheetIdMap>
  </header>
  <header guid="{BD79BABE-B4EA-447B-A0C5-491EF8EF6AB1}" dateTime="2026-07-09T16:13:00" maxSheetId="3" userName="Chris Oliver" r:id="rId164" minRId="10713" maxRId="10717">
    <sheetIdMap count="2">
      <sheetId val="1"/>
      <sheetId val="2"/>
    </sheetIdMap>
  </header>
  <header guid="{E071517E-E523-4C6F-BC5C-F5EA58FB8BA6}" dateTime="2026-07-09T16:15:14" maxSheetId="3" userName="Riddhiben Patel" r:id="rId165" minRId="10718" maxRId="10721">
    <sheetIdMap count="2">
      <sheetId val="1"/>
      <sheetId val="2"/>
    </sheetIdMap>
  </header>
  <header guid="{3425CCCB-4F9C-4A72-86AF-1F00947C471D}" dateTime="2026-07-09T16:37:17" maxSheetId="3" userName="Chris Oliver" r:id="rId166" minRId="10722" maxRId="10753">
    <sheetIdMap count="2">
      <sheetId val="1"/>
      <sheetId val="2"/>
    </sheetIdMap>
  </header>
  <header guid="{C17FE819-093F-464E-AFFF-25745983C694}" dateTime="2026-07-09T21:24:32" maxSheetId="3" userName="Riddhiben Patel" r:id="rId167" minRId="10754" maxRId="10758">
    <sheetIdMap count="2">
      <sheetId val="1"/>
      <sheetId val="2"/>
    </sheetIdMap>
  </header>
  <header guid="{217B347B-784D-40C3-9B48-A9A09F62F3BC}" dateTime="2026-07-10T00:07:11" maxSheetId="3" userName="Shahbaaz Singh" r:id="rId168" minRId="10759" maxRId="10761">
    <sheetIdMap count="2">
      <sheetId val="1"/>
      <sheetId val="2"/>
    </sheetIdMap>
  </header>
  <header guid="{E6DC3602-81DE-4417-8149-9E52B68BAC6A}" dateTime="2026-07-10T08:28:21" maxSheetId="3" userName="Szilvia Koti" r:id="rId169">
    <sheetIdMap count="2">
      <sheetId val="1"/>
      <sheetId val="2"/>
    </sheetIdMap>
  </header>
  <header guid="{5263F2DA-B348-49B5-A18E-989F91115367}" dateTime="2026-07-10T09:24:13" maxSheetId="3" userName="George Trifonov" r:id="rId170" minRId="10762" maxRId="10764">
    <sheetIdMap count="2">
      <sheetId val="1"/>
      <sheetId val="2"/>
    </sheetIdMap>
  </header>
  <header guid="{19066EA7-64E4-4FF3-9946-61789EBF95D4}" dateTime="2026-07-10T09:58:26" maxSheetId="3" userName="George Trifonov" r:id="rId171">
    <sheetIdMap count="2">
      <sheetId val="1"/>
      <sheetId val="2"/>
    </sheetIdMap>
  </header>
  <header guid="{90AD792C-A532-4D0F-A94B-24D7360ACC9D}" dateTime="2026-07-10T11:05:22" maxSheetId="3" userName="Chris Oliver" r:id="rId172" minRId="10765" maxRId="10804">
    <sheetIdMap count="2">
      <sheetId val="1"/>
      <sheetId val="2"/>
    </sheetIdMap>
  </header>
  <header guid="{9279BABC-DEEC-4035-AB3C-19C17B7B394A}" dateTime="2026-07-10T11:50:39" maxSheetId="3" userName="Zahra Haghi" r:id="rId173" minRId="10805" maxRId="10818">
    <sheetIdMap count="2">
      <sheetId val="1"/>
      <sheetId val="2"/>
    </sheetIdMap>
  </header>
  <header guid="{FAC73D2B-0F02-43C2-88C4-79A147824630}" dateTime="2026-07-10T11:53:27" maxSheetId="3" userName="Zahra Haghi" r:id="rId174" minRId="10819" maxRId="1082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438:XFD438" start="0" length="0">
    <dxf>
      <border>
        <bottom style="medium">
          <color indexed="64"/>
        </bottom>
      </border>
    </dxf>
  </rfmt>
  <rfmt sheetId="1" sqref="A428:XFD428" start="0" length="0">
    <dxf>
      <border>
        <bottom style="medium">
          <color indexed="64"/>
        </bottom>
      </border>
    </dxf>
  </rfmt>
  <rcc rId="1" sId="1">
    <oc r="A429" t="inlineStr">
      <is>
        <t>Zone 3</t>
      </is>
    </oc>
    <nc r="A429"/>
  </rcc>
  <rcc rId="2" sId="1">
    <oc r="B429" t="inlineStr">
      <is>
        <t>DNA Swab Cell</t>
      </is>
    </oc>
    <nc r="B429"/>
  </rcc>
  <rcc rId="3" sId="1">
    <oc r="C429">
      <v>1</v>
    </oc>
    <nc r="C429"/>
  </rcc>
  <rcc rId="4" sId="1">
    <oc r="E429" t="inlineStr">
      <is>
        <t>W1028623/1</t>
      </is>
    </oc>
    <nc r="E429"/>
  </rcc>
  <rcc rId="5" sId="1">
    <oc r="F429" t="inlineStr">
      <is>
        <t>DNA3/71-3511</t>
      </is>
    </oc>
    <nc r="F429"/>
  </rcc>
  <rcc rId="6" sId="1">
    <oc r="G429" t="inlineStr">
      <is>
        <t>SMI Inspected Swabs</t>
      </is>
    </oc>
    <nc r="G429"/>
  </rcc>
  <rcc rId="7" sId="1">
    <oc r="H429">
      <v>6.94</v>
    </oc>
    <nc r="H429"/>
  </rcc>
  <rcc rId="8" sId="1">
    <oc r="I429">
      <v>4.21</v>
    </oc>
    <nc r="I429"/>
  </rcc>
  <rcc rId="9" sId="1">
    <oc r="J429">
      <v>20000</v>
    </oc>
    <nc r="J429"/>
  </rcc>
  <rcc rId="10" sId="1">
    <oc r="K429">
      <v>7875</v>
    </oc>
    <nc r="K429"/>
  </rcc>
  <rcc rId="11" sId="1" numFmtId="19">
    <oc r="L429">
      <v>46208.958333333336</v>
    </oc>
    <nc r="L429"/>
  </rcc>
  <rcc rId="12" sId="1" numFmtId="19">
    <oc r="M429">
      <v>46209.131944444445</v>
    </oc>
    <nc r="M429"/>
  </rcc>
  <rcc rId="13" sId="1">
    <oc r="AA429" t="inlineStr">
      <is>
        <t>1</t>
      </is>
    </oc>
    <nc r="AA429"/>
  </rcc>
  <rcc rId="14" sId="1">
    <oc r="AB429" t="inlineStr">
      <is>
        <t>0</t>
      </is>
    </oc>
    <nc r="AB429"/>
  </rcc>
  <rrc rId="15" sId="1" ref="A429:XFD429" action="deleteRow">
    <rfmt sheetId="1" xfDxf="1" sqref="A429:XFD429" start="0" length="0"/>
    <rfmt sheetId="1" sqref="L429" start="0" length="0">
      <dxf>
        <numFmt numFmtId="164" formatCode="mm\-dd\-yyyy"/>
      </dxf>
    </rfmt>
    <rfmt sheetId="1" sqref="M429" start="0" length="0">
      <dxf>
        <numFmt numFmtId="164" formatCode="mm\-dd\-yyyy"/>
      </dxf>
    </rfmt>
  </rrc>
  <rrc rId="16" sId="1" ref="A428:XFD428" action="deleteRow">
    <rfmt sheetId="1" xfDxf="1" sqref="A428:XFD428" start="0" length="0">
      <dxf>
        <border outline="0">
          <bottom style="medium">
            <color indexed="64"/>
          </bottom>
        </border>
      </dxf>
    </rfmt>
    <rcc rId="0" sId="1">
      <nc r="A428" t="inlineStr">
        <is>
          <t>Zone 3</t>
        </is>
      </nc>
    </rcc>
    <rcc rId="0" sId="1">
      <nc r="B428" t="inlineStr">
        <is>
          <t>DNA OC Cell # 5</t>
        </is>
      </nc>
    </rcc>
    <rcc rId="0" sId="1">
      <nc r="C428">
        <v>5</v>
      </nc>
    </rcc>
    <rcc rId="0" sId="1">
      <nc r="E428" t="inlineStr">
        <is>
          <t>W1030139/1</t>
        </is>
      </nc>
    </rcc>
    <rcc rId="0" sId="1">
      <nc r="F428" t="inlineStr">
        <is>
          <t>DNA1/ORE-100</t>
        </is>
      </nc>
    </rcc>
    <rcc rId="0" sId="1">
      <nc r="G428" t="inlineStr">
        <is>
          <t>Saliva Collection Kit</t>
        </is>
      </nc>
    </rcc>
    <rcc rId="0" sId="1">
      <nc r="H428">
        <v>36.700000000000003</v>
      </nc>
    </rcc>
    <rcc rId="0" sId="1">
      <nc r="I428">
        <v>7.34</v>
      </nc>
    </rcc>
    <rcc rId="0" sId="1">
      <nc r="J428">
        <v>6116</v>
      </nc>
    </rcc>
    <rcc rId="0" sId="1">
      <nc r="K428">
        <v>0</v>
      </nc>
    </rcc>
    <rcc rId="0" sId="1" dxf="1" numFmtId="19">
      <nc r="L428">
        <v>46210.979166666664</v>
      </nc>
      <ndxf>
        <numFmt numFmtId="164" formatCode="mm\-dd\-yyyy"/>
      </ndxf>
    </rcc>
    <rcc rId="0" sId="1" dxf="1" numFmtId="19">
      <nc r="M428">
        <v>46211.284722222219</v>
      </nc>
      <ndxf>
        <numFmt numFmtId="164" formatCode="mm\-dd\-yyyy"/>
      </ndxf>
    </rcc>
    <rcc rId="0" sId="1">
      <nc r="AA428" t="inlineStr">
        <is>
          <t>1</t>
        </is>
      </nc>
    </rcc>
    <rcc rId="0" sId="1">
      <nc r="AB428" t="inlineStr">
        <is>
          <t>0</t>
        </is>
      </nc>
    </rcc>
  </rrc>
  <rfmt sheetId="1" sqref="E425" start="0" length="0">
    <dxf>
      <border>
        <left/>
        <right/>
        <top/>
        <bottom/>
      </border>
    </dxf>
  </rfmt>
  <rfmt sheetId="1" sqref="A427:XFD427" start="0" length="0">
    <dxf>
      <border>
        <bottom style="medium">
          <color indexed="64"/>
        </bottom>
      </border>
    </dxf>
  </rfmt>
  <rfmt sheetId="1" sqref="A424:XFD424" start="0" length="0">
    <dxf>
      <border>
        <bottom style="medium">
          <color indexed="64"/>
        </bottom>
      </border>
    </dxf>
  </rfmt>
  <rfmt sheetId="1" sqref="A414:XFD414" start="0" length="0">
    <dxf>
      <border>
        <bottom style="medium">
          <color indexed="64"/>
        </bottom>
      </border>
    </dxf>
  </rfmt>
  <rfmt sheetId="1" sqref="A408:XFD408" start="0" length="0">
    <dxf>
      <border>
        <bottom style="medium">
          <color indexed="64"/>
        </bottom>
      </border>
    </dxf>
  </rfmt>
  <rfmt sheetId="1" sqref="A406:XFD406" start="0" length="0">
    <dxf>
      <border>
        <bottom style="medium">
          <color indexed="64"/>
        </bottom>
      </border>
    </dxf>
  </rfmt>
  <rfmt sheetId="1" sqref="A415:XFD415">
    <dxf>
      <fill>
        <patternFill>
          <bgColor theme="8" tint="0.39997558519241921"/>
        </patternFill>
      </fill>
    </dxf>
  </rfmt>
  <rfmt sheetId="1" sqref="E416:Q417">
    <dxf>
      <fill>
        <patternFill patternType="none">
          <bgColor auto="1"/>
        </patternFill>
      </fill>
    </dxf>
  </rfmt>
  <rfmt sheetId="1" sqref="A416:XFD417">
    <dxf>
      <fill>
        <patternFill patternType="none">
          <bgColor auto="1"/>
        </patternFill>
      </fill>
    </dxf>
  </rfmt>
  <rfmt sheetId="1" sqref="A409:XFD409">
    <dxf>
      <fill>
        <patternFill>
          <bgColor theme="8" tint="0.39997558519241921"/>
        </patternFill>
      </fill>
    </dxf>
  </rfmt>
  <rfmt sheetId="1" sqref="A626:XFD626" start="0" length="0">
    <dxf>
      <border>
        <bottom style="medium">
          <color indexed="64"/>
        </bottom>
      </border>
    </dxf>
  </rfmt>
  <rfmt sheetId="1" sqref="A632:XFD632" start="0" length="0">
    <dxf>
      <border>
        <bottom style="medium">
          <color indexed="64"/>
        </bottom>
      </border>
    </dxf>
  </rfmt>
  <rcv guid="{762CA562-56B3-4EDA-A62C-825AB49B4B24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" sId="1" ref="A615:XFD619" action="insertRow"/>
  <rcc rId="18" sId="1">
    <nc r="A615" t="inlineStr">
      <is>
        <t>Zone 3</t>
      </is>
    </nc>
  </rcc>
  <rcc rId="19" sId="1">
    <nc r="B615" t="inlineStr">
      <is>
        <t>OP1 Tier 2</t>
      </is>
    </nc>
  </rcc>
  <rcc rId="20" sId="1">
    <nc r="C615">
      <v>1</v>
    </nc>
  </rcc>
  <rcc rId="21" sId="1">
    <nc r="E615" t="inlineStr">
      <is>
        <t>W1027863/1</t>
      </is>
    </nc>
  </rcc>
  <rcc rId="22" sId="1">
    <nc r="F615" t="inlineStr">
      <is>
        <t>VER3/0130-1071BS</t>
      </is>
    </nc>
  </rcc>
  <rcc rId="23" sId="1">
    <nc r="G615" t="inlineStr">
      <is>
        <t>Titanium Lopro T4 Belt Sand</t>
      </is>
    </nc>
  </rcc>
  <rcc rId="24" sId="1">
    <nc r="J615">
      <v>28</v>
    </nc>
  </rcc>
  <rcc rId="25" sId="1">
    <nc r="K615">
      <v>0</v>
    </nc>
  </rcc>
  <rcc rId="26" sId="1">
    <nc r="A616" t="inlineStr">
      <is>
        <t>Zone 3</t>
      </is>
    </nc>
  </rcc>
  <rcc rId="27" sId="1">
    <nc r="B616" t="inlineStr">
      <is>
        <t>OP1 Tier 2</t>
      </is>
    </nc>
  </rcc>
  <rcc rId="28" sId="1">
    <nc r="C616">
      <v>1</v>
    </nc>
  </rcc>
  <rcc rId="29" sId="1">
    <nc r="E616" t="inlineStr">
      <is>
        <t>W1027864/1</t>
      </is>
    </nc>
  </rcc>
  <rcc rId="30" sId="1">
    <nc r="F616" t="inlineStr">
      <is>
        <t>VER3/0130-1071BS</t>
      </is>
    </nc>
  </rcc>
  <rcc rId="31" sId="1">
    <nc r="G616" t="inlineStr">
      <is>
        <t>Titanium Lopro T4 Belt Sand</t>
      </is>
    </nc>
  </rcc>
  <rcc rId="32" sId="1">
    <nc r="J616">
      <v>60</v>
    </nc>
  </rcc>
  <rcc rId="33" sId="1">
    <nc r="K616">
      <v>0</v>
    </nc>
  </rcc>
  <rcc rId="34" sId="1">
    <nc r="A617" t="inlineStr">
      <is>
        <t>Zone 3</t>
      </is>
    </nc>
  </rcc>
  <rcc rId="35" sId="1">
    <nc r="B617" t="inlineStr">
      <is>
        <t>OP1 Tier 2</t>
      </is>
    </nc>
  </rcc>
  <rcc rId="36" sId="1">
    <nc r="C617">
      <v>1</v>
    </nc>
  </rcc>
  <rcc rId="37" sId="1">
    <nc r="E617" t="inlineStr">
      <is>
        <t>W1029257/1</t>
      </is>
    </nc>
  </rcc>
  <rcc rId="38" sId="1">
    <nc r="F617" t="inlineStr">
      <is>
        <t>VER3/0130-1069BS</t>
      </is>
    </nc>
  </rcc>
  <rcc rId="39" sId="1">
    <nc r="G617" t="inlineStr">
      <is>
        <t>Titanium Lopro T2 Belt Sand</t>
      </is>
    </nc>
  </rcc>
  <rcc rId="40" sId="1">
    <nc r="J617">
      <v>48</v>
    </nc>
  </rcc>
  <rcc rId="41" sId="1">
    <nc r="K617">
      <v>0</v>
    </nc>
  </rcc>
  <rcc rId="42" sId="1">
    <nc r="A618" t="inlineStr">
      <is>
        <t>Zone 3</t>
      </is>
    </nc>
  </rcc>
  <rcc rId="43" sId="1">
    <nc r="B618" t="inlineStr">
      <is>
        <t>OP1 Tier 2</t>
      </is>
    </nc>
  </rcc>
  <rcc rId="44" sId="1">
    <nc r="C618">
      <v>1</v>
    </nc>
  </rcc>
  <rcc rId="45" sId="1">
    <nc r="E618" t="inlineStr">
      <is>
        <t>W1027865/1</t>
      </is>
    </nc>
  </rcc>
  <rcc rId="46" sId="1">
    <nc r="F618" t="inlineStr">
      <is>
        <t>VER3/0130-1071BS</t>
      </is>
    </nc>
  </rcc>
  <rcc rId="47" sId="1">
    <nc r="G618" t="inlineStr">
      <is>
        <t>Titanium Lopro T4 Belt Sand</t>
      </is>
    </nc>
  </rcc>
  <rcc rId="48" sId="1">
    <nc r="J618">
      <v>48</v>
    </nc>
  </rcc>
  <rcc rId="49" sId="1">
    <nc r="K618">
      <v>0</v>
    </nc>
  </rcc>
  <rcc rId="50" sId="1" odxf="1" dxf="1">
    <nc r="A619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1" sId="1" odxf="1" dxf="1">
    <nc r="B619" t="inlineStr">
      <is>
        <t>OP1 Tier 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2" sId="1" odxf="1" dxf="1">
    <nc r="C619">
      <v>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D619" start="0" length="0">
    <dxf>
      <border outline="0">
        <bottom style="medium">
          <color indexed="64"/>
        </bottom>
      </border>
    </dxf>
  </rfmt>
  <rcc rId="53" sId="1" odxf="1" dxf="1">
    <nc r="E619" t="inlineStr">
      <is>
        <t>W1028937/1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4" sId="1" odxf="1" dxf="1">
    <nc r="F619" t="inlineStr">
      <is>
        <t>VER3/0130-1070BS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5" sId="1" odxf="1" dxf="1">
    <nc r="G619" t="inlineStr">
      <is>
        <t>Titanium Lopro T3 Belt Sand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H619" start="0" length="0">
    <dxf>
      <border outline="0">
        <bottom style="medium">
          <color indexed="64"/>
        </bottom>
      </border>
    </dxf>
  </rfmt>
  <rfmt sheetId="1" sqref="I619" start="0" length="0">
    <dxf>
      <border outline="0">
        <bottom style="medium">
          <color indexed="64"/>
        </bottom>
      </border>
    </dxf>
  </rfmt>
  <rcc rId="56" sId="1" odxf="1" dxf="1">
    <nc r="J619">
      <v>48</v>
    </nc>
    <odxf>
      <border outline="0">
        <bottom/>
      </border>
    </odxf>
    <ndxf>
      <border outline="0">
        <bottom style="medium">
          <color indexed="64"/>
        </bottom>
      </border>
    </ndxf>
  </rcc>
  <rcc rId="57" sId="1" odxf="1" dxf="1">
    <nc r="K619">
      <v>0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L619" start="0" length="0">
    <dxf>
      <border outline="0">
        <bottom style="medium">
          <color indexed="64"/>
        </bottom>
      </border>
    </dxf>
  </rfmt>
  <rfmt sheetId="1" sqref="M619" start="0" length="0">
    <dxf>
      <border outline="0">
        <bottom style="medium">
          <color indexed="64"/>
        </bottom>
      </border>
    </dxf>
  </rfmt>
  <rfmt sheetId="1" sqref="N619" start="0" length="0">
    <dxf>
      <border outline="0">
        <bottom style="medium">
          <color indexed="64"/>
        </bottom>
      </border>
    </dxf>
  </rfmt>
  <rfmt sheetId="1" sqref="O619" start="0" length="0">
    <dxf>
      <border outline="0">
        <bottom style="medium">
          <color indexed="64"/>
        </bottom>
      </border>
    </dxf>
  </rfmt>
  <rfmt sheetId="1" sqref="P619" start="0" length="0">
    <dxf>
      <border outline="0">
        <bottom style="medium">
          <color indexed="64"/>
        </bottom>
      </border>
    </dxf>
  </rfmt>
  <rfmt sheetId="1" sqref="Q619" start="0" length="0">
    <dxf>
      <border outline="0">
        <bottom style="medium">
          <color indexed="64"/>
        </bottom>
      </border>
    </dxf>
  </rfmt>
  <rfmt sheetId="1" sqref="R619" start="0" length="0">
    <dxf>
      <border outline="0">
        <bottom style="medium">
          <color indexed="64"/>
        </bottom>
      </border>
    </dxf>
  </rfmt>
  <rfmt sheetId="1" sqref="S619" start="0" length="0">
    <dxf>
      <border outline="0">
        <bottom style="medium">
          <color indexed="64"/>
        </bottom>
      </border>
    </dxf>
  </rfmt>
  <rfmt sheetId="1" sqref="T619" start="0" length="0">
    <dxf>
      <border outline="0">
        <bottom style="medium">
          <color indexed="64"/>
        </bottom>
      </border>
    </dxf>
  </rfmt>
  <rfmt sheetId="1" sqref="U619" start="0" length="0">
    <dxf>
      <border outline="0">
        <bottom style="medium">
          <color indexed="64"/>
        </bottom>
      </border>
    </dxf>
  </rfmt>
  <rfmt sheetId="1" sqref="V619" start="0" length="0">
    <dxf>
      <border outline="0">
        <bottom style="medium">
          <color indexed="64"/>
        </bottom>
      </border>
    </dxf>
  </rfmt>
  <rfmt sheetId="1" sqref="W619" start="0" length="0">
    <dxf>
      <border outline="0">
        <bottom style="medium">
          <color indexed="64"/>
        </bottom>
      </border>
    </dxf>
  </rfmt>
  <rfmt sheetId="1" sqref="X619" start="0" length="0">
    <dxf>
      <border outline="0">
        <bottom style="medium">
          <color indexed="64"/>
        </bottom>
      </border>
    </dxf>
  </rfmt>
  <rfmt sheetId="1" sqref="Y619" start="0" length="0">
    <dxf>
      <border outline="0">
        <bottom style="medium">
          <color indexed="64"/>
        </bottom>
      </border>
    </dxf>
  </rfmt>
  <rfmt sheetId="1" sqref="Z619" start="0" length="0">
    <dxf>
      <border outline="0">
        <bottom style="medium">
          <color indexed="64"/>
        </bottom>
      </border>
    </dxf>
  </rfmt>
  <rfmt sheetId="1" sqref="AA619" start="0" length="0">
    <dxf>
      <border outline="0">
        <bottom style="medium">
          <color indexed="64"/>
        </bottom>
      </border>
    </dxf>
  </rfmt>
  <rfmt sheetId="1" sqref="AB619" start="0" length="0">
    <dxf>
      <border outline="0">
        <bottom style="medium">
          <color indexed="64"/>
        </bottom>
      </border>
    </dxf>
  </rfmt>
  <rfmt sheetId="1" sqref="A619:XFD619" start="0" length="0">
    <dxf>
      <border outline="0">
        <bottom style="medium">
          <color indexed="64"/>
        </bottom>
      </border>
    </dxf>
  </rfmt>
  <rcc rId="58" sId="1">
    <oc r="A628" t="inlineStr">
      <is>
        <t>Zone 3</t>
      </is>
    </oc>
    <nc r="A628"/>
  </rcc>
  <rcc rId="59" sId="1">
    <oc r="B628" t="inlineStr">
      <is>
        <t>OP1 Tier 2</t>
      </is>
    </oc>
    <nc r="B628"/>
  </rcc>
  <rcc rId="60" sId="1">
    <oc r="C628">
      <v>0</v>
    </oc>
    <nc r="C628"/>
  </rcc>
  <rcc rId="61" sId="1">
    <oc r="E628" t="inlineStr">
      <is>
        <t>W1029257/1</t>
      </is>
    </oc>
    <nc r="E628"/>
  </rcc>
  <rcc rId="62" sId="1">
    <oc r="F628" t="inlineStr">
      <is>
        <t>VER3/0130-1069BS</t>
      </is>
    </oc>
    <nc r="F628"/>
  </rcc>
  <rcc rId="63" sId="1">
    <oc r="G628" t="inlineStr">
      <is>
        <t>Titanium Lopro T2 Belt Sanded</t>
      </is>
    </oc>
    <nc r="G628"/>
  </rcc>
  <rcc rId="64" sId="1">
    <oc r="H628">
      <v>0</v>
    </oc>
    <nc r="H628"/>
  </rcc>
  <rcc rId="65" sId="1">
    <oc r="I628">
      <v>3.2</v>
    </oc>
    <nc r="I628"/>
  </rcc>
  <rcc rId="66" sId="1">
    <oc r="J628">
      <v>48</v>
    </oc>
    <nc r="J628"/>
  </rcc>
  <rcc rId="67" sId="1">
    <oc r="K628">
      <v>0</v>
    </oc>
    <nc r="K628"/>
  </rcc>
  <rcc rId="68" sId="1" numFmtId="19">
    <oc r="L628">
      <v>46216</v>
    </oc>
    <nc r="L628"/>
  </rcc>
  <rcc rId="69" sId="1" numFmtId="19">
    <oc r="M628">
      <v>46216.131944444445</v>
    </oc>
    <nc r="M628"/>
  </rcc>
  <rcc rId="70" sId="1">
    <oc r="AA628" t="inlineStr">
      <is>
        <t>1</t>
      </is>
    </oc>
    <nc r="AA628"/>
  </rcc>
  <rcc rId="71" sId="1">
    <oc r="AB628" t="inlineStr">
      <is>
        <t>0</t>
      </is>
    </oc>
    <nc r="AB628"/>
  </rcc>
  <rcc rId="72" sId="1">
    <oc r="A629" t="inlineStr">
      <is>
        <t>Zone 3</t>
      </is>
    </oc>
    <nc r="A629"/>
  </rcc>
  <rcc rId="73" sId="1">
    <oc r="B629" t="inlineStr">
      <is>
        <t>OP1 Tier 2</t>
      </is>
    </oc>
    <nc r="B629"/>
  </rcc>
  <rcc rId="74" sId="1">
    <oc r="C629">
      <v>0</v>
    </oc>
    <nc r="C629"/>
  </rcc>
  <rcc rId="75" sId="1">
    <oc r="E629" t="inlineStr">
      <is>
        <t>W1027865/FG</t>
      </is>
    </oc>
    <nc r="E629"/>
  </rcc>
  <rcc rId="76" sId="1">
    <oc r="F629" t="inlineStr">
      <is>
        <t>VER1/0143-0003</t>
      </is>
    </oc>
    <nc r="F629"/>
  </rcc>
  <rcc rId="77" sId="1">
    <oc r="G629" t="inlineStr">
      <is>
        <t>Titanium LoPro T4 Shell</t>
      </is>
    </oc>
    <nc r="G629"/>
  </rcc>
  <rcc rId="78" sId="1">
    <oc r="H629">
      <v>0</v>
    </oc>
    <nc r="H629"/>
  </rcc>
  <rcc rId="79" sId="1">
    <oc r="I629">
      <v>1.6</v>
    </oc>
    <nc r="I629"/>
  </rcc>
  <rcc rId="80" sId="1">
    <oc r="J629">
      <v>48</v>
    </oc>
    <nc r="J629"/>
  </rcc>
  <rcc rId="81" sId="1">
    <oc r="K629">
      <v>0</v>
    </oc>
    <nc r="K629"/>
  </rcc>
  <rcc rId="82" sId="1" numFmtId="19">
    <oc r="L629">
      <v>46223</v>
    </oc>
    <nc r="L629"/>
  </rcc>
  <rcc rId="83" sId="1" numFmtId="19">
    <oc r="M629">
      <v>46223.0625</v>
    </oc>
    <nc r="M629"/>
  </rcc>
  <rcc rId="84" sId="1">
    <oc r="AA629" t="inlineStr">
      <is>
        <t>FG</t>
      </is>
    </oc>
    <nc r="AA629"/>
  </rcc>
  <rcc rId="85" sId="1">
    <oc r="AB629" t="inlineStr">
      <is>
        <t>0</t>
      </is>
    </oc>
    <nc r="AB629"/>
  </rcc>
  <rcc rId="86" sId="1">
    <oc r="A630" t="inlineStr">
      <is>
        <t>Zone 3</t>
      </is>
    </oc>
    <nc r="A630"/>
  </rcc>
  <rcc rId="87" sId="1">
    <oc r="B630" t="inlineStr">
      <is>
        <t>OP1 Tier 2</t>
      </is>
    </oc>
    <nc r="B630"/>
  </rcc>
  <rcc rId="88" sId="1">
    <oc r="C630">
      <v>0</v>
    </oc>
    <nc r="C630"/>
  </rcc>
  <rcc rId="89" sId="1">
    <oc r="E630" t="inlineStr">
      <is>
        <t>W1029257/FG</t>
      </is>
    </oc>
    <nc r="E630"/>
  </rcc>
  <rcc rId="90" sId="1">
    <oc r="F630" t="inlineStr">
      <is>
        <t>VER1/0143-0001</t>
      </is>
    </oc>
    <nc r="F630"/>
  </rcc>
  <rcc rId="91" sId="1">
    <oc r="G630" t="inlineStr">
      <is>
        <t>Titanium LoPro T2 Shell</t>
      </is>
    </oc>
    <nc r="G630"/>
  </rcc>
  <rcc rId="92" sId="1">
    <oc r="H630">
      <v>0</v>
    </oc>
    <nc r="H630"/>
  </rcc>
  <rcc rId="93" sId="1">
    <oc r="I630">
      <v>1.6</v>
    </oc>
    <nc r="I630"/>
  </rcc>
  <rcc rId="94" sId="1">
    <oc r="J630">
      <v>48</v>
    </oc>
    <nc r="J630"/>
  </rcc>
  <rcc rId="95" sId="1">
    <oc r="K630">
      <v>0</v>
    </oc>
    <nc r="K630"/>
  </rcc>
  <rcc rId="96" sId="1" numFmtId="19">
    <oc r="L630">
      <v>46230</v>
    </oc>
    <nc r="L630"/>
  </rcc>
  <rcc rId="97" sId="1" numFmtId="19">
    <oc r="M630">
      <v>46230.0625</v>
    </oc>
    <nc r="M630"/>
  </rcc>
  <rcc rId="98" sId="1">
    <oc r="AA630" t="inlineStr">
      <is>
        <t>FG</t>
      </is>
    </oc>
    <nc r="AA630"/>
  </rcc>
  <rcc rId="99" sId="1">
    <oc r="AB630" t="inlineStr">
      <is>
        <t>0</t>
      </is>
    </oc>
    <nc r="AB630"/>
  </rcc>
  <rcc rId="100" sId="1">
    <oc r="A631" t="inlineStr">
      <is>
        <t>Zone 3</t>
      </is>
    </oc>
    <nc r="A631"/>
  </rcc>
  <rcc rId="101" sId="1">
    <oc r="B631" t="inlineStr">
      <is>
        <t>OP1 Tier 2</t>
      </is>
    </oc>
    <nc r="B631"/>
  </rcc>
  <rcc rId="102" sId="1">
    <oc r="C631">
      <v>0</v>
    </oc>
    <nc r="C631"/>
  </rcc>
  <rcc rId="103" sId="1">
    <oc r="E631" t="inlineStr">
      <is>
        <t>W1028937/1</t>
      </is>
    </oc>
    <nc r="E631"/>
  </rcc>
  <rcc rId="104" sId="1">
    <oc r="F631" t="inlineStr">
      <is>
        <t>VER3/0130-1070BS</t>
      </is>
    </oc>
    <nc r="F631"/>
  </rcc>
  <rcc rId="105" sId="1">
    <oc r="G631" t="inlineStr">
      <is>
        <t>Titanium Lopro T3 Belt Sanded</t>
      </is>
    </oc>
    <nc r="G631"/>
  </rcc>
  <rcc rId="106" sId="1">
    <oc r="H631">
      <v>0</v>
    </oc>
    <nc r="H631"/>
  </rcc>
  <rcc rId="107" sId="1">
    <oc r="I631">
      <v>3.2</v>
    </oc>
    <nc r="I631"/>
  </rcc>
  <rcc rId="108" sId="1">
    <oc r="J631">
      <v>48</v>
    </oc>
    <nc r="J631"/>
  </rcc>
  <rcc rId="109" sId="1">
    <oc r="K631">
      <v>0</v>
    </oc>
    <nc r="K631"/>
  </rcc>
  <rcc rId="110" sId="1" numFmtId="19">
    <oc r="L631">
      <v>46230</v>
    </oc>
    <nc r="L631"/>
  </rcc>
  <rcc rId="111" sId="1" numFmtId="19">
    <oc r="M631">
      <v>46230.131944444445</v>
    </oc>
    <nc r="M631"/>
  </rcc>
  <rcc rId="112" sId="1">
    <oc r="AA631" t="inlineStr">
      <is>
        <t>1</t>
      </is>
    </oc>
    <nc r="AA631"/>
  </rcc>
  <rcc rId="113" sId="1">
    <oc r="AB631" t="inlineStr">
      <is>
        <t>0</t>
      </is>
    </oc>
    <nc r="AB631"/>
  </rcc>
  <rcc rId="114" sId="1">
    <oc r="C620">
      <v>0</v>
    </oc>
    <nc r="C620">
      <v>1</v>
    </nc>
  </rcc>
  <rcc rId="115" sId="1">
    <oc r="G620" t="inlineStr">
      <is>
        <t>Titanium LoPro T2 Shell</t>
      </is>
    </oc>
    <nc r="G620" t="inlineStr">
      <is>
        <t>Titanium Lopro T2 Shell</t>
      </is>
    </nc>
  </rcc>
  <rcc rId="116" sId="1">
    <oc r="H620">
      <v>0</v>
    </oc>
    <nc r="H620"/>
  </rcc>
  <rcc rId="117" sId="1">
    <oc r="I620">
      <v>0.77</v>
    </oc>
    <nc r="I620"/>
  </rcc>
  <rcc rId="118" sId="1">
    <oc r="L620">
      <v>46208.958333333336</v>
    </oc>
    <nc r="L620"/>
  </rcc>
  <rcc rId="119" sId="1">
    <oc r="M620">
      <v>46208.986111111109</v>
    </oc>
    <nc r="M620"/>
  </rcc>
  <rcc rId="120" sId="1">
    <oc r="AA620" t="inlineStr">
      <is>
        <t>FG</t>
      </is>
    </oc>
    <nc r="AA620"/>
  </rcc>
  <rcc rId="121" sId="1">
    <oc r="AB620" t="inlineStr">
      <is>
        <t>0</t>
      </is>
    </oc>
    <nc r="AB620"/>
  </rcc>
  <rcc rId="122" sId="1">
    <oc r="C621">
      <v>0</v>
    </oc>
    <nc r="C621">
      <v>1</v>
    </nc>
  </rcc>
  <rcc rId="123" sId="1">
    <oc r="E621" t="inlineStr">
      <is>
        <t>W1027863/FG</t>
      </is>
    </oc>
    <nc r="E621" t="inlineStr">
      <is>
        <t>W1027861/FG</t>
      </is>
    </nc>
  </rcc>
  <rcc rId="124" sId="1">
    <oc r="F621" t="inlineStr">
      <is>
        <t>VER1/0143-0003</t>
      </is>
    </oc>
    <nc r="F621" t="inlineStr">
      <is>
        <t>VER1/0143-0002</t>
      </is>
    </nc>
  </rcc>
  <rcc rId="125" sId="1">
    <oc r="G621" t="inlineStr">
      <is>
        <t>Titanium LoPro T4 Shell</t>
      </is>
    </oc>
    <nc r="G621" t="inlineStr">
      <is>
        <t>Titanium Lopro T3 Shell</t>
      </is>
    </nc>
  </rcc>
  <rcc rId="126" sId="1">
    <oc r="H621">
      <v>0</v>
    </oc>
    <nc r="H621"/>
  </rcc>
  <rcc rId="127" sId="1">
    <oc r="I621">
      <v>0.93</v>
    </oc>
    <nc r="I621"/>
  </rcc>
  <rcc rId="128" sId="1">
    <oc r="J621">
      <v>28</v>
    </oc>
    <nc r="J621">
      <v>60</v>
    </nc>
  </rcc>
  <rcc rId="129" sId="1">
    <oc r="L621">
      <v>46208.958333333336</v>
    </oc>
    <nc r="L621"/>
  </rcc>
  <rcc rId="130" sId="1">
    <oc r="M621">
      <v>46208.993055555555</v>
    </oc>
    <nc r="M621"/>
  </rcc>
  <rcc rId="131" sId="1">
    <oc r="AA621" t="inlineStr">
      <is>
        <t>FG</t>
      </is>
    </oc>
    <nc r="AA621"/>
  </rcc>
  <rcc rId="132" sId="1">
    <oc r="AB621" t="inlineStr">
      <is>
        <t>0</t>
      </is>
    </oc>
    <nc r="AB621"/>
  </rcc>
  <rcc rId="133" sId="1">
    <oc r="C622">
      <v>0</v>
    </oc>
    <nc r="C622">
      <v>1</v>
    </nc>
  </rcc>
  <rcc rId="134" sId="1">
    <oc r="E622" t="inlineStr">
      <is>
        <t>W1027863/1</t>
      </is>
    </oc>
    <nc r="E622" t="inlineStr">
      <is>
        <t>W1027862/FG</t>
      </is>
    </nc>
  </rcc>
  <rcc rId="135" sId="1">
    <oc r="F622" t="inlineStr">
      <is>
        <t>VER3/0130-1071BS</t>
      </is>
    </oc>
    <nc r="F622" t="inlineStr">
      <is>
        <t>VER1/0143-0002</t>
      </is>
    </nc>
  </rcc>
  <rcc rId="136" sId="1">
    <oc r="G622" t="inlineStr">
      <is>
        <t>Titanium Lopro T4 Belt Sanded</t>
      </is>
    </oc>
    <nc r="G622" t="inlineStr">
      <is>
        <t>Titanium Lopro T3 Shell</t>
      </is>
    </nc>
  </rcc>
  <rcc rId="137" sId="1">
    <oc r="H622">
      <v>0</v>
    </oc>
    <nc r="H622"/>
  </rcc>
  <rcc rId="138" sId="1">
    <oc r="I622">
      <v>1.87</v>
    </oc>
    <nc r="I622"/>
  </rcc>
  <rcc rId="139" sId="1">
    <oc r="J622">
      <v>28</v>
    </oc>
    <nc r="J622">
      <v>32</v>
    </nc>
  </rcc>
  <rcc rId="140" sId="1">
    <oc r="L622">
      <v>46208.958333333336</v>
    </oc>
    <nc r="L622"/>
  </rcc>
  <rcc rId="141" sId="1">
    <oc r="M622">
      <v>46209.034722222219</v>
    </oc>
    <nc r="M622"/>
  </rcc>
  <rcc rId="142" sId="1">
    <oc r="AA622" t="inlineStr">
      <is>
        <t>1</t>
      </is>
    </oc>
    <nc r="AA622"/>
  </rcc>
  <rcc rId="143" sId="1">
    <oc r="AB622" t="inlineStr">
      <is>
        <t>0</t>
      </is>
    </oc>
    <nc r="AB622"/>
  </rcc>
  <rcc rId="144" sId="1">
    <oc r="C623">
      <v>0</v>
    </oc>
    <nc r="C623">
      <v>1</v>
    </nc>
  </rcc>
  <rcc rId="145" sId="1">
    <oc r="E623" t="inlineStr">
      <is>
        <t>W1027864/1</t>
      </is>
    </oc>
    <nc r="E623" t="inlineStr">
      <is>
        <t>W1027863/FG</t>
      </is>
    </nc>
  </rcc>
  <rcc rId="146" sId="1">
    <oc r="F623" t="inlineStr">
      <is>
        <t>VER3/0130-1071BS</t>
      </is>
    </oc>
    <nc r="F623" t="inlineStr">
      <is>
        <t>VER1/0143-0003</t>
      </is>
    </nc>
  </rcc>
  <rcc rId="147" sId="1">
    <oc r="G623" t="inlineStr">
      <is>
        <t>Titanium Lopro T4 Belt Sanded</t>
      </is>
    </oc>
    <nc r="G623" t="inlineStr">
      <is>
        <t>Titanium Lopro T4 Shell</t>
      </is>
    </nc>
  </rcc>
  <rcc rId="148" sId="1">
    <oc r="H623">
      <v>0</v>
    </oc>
    <nc r="H623"/>
  </rcc>
  <rcc rId="149" sId="1">
    <oc r="I623">
      <v>3.2</v>
    </oc>
    <nc r="I623"/>
  </rcc>
  <rcc rId="150" sId="1">
    <oc r="J623">
      <v>60</v>
    </oc>
    <nc r="J623">
      <v>28</v>
    </nc>
  </rcc>
  <rcc rId="151" sId="1">
    <oc r="K623">
      <v>12</v>
    </oc>
    <nc r="K623">
      <v>0</v>
    </nc>
  </rcc>
  <rcc rId="152" sId="1">
    <oc r="L623">
      <v>46208.958333333336</v>
    </oc>
    <nc r="L623"/>
  </rcc>
  <rcc rId="153" sId="1">
    <oc r="M623">
      <v>46209.090277777781</v>
    </oc>
    <nc r="M623"/>
  </rcc>
  <rcc rId="154" sId="1">
    <oc r="AA623" t="inlineStr">
      <is>
        <t>1</t>
      </is>
    </oc>
    <nc r="AA623"/>
  </rcc>
  <rcc rId="155" sId="1">
    <oc r="AB623" t="inlineStr">
      <is>
        <t>0</t>
      </is>
    </oc>
    <nc r="AB623"/>
  </rcc>
  <rcc rId="156" sId="1">
    <oc r="C624">
      <v>0</v>
    </oc>
    <nc r="C624">
      <v>1</v>
    </nc>
  </rcc>
  <rcc rId="157" sId="1">
    <oc r="E624" t="inlineStr">
      <is>
        <t>W1027861/FG</t>
      </is>
    </oc>
    <nc r="E624" t="inlineStr">
      <is>
        <t>W1027864/FG</t>
      </is>
    </nc>
  </rcc>
  <rcc rId="158" sId="1">
    <oc r="F624" t="inlineStr">
      <is>
        <t>VER1/0143-0002</t>
      </is>
    </oc>
    <nc r="F624" t="inlineStr">
      <is>
        <t>VER1/0143-0003</t>
      </is>
    </nc>
  </rcc>
  <rcc rId="159" sId="1">
    <oc r="G624" t="inlineStr">
      <is>
        <t>Titanium LoPro T3 Shell</t>
      </is>
    </oc>
    <nc r="G624" t="inlineStr">
      <is>
        <t>Titanium Lopro T4 Shell</t>
      </is>
    </nc>
  </rcc>
  <rcc rId="160" sId="1">
    <oc r="H624">
      <v>0</v>
    </oc>
    <nc r="H624"/>
  </rcc>
  <rcc rId="161" sId="1">
    <oc r="I624">
      <v>2</v>
    </oc>
    <nc r="I624"/>
  </rcc>
  <rcc rId="162" sId="1">
    <oc r="L624">
      <v>46209</v>
    </oc>
    <nc r="L624"/>
  </rcc>
  <rcc rId="163" sId="1">
    <oc r="M624">
      <v>46209.076388888891</v>
    </oc>
    <nc r="M624"/>
  </rcc>
  <rcc rId="164" sId="1">
    <oc r="AA624" t="inlineStr">
      <is>
        <t>FG</t>
      </is>
    </oc>
    <nc r="AA624"/>
  </rcc>
  <rcc rId="165" sId="1">
    <oc r="AB624" t="inlineStr">
      <is>
        <t>0</t>
      </is>
    </oc>
    <nc r="AB624"/>
  </rcc>
  <rcc rId="166" sId="1">
    <oc r="C625">
      <v>0</v>
    </oc>
    <nc r="C625">
      <v>1</v>
    </nc>
  </rcc>
  <rcc rId="167" sId="1">
    <oc r="E625" t="inlineStr">
      <is>
        <t>W1027865/1</t>
      </is>
    </oc>
    <nc r="E625" t="inlineStr">
      <is>
        <t>W1029257/FG</t>
      </is>
    </nc>
  </rcc>
  <rcc rId="168" sId="1">
    <oc r="F625" t="inlineStr">
      <is>
        <t>VER3/0130-1071BS</t>
      </is>
    </oc>
    <nc r="F625" t="inlineStr">
      <is>
        <t>VER1/0143-0001</t>
      </is>
    </nc>
  </rcc>
  <rcc rId="169" sId="1">
    <oc r="G625" t="inlineStr">
      <is>
        <t>Titanium Lopro T4 Belt Sanded</t>
      </is>
    </oc>
    <nc r="G625" t="inlineStr">
      <is>
        <t>Titanium Lopro T2 Shell</t>
      </is>
    </nc>
  </rcc>
  <rcc rId="170" sId="1">
    <oc r="H625">
      <v>0</v>
    </oc>
    <nc r="H625"/>
  </rcc>
  <rcc rId="171" sId="1">
    <oc r="I625">
      <v>3.2</v>
    </oc>
    <nc r="I625"/>
  </rcc>
  <rcc rId="172" sId="1">
    <oc r="L625">
      <v>46209</v>
    </oc>
    <nc r="L625"/>
  </rcc>
  <rcc rId="173" sId="1">
    <oc r="M625">
      <v>46209.131944444445</v>
    </oc>
    <nc r="M625"/>
  </rcc>
  <rcc rId="174" sId="1">
    <oc r="AA625" t="inlineStr">
      <is>
        <t>1</t>
      </is>
    </oc>
    <nc r="AA625"/>
  </rcc>
  <rcc rId="175" sId="1">
    <oc r="AB625" t="inlineStr">
      <is>
        <t>0</t>
      </is>
    </oc>
    <nc r="AB625"/>
  </rcc>
  <rcc rId="176" sId="1">
    <oc r="C626">
      <v>0</v>
    </oc>
    <nc r="C626">
      <v>1</v>
    </nc>
  </rcc>
  <rcc rId="177" sId="1">
    <oc r="E626" t="inlineStr">
      <is>
        <t>W1027862/FG</t>
      </is>
    </oc>
    <nc r="E626" t="inlineStr">
      <is>
        <t>W1027865/FG</t>
      </is>
    </nc>
  </rcc>
  <rcc rId="178" sId="1">
    <oc r="F626" t="inlineStr">
      <is>
        <t>VER1/0143-0002</t>
      </is>
    </oc>
    <nc r="F626" t="inlineStr">
      <is>
        <t>VER1/0143-0003</t>
      </is>
    </nc>
  </rcc>
  <rcc rId="179" sId="1">
    <oc r="G626" t="inlineStr">
      <is>
        <t>Titanium LoPro T3 Shell</t>
      </is>
    </oc>
    <nc r="G626" t="inlineStr">
      <is>
        <t>Titanium Lopro T4 Shell</t>
      </is>
    </nc>
  </rcc>
  <rcc rId="180" sId="1">
    <oc r="H626">
      <v>0</v>
    </oc>
    <nc r="H626"/>
  </rcc>
  <rcc rId="181" sId="1">
    <oc r="I626">
      <v>1.07</v>
    </oc>
    <nc r="I626"/>
  </rcc>
  <rcc rId="182" sId="1">
    <oc r="J626">
      <v>32</v>
    </oc>
    <nc r="J626">
      <v>48</v>
    </nc>
  </rcc>
  <rcc rId="183" sId="1">
    <oc r="L626">
      <v>46216</v>
    </oc>
    <nc r="L626"/>
  </rcc>
  <rcc rId="184" sId="1">
    <oc r="M626">
      <v>46216.041666666664</v>
    </oc>
    <nc r="M626"/>
  </rcc>
  <rcc rId="185" sId="1">
    <oc r="AA626" t="inlineStr">
      <is>
        <t>FG</t>
      </is>
    </oc>
    <nc r="AA626"/>
  </rcc>
  <rcc rId="186" sId="1">
    <oc r="AB626" t="inlineStr">
      <is>
        <t>0</t>
      </is>
    </oc>
    <nc r="AB626"/>
  </rcc>
  <rcc rId="187" sId="1">
    <oc r="C627">
      <v>0</v>
    </oc>
    <nc r="C627">
      <v>1</v>
    </nc>
  </rcc>
  <rcc rId="188" sId="1">
    <oc r="E627" t="inlineStr">
      <is>
        <t>W1027864/FG</t>
      </is>
    </oc>
    <nc r="E627" t="inlineStr">
      <is>
        <t>W1028937/FG</t>
      </is>
    </nc>
  </rcc>
  <rcc rId="189" sId="1">
    <oc r="F627" t="inlineStr">
      <is>
        <t>VER1/0143-0003</t>
      </is>
    </oc>
    <nc r="F627" t="inlineStr">
      <is>
        <t>VER1/0143-0002</t>
      </is>
    </nc>
  </rcc>
  <rcc rId="190" sId="1">
    <oc r="G627" t="inlineStr">
      <is>
        <t>Titanium LoPro T4 Shell</t>
      </is>
    </oc>
    <nc r="G627" t="inlineStr">
      <is>
        <t>Titanium Lopro T3 Shell</t>
      </is>
    </nc>
  </rcc>
  <rcc rId="191" sId="1">
    <oc r="H627">
      <v>0</v>
    </oc>
    <nc r="H627"/>
  </rcc>
  <rcc rId="192" sId="1">
    <oc r="I627">
      <v>2</v>
    </oc>
    <nc r="I627"/>
  </rcc>
  <rcc rId="193" sId="1">
    <oc r="J627">
      <v>60</v>
    </oc>
    <nc r="J627">
      <v>48</v>
    </nc>
  </rcc>
  <rcc rId="194" sId="1">
    <oc r="L627">
      <v>46216</v>
    </oc>
    <nc r="L627"/>
  </rcc>
  <rcc rId="195" sId="1">
    <oc r="M627">
      <v>46216.076388888891</v>
    </oc>
    <nc r="M627"/>
  </rcc>
  <rcc rId="196" sId="1">
    <oc r="AA627" t="inlineStr">
      <is>
        <t>FG</t>
      </is>
    </oc>
    <nc r="AA627"/>
  </rcc>
  <rcc rId="197" sId="1">
    <oc r="AB627" t="inlineStr">
      <is>
        <t>0</t>
      </is>
    </oc>
    <nc r="AB627"/>
  </rcc>
  <rrc rId="198" sId="1" ref="A628:XFD628" action="deleteRow">
    <rfmt sheetId="1" xfDxf="1" sqref="A628:XFD628" start="0" length="0"/>
    <rfmt sheetId="1" sqref="L628" start="0" length="0">
      <dxf>
        <numFmt numFmtId="164" formatCode="mm\-dd\-yyyy"/>
      </dxf>
    </rfmt>
    <rfmt sheetId="1" sqref="M628" start="0" length="0">
      <dxf>
        <numFmt numFmtId="164" formatCode="mm\-dd\-yyyy"/>
      </dxf>
    </rfmt>
  </rrc>
  <rrc rId="199" sId="1" ref="A628:XFD628" action="deleteRow">
    <rfmt sheetId="1" xfDxf="1" sqref="A628:XFD628" start="0" length="0"/>
    <rfmt sheetId="1" sqref="L628" start="0" length="0">
      <dxf>
        <numFmt numFmtId="164" formatCode="mm\-dd\-yyyy"/>
      </dxf>
    </rfmt>
    <rfmt sheetId="1" sqref="M628" start="0" length="0">
      <dxf>
        <numFmt numFmtId="164" formatCode="mm\-dd\-yyyy"/>
      </dxf>
    </rfmt>
  </rrc>
  <rrc rId="200" sId="1" ref="A628:XFD628" action="deleteRow">
    <rfmt sheetId="1" xfDxf="1" sqref="A628:XFD628" start="0" length="0"/>
    <rfmt sheetId="1" sqref="L628" start="0" length="0">
      <dxf>
        <numFmt numFmtId="164" formatCode="mm\-dd\-yyyy"/>
      </dxf>
    </rfmt>
    <rfmt sheetId="1" sqref="M628" start="0" length="0">
      <dxf>
        <numFmt numFmtId="164" formatCode="mm\-dd\-yyyy"/>
      </dxf>
    </rfmt>
  </rrc>
  <rrc rId="201" sId="1" ref="A628:XFD628" action="deleteRow">
    <rfmt sheetId="1" xfDxf="1" sqref="A628:XFD628" start="0" length="0">
      <dxf>
        <border outline="0">
          <bottom style="medium">
            <color indexed="64"/>
          </bottom>
        </border>
      </dxf>
    </rfmt>
    <rfmt sheetId="1" sqref="L628" start="0" length="0">
      <dxf>
        <numFmt numFmtId="164" formatCode="mm\-dd\-yyyy"/>
      </dxf>
    </rfmt>
    <rfmt sheetId="1" sqref="M628" start="0" length="0">
      <dxf>
        <numFmt numFmtId="164" formatCode="mm\-dd\-yyyy"/>
      </dxf>
    </rfmt>
  </rrc>
  <rfmt sheetId="1" sqref="A627:XFD627" start="0" length="0">
    <dxf>
      <border>
        <bottom style="medium">
          <color indexed="64"/>
        </bottom>
      </border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02" sId="1" ref="A742:XFD742" action="deleteRow">
    <rfmt sheetId="1" xfDxf="1" sqref="A742:XFD742" start="0" length="0">
      <dxf/>
    </rfmt>
    <rcc rId="0" sId="1">
      <nc r="A742" t="inlineStr">
        <is>
          <t>Zone 4</t>
        </is>
      </nc>
    </rcc>
    <rcc rId="0" sId="1">
      <nc r="B742">
        <v>34</v>
      </nc>
    </rcc>
    <rcc rId="0" sId="1">
      <nc r="C742">
        <v>3</v>
      </nc>
    </rcc>
    <rcc rId="0" sId="1">
      <nc r="D742" t="inlineStr">
        <is>
          <t>25-030</t>
        </is>
      </nc>
    </rcc>
    <rcc rId="0" sId="1">
      <nc r="E742" t="inlineStr">
        <is>
          <t>W1026993/1</t>
        </is>
      </nc>
    </rcc>
    <rcc rId="0" sId="1">
      <nc r="F742" t="inlineStr">
        <is>
          <t>VER1/0143-0007</t>
        </is>
      </nc>
    </rcc>
    <rcc rId="0" sId="1">
      <nc r="G742" t="inlineStr">
        <is>
          <t>Left Handle Shell, BFlex 2</t>
        </is>
      </nc>
    </rcc>
    <rcc rId="0" sId="1">
      <nc r="H742">
        <v>188.58</v>
      </nc>
    </rcc>
    <rcc rId="0" sId="1">
      <nc r="I742">
        <v>42.29</v>
      </nc>
    </rcc>
    <rcc rId="0" sId="1">
      <nc r="J742">
        <v>11000</v>
      </nc>
    </rcc>
    <rcc rId="0" sId="1">
      <nc r="K742">
        <v>3600</v>
      </nc>
    </rcc>
    <rcc rId="0" sId="1" dxf="1" numFmtId="19">
      <nc r="L742">
        <v>46209.958333333336</v>
      </nc>
      <ndxf>
        <numFmt numFmtId="164" formatCode="mm\-dd\-yyyy"/>
      </ndxf>
    </rcc>
    <rcc rId="0" sId="1" dxf="1" numFmtId="19">
      <nc r="M742">
        <v>46211.715277777781</v>
      </nc>
      <ndxf>
        <numFmt numFmtId="164" formatCode="mm\-dd\-yyyy"/>
      </ndxf>
    </rcc>
    <rcc rId="0" sId="1">
      <nc r="O742" t="inlineStr">
        <is>
          <t>P</t>
        </is>
      </nc>
    </rcc>
    <rcc rId="0" sId="1">
      <nc r="AA742" t="inlineStr">
        <is>
          <t>1</t>
        </is>
      </nc>
    </rcc>
    <rcc rId="0" sId="1">
      <nc r="AB742" t="inlineStr">
        <is>
          <t>0</t>
        </is>
      </nc>
    </rcc>
  </rrc>
  <rfmt sheetId="1" sqref="A742:XFD742">
    <dxf>
      <fill>
        <patternFill>
          <bgColor theme="8" tint="0.39997558519241921"/>
        </patternFill>
      </fill>
    </dxf>
  </rfmt>
  <rfmt sheetId="1" sqref="A747:XFD747">
    <dxf>
      <fill>
        <patternFill>
          <bgColor theme="8" tint="0.39997558519241921"/>
        </patternFill>
      </fill>
    </dxf>
  </rfmt>
  <rfmt sheetId="1" sqref="A760:XFD760" start="0" length="0">
    <dxf>
      <border>
        <bottom style="thin">
          <color indexed="64"/>
        </bottom>
      </border>
    </dxf>
  </rfmt>
  <rfmt sheetId="1" sqref="A751:XFD751" start="0" length="0">
    <dxf>
      <border>
        <bottom style="thin">
          <color indexed="64"/>
        </bottom>
      </border>
    </dxf>
  </rfmt>
  <rfmt sheetId="1" sqref="A748:XFD748" start="0" length="0">
    <dxf>
      <border>
        <bottom style="thin">
          <color indexed="64"/>
        </bottom>
      </border>
    </dxf>
  </rfmt>
  <rfmt sheetId="1" sqref="A749:XFD749" start="0" length="0">
    <dxf>
      <border>
        <bottom style="thin">
          <color indexed="64"/>
        </bottom>
      </border>
    </dxf>
  </rfmt>
  <rfmt sheetId="1" sqref="A767:XFD767" start="0" length="0">
    <dxf>
      <border>
        <bottom style="thin">
          <color indexed="64"/>
        </bottom>
      </border>
    </dxf>
  </rfmt>
  <rfmt sheetId="1" sqref="A770:XFD770">
    <dxf>
      <fill>
        <patternFill>
          <bgColor rgb="FFFF0000"/>
        </patternFill>
      </fill>
    </dxf>
  </rfmt>
  <rfmt sheetId="1" sqref="A781:XFD781" start="0" length="0">
    <dxf>
      <border>
        <bottom style="thin">
          <color indexed="64"/>
        </bottom>
      </border>
    </dxf>
  </rfmt>
  <rfmt sheetId="1" sqref="A786:XFD786" start="0" length="0">
    <dxf>
      <border>
        <bottom style="thin">
          <color indexed="64"/>
        </bottom>
      </border>
    </dxf>
  </rfmt>
  <rrc rId="203" sId="1" ref="A782:XFD782" action="deleteRow">
    <rfmt sheetId="1" xfDxf="1" sqref="A782:XFD782" start="0" length="0">
      <dxf/>
    </rfmt>
    <rcc rId="0" sId="1">
      <nc r="A782" t="inlineStr">
        <is>
          <t>Zone 4</t>
        </is>
      </nc>
    </rcc>
    <rcc rId="0" sId="1">
      <nc r="B782">
        <v>45</v>
      </nc>
    </rcc>
    <rcc rId="0" sId="1">
      <nc r="C782">
        <v>0.5</v>
      </nc>
    </rcc>
    <rcc rId="0" sId="1">
      <nc r="D782" t="inlineStr">
        <is>
          <t>23-065</t>
        </is>
      </nc>
    </rcc>
    <rcc rId="0" sId="1" dxf="1">
      <nc r="E782" t="inlineStr">
        <is>
          <t>W1021520/1</t>
        </is>
      </nc>
      <ndxf>
        <fill>
          <patternFill patternType="solid">
            <bgColor rgb="FFFFFF00"/>
          </patternFill>
        </fill>
      </ndxf>
    </rcc>
    <rcc rId="0" sId="1">
      <nc r="F782" t="inlineStr">
        <is>
          <t>VER3/0122-1196</t>
        </is>
      </nc>
    </rcc>
    <rcc rId="0" sId="1">
      <nc r="G782" t="inlineStr">
        <is>
          <t>Clearfit HA S4 - overmold WIP</t>
        </is>
      </nc>
    </rcc>
    <rcc rId="0" sId="1">
      <nc r="H782">
        <v>35</v>
      </nc>
    </rcc>
    <rcc rId="0" sId="1">
      <nc r="I782">
        <v>69</v>
      </nc>
    </rcc>
    <rcc rId="0" sId="1">
      <nc r="J782">
        <v>14000</v>
      </nc>
    </rcc>
    <rcc rId="0" sId="1">
      <nc r="K782">
        <v>200</v>
      </nc>
    </rcc>
    <rcc rId="0" sId="1" dxf="1" numFmtId="19">
      <nc r="L782">
        <v>46209.201388888891</v>
      </nc>
      <ndxf>
        <numFmt numFmtId="164" formatCode="mm\-dd\-yyyy"/>
      </ndxf>
    </rcc>
    <rcc rId="0" sId="1" dxf="1" numFmtId="19">
      <nc r="M782">
        <v>46212.069444444445</v>
      </nc>
      <ndxf>
        <numFmt numFmtId="164" formatCode="mm\-dd\-yyyy"/>
      </ndxf>
    </rcc>
    <rcc rId="0" sId="1">
      <nc r="AA782" t="inlineStr">
        <is>
          <t>1</t>
        </is>
      </nc>
    </rcc>
    <rcc rId="0" sId="1">
      <nc r="AB782" t="inlineStr">
        <is>
          <t>0</t>
        </is>
      </nc>
    </rcc>
  </rrc>
  <rrc rId="204" sId="1" ref="A776:XFD776" action="deleteRow">
    <rfmt sheetId="1" xfDxf="1" sqref="A776:XFD776" start="0" length="0">
      <dxf/>
    </rfmt>
    <rcc rId="0" sId="1">
      <nc r="A776" t="inlineStr">
        <is>
          <t>Zone 4</t>
        </is>
      </nc>
    </rcc>
    <rcc rId="0" sId="1">
      <nc r="B776">
        <v>43</v>
      </nc>
    </rcc>
    <rcc rId="0" sId="1">
      <nc r="C776">
        <v>0.5</v>
      </nc>
    </rcc>
    <rcc rId="0" sId="1">
      <nc r="D776" t="inlineStr">
        <is>
          <t>23-064</t>
        </is>
      </nc>
    </rcc>
    <rcc rId="0" sId="1" dxf="1">
      <nc r="E776" t="inlineStr">
        <is>
          <t>W1021520-1/1</t>
        </is>
      </nc>
      <ndxf>
        <fill>
          <patternFill patternType="solid">
            <bgColor rgb="FFFFFF00"/>
          </patternFill>
        </fill>
      </ndxf>
    </rcc>
    <rcc rId="0" sId="1">
      <nc r="F776" t="inlineStr">
        <is>
          <t>VER3/0122-1196</t>
        </is>
      </nc>
    </rcc>
    <rcc rId="0" sId="1">
      <nc r="G776" t="inlineStr">
        <is>
          <t>Clearfit HA S4 - overmold WIP</t>
        </is>
      </nc>
    </rcc>
    <rcc rId="0" sId="1">
      <nc r="H776">
        <v>37.840000000000003</v>
      </nc>
    </rcc>
    <rcc rId="0" sId="1">
      <nc r="I776">
        <v>74.599999999999994</v>
      </nc>
    </rcc>
    <rcc rId="0" sId="1">
      <nc r="J776">
        <v>14000</v>
      </nc>
    </rcc>
    <rcc rId="0" sId="1">
      <nc r="K776">
        <v>200</v>
      </nc>
    </rcc>
    <rcc rId="0" sId="1" dxf="1" numFmtId="19">
      <nc r="L776">
        <v>46208.958333333336</v>
      </nc>
      <ndxf>
        <numFmt numFmtId="164" formatCode="mm\-dd\-yyyy"/>
      </ndxf>
    </rcc>
    <rcc rId="0" sId="1" dxf="1" numFmtId="19">
      <nc r="M776">
        <v>46212.0625</v>
      </nc>
      <ndxf>
        <numFmt numFmtId="164" formatCode="mm\-dd\-yyyy"/>
      </ndxf>
    </rcc>
    <rcc rId="0" sId="1">
      <nc r="AA776" t="inlineStr">
        <is>
          <t>1</t>
        </is>
      </nc>
    </rcc>
    <rcc rId="0" sId="1">
      <nc r="AB776" t="inlineStr">
        <is>
          <t>1</t>
        </is>
      </nc>
    </rcc>
  </rrc>
  <rfmt sheetId="1" sqref="A776:XFD776 A781:XFD781">
    <dxf>
      <fill>
        <patternFill>
          <bgColor theme="8" tint="0.39997558519241921"/>
        </patternFill>
      </fill>
    </dxf>
  </rfmt>
  <rfmt sheetId="1" sqref="A752:XFD752">
    <dxf>
      <fill>
        <patternFill patternType="solid">
          <bgColor theme="8" tint="0.39997558519241921"/>
        </patternFill>
      </fill>
    </dxf>
  </rfmt>
  <rfmt sheetId="1" sqref="A753:XFD753" start="0" length="0">
    <dxf>
      <border>
        <bottom style="thin">
          <color indexed="64"/>
        </bottom>
      </border>
    </dxf>
  </rfmt>
  <rfmt sheetId="1" sqref="A791:XFD791" start="0" length="0">
    <dxf>
      <border>
        <bottom style="thin">
          <color indexed="64"/>
        </bottom>
      </border>
    </dxf>
  </rfmt>
  <rfmt sheetId="1" sqref="A796:XFD796" start="0" length="0">
    <dxf>
      <border>
        <bottom style="thin">
          <color indexed="64"/>
        </bottom>
      </border>
    </dxf>
  </rfmt>
  <rfmt sheetId="1" sqref="A785:XFD785 A792:XFD792">
    <dxf>
      <fill>
        <patternFill patternType="solid">
          <bgColor theme="8" tint="0.39997558519241921"/>
        </patternFill>
      </fill>
    </dxf>
  </rfmt>
  <rfmt sheetId="1" sqref="A785:XFD785">
    <dxf>
      <fill>
        <patternFill patternType="none">
          <bgColor auto="1"/>
        </patternFill>
      </fill>
    </dxf>
  </rfmt>
  <rrc rId="205" sId="1" ref="A785:XFD785" action="insertRow"/>
  <rrc rId="206" sId="1" ref="A785:XFD785" action="insertRow"/>
  <rrc rId="207" sId="1" ref="A785:XFD785" action="insertRow"/>
  <rcc rId="208" sId="1">
    <nc r="A785" t="inlineStr">
      <is>
        <t>Zone 4</t>
      </is>
    </nc>
  </rcc>
  <rcc rId="209" sId="1">
    <nc r="C785">
      <v>0.33</v>
    </nc>
  </rcc>
  <rcc rId="210" sId="1">
    <nc r="D785" t="inlineStr">
      <is>
        <t>01-0210</t>
      </is>
    </nc>
  </rcc>
  <rcc rId="211" sId="1">
    <nc r="F785" t="inlineStr">
      <is>
        <t>BAX1/220102038</t>
      </is>
    </nc>
  </rcc>
  <rcc rId="212" sId="1">
    <nc r="G785" t="inlineStr">
      <is>
        <t>Recon insert</t>
      </is>
    </nc>
  </rcc>
  <rcc rId="213" sId="1">
    <nc r="H785">
      <v>20.625</v>
    </nc>
  </rcc>
  <rcc rId="214" sId="1">
    <nc r="I785">
      <v>62.5</v>
    </nc>
  </rcc>
  <rcc rId="215" sId="1">
    <nc r="J785">
      <v>100000</v>
    </nc>
  </rcc>
  <rcc rId="216" sId="1">
    <nc r="K785">
      <v>0</v>
    </nc>
  </rcc>
  <rcc rId="217" sId="1" numFmtId="19">
    <nc r="L785">
      <v>46213.263888888891</v>
    </nc>
  </rcc>
  <rcc rId="218" sId="1" numFmtId="19">
    <nc r="M785">
      <v>46218.194444444445</v>
    </nc>
  </rcc>
  <rcc rId="219" sId="1">
    <nc r="AA785" t="inlineStr">
      <is>
        <t>1</t>
      </is>
    </nc>
  </rcc>
  <rcc rId="220" sId="1">
    <nc r="AB785" t="inlineStr">
      <is>
        <t>0</t>
      </is>
    </nc>
  </rcc>
  <rcc rId="221" sId="1">
    <nc r="A786" t="inlineStr">
      <is>
        <t>Zone 4</t>
      </is>
    </nc>
  </rcc>
  <rcc rId="222" sId="1">
    <nc r="C786">
      <v>0.33</v>
    </nc>
  </rcc>
  <rcc rId="223" sId="1">
    <nc r="D786" t="inlineStr">
      <is>
        <t>01-0210</t>
      </is>
    </nc>
  </rcc>
  <rcc rId="224" sId="1">
    <nc r="F786" t="inlineStr">
      <is>
        <t>BAX1/220102038</t>
      </is>
    </nc>
  </rcc>
  <rcc rId="225" sId="1">
    <nc r="G786" t="inlineStr">
      <is>
        <t>Recon insert</t>
      </is>
    </nc>
  </rcc>
  <rcc rId="226" sId="1">
    <nc r="H786">
      <v>20.625</v>
    </nc>
  </rcc>
  <rcc rId="227" sId="1">
    <nc r="I786">
      <v>62.5</v>
    </nc>
  </rcc>
  <rcc rId="228" sId="1">
    <nc r="J786">
      <v>100000</v>
    </nc>
  </rcc>
  <rcc rId="229" sId="1">
    <nc r="K786">
      <v>0</v>
    </nc>
  </rcc>
  <rcc rId="230" sId="1" numFmtId="19">
    <nc r="L786">
      <v>46218.201388888891</v>
    </nc>
  </rcc>
  <rcc rId="231" sId="1" numFmtId="19">
    <nc r="M786">
      <v>46223.131944444445</v>
    </nc>
  </rcc>
  <rcc rId="232" sId="1">
    <nc r="O786" t="inlineStr">
      <is>
        <t>P</t>
      </is>
    </nc>
  </rcc>
  <rcc rId="233" sId="1">
    <nc r="AA786" t="inlineStr">
      <is>
        <t>1</t>
      </is>
    </nc>
  </rcc>
  <rcc rId="234" sId="1">
    <nc r="AB786" t="inlineStr">
      <is>
        <t>0</t>
      </is>
    </nc>
  </rcc>
  <rcc rId="235" sId="1">
    <nc r="A787" t="inlineStr">
      <is>
        <t>Zone 4</t>
      </is>
    </nc>
  </rcc>
  <rcc rId="236" sId="1">
    <nc r="C787">
      <v>0.33</v>
    </nc>
  </rcc>
  <rcc rId="237" sId="1">
    <nc r="D787" t="inlineStr">
      <is>
        <t>01-0210</t>
      </is>
    </nc>
  </rcc>
  <rcc rId="238" sId="1">
    <nc r="F787" t="inlineStr">
      <is>
        <t>BAX1/220102038</t>
      </is>
    </nc>
  </rcc>
  <rcc rId="239" sId="1">
    <nc r="G787" t="inlineStr">
      <is>
        <t>Recon insert</t>
      </is>
    </nc>
  </rcc>
  <rcc rId="240" sId="1">
    <nc r="H787">
      <v>20.625</v>
    </nc>
  </rcc>
  <rcc rId="241" sId="1">
    <nc r="I787">
      <v>62.5</v>
    </nc>
  </rcc>
  <rcc rId="242" sId="1">
    <nc r="J787">
      <v>100000</v>
    </nc>
  </rcc>
  <rcc rId="243" sId="1">
    <nc r="K787">
      <v>0</v>
    </nc>
  </rcc>
  <rcc rId="244" sId="1" numFmtId="19">
    <nc r="L787">
      <v>46223.138888888891</v>
    </nc>
  </rcc>
  <rcc rId="245" sId="1" numFmtId="19">
    <nc r="M787">
      <v>46226.069444444445</v>
    </nc>
  </rcc>
  <rcc rId="246" sId="1">
    <nc r="AA787" t="inlineStr">
      <is>
        <t>1</t>
      </is>
    </nc>
  </rcc>
  <rcc rId="247" sId="1">
    <nc r="AB787" t="inlineStr">
      <is>
        <t>0</t>
      </is>
    </nc>
  </rcc>
  <rcc rId="248" sId="1">
    <nc r="E785" t="inlineStr">
      <is>
        <t>W1029644/1</t>
      </is>
    </nc>
  </rcc>
  <rfmt sheetId="1" sqref="E785">
    <dxf>
      <border diagonalUp="0" diagonalDown="0" outline="0">
        <left/>
        <right/>
        <top/>
        <bottom/>
      </border>
    </dxf>
  </rfmt>
  <rcc rId="249" sId="1">
    <nc r="E786" t="inlineStr">
      <is>
        <t>W1029646/1</t>
      </is>
    </nc>
  </rcc>
  <rfmt sheetId="1" sqref="E786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250" sId="1">
    <nc r="E787" t="inlineStr">
      <is>
        <t>W1029347/1</t>
      </is>
    </nc>
  </rcc>
  <rfmt sheetId="1" sqref="E787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251" sId="1">
    <nc r="B787">
      <v>46</v>
    </nc>
  </rcc>
  <rcc rId="252" sId="1">
    <nc r="B786">
      <v>46</v>
    </nc>
  </rcc>
  <rcc rId="253" sId="1">
    <nc r="B785">
      <v>46</v>
    </nc>
  </rcc>
  <rcv guid="{A9066737-D214-4998-B3AE-C1B60D50E4FC}" action="delete"/>
  <rcv guid="{A9066737-D214-4998-B3AE-C1B60D50E4FC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317:XFD317" start="0" length="0">
    <dxf>
      <border>
        <bottom style="thin">
          <color indexed="64"/>
        </bottom>
      </border>
    </dxf>
  </rfmt>
  <rfmt sheetId="1" sqref="A324:XFD324" start="0" length="0">
    <dxf>
      <border>
        <bottom style="thin">
          <color indexed="64"/>
        </bottom>
      </border>
    </dxf>
  </rfmt>
  <rrc rId="254" sId="1" ref="A330:XFD330" action="deleteRow">
    <rfmt sheetId="1" xfDxf="1" sqref="A330:XFD330" start="0" length="0"/>
    <rcc rId="0" sId="1">
      <nc r="A330" t="inlineStr">
        <is>
          <t>Zone 2</t>
        </is>
      </nc>
    </rcc>
    <rcc rId="0" sId="1">
      <nc r="B330" t="inlineStr">
        <is>
          <t>Face Shield</t>
        </is>
      </nc>
    </rcc>
    <rcc rId="0" sId="1">
      <nc r="C330">
        <v>5</v>
      </nc>
    </rcc>
    <rcc rId="0" sId="1">
      <nc r="E330" t="inlineStr">
        <is>
          <t>W1023235/1</t>
        </is>
      </nc>
    </rcc>
    <rcc rId="0" sId="1">
      <nc r="F330" t="inlineStr">
        <is>
          <t>SMI1/SMI3611</t>
        </is>
      </nc>
    </rcc>
    <rcc rId="0" sId="1">
      <nc r="G330" t="inlineStr">
        <is>
          <t>9.5" Foam Face Shield 40/box</t>
        </is>
      </nc>
    </rcc>
    <rcc rId="0" sId="1">
      <nc r="H330">
        <v>166.65</v>
      </nc>
    </rcc>
    <rcc rId="0" sId="1">
      <nc r="I330">
        <v>33.33</v>
      </nc>
    </rcc>
    <rcc rId="0" sId="1">
      <nc r="J330">
        <v>200</v>
      </nc>
    </rcc>
    <rcc rId="0" sId="1">
      <nc r="K330">
        <v>0</v>
      </nc>
    </rcc>
    <rcc rId="0" sId="1" dxf="1" numFmtId="19">
      <nc r="L330">
        <v>46227.25</v>
      </nc>
      <ndxf>
        <numFmt numFmtId="164" formatCode="mm\-dd\-yyyy"/>
      </ndxf>
    </rcc>
    <rcc rId="0" sId="1" dxf="1" numFmtId="19">
      <nc r="M330">
        <v>46232.979166666664</v>
      </nc>
      <ndxf>
        <numFmt numFmtId="164" formatCode="mm\-dd\-yyyy"/>
      </ndxf>
    </rcc>
    <rcc rId="0" sId="1">
      <nc r="AA330" t="inlineStr">
        <is>
          <t>1</t>
        </is>
      </nc>
    </rcc>
    <rcc rId="0" sId="1">
      <nc r="AB330" t="inlineStr">
        <is>
          <t>0</t>
        </is>
      </nc>
    </rcc>
  </rrc>
  <rrc rId="255" sId="1" ref="A328:XFD328" action="deleteRow">
    <rfmt sheetId="1" xfDxf="1" sqref="A328:XFD328" start="0" length="0"/>
    <rcc rId="0" sId="1">
      <nc r="A328" t="inlineStr">
        <is>
          <t>Zone 2</t>
        </is>
      </nc>
    </rcc>
    <rcc rId="0" sId="1">
      <nc r="B328" t="inlineStr">
        <is>
          <t>Face Shield</t>
        </is>
      </nc>
    </rcc>
    <rcc rId="0" sId="1">
      <nc r="C328">
        <v>5</v>
      </nc>
    </rcc>
    <rcc rId="0" sId="1">
      <nc r="E328" t="inlineStr">
        <is>
          <t>W1023234/1</t>
        </is>
      </nc>
    </rcc>
    <rcc rId="0" sId="1">
      <nc r="F328" t="inlineStr">
        <is>
          <t>SMI1/SMI3611</t>
        </is>
      </nc>
    </rcc>
    <rcc rId="0" sId="1">
      <nc r="G328" t="inlineStr">
        <is>
          <t>9.5" Foam Face Shield 40/box</t>
        </is>
      </nc>
    </rcc>
    <rcc rId="0" sId="1">
      <nc r="H328">
        <v>166.65</v>
      </nc>
    </rcc>
    <rcc rId="0" sId="1">
      <nc r="I328">
        <v>33.33</v>
      </nc>
    </rcc>
    <rcc rId="0" sId="1">
      <nc r="J328">
        <v>200</v>
      </nc>
    </rcc>
    <rcc rId="0" sId="1">
      <nc r="K328">
        <v>0</v>
      </nc>
    </rcc>
    <rcc rId="0" sId="1" dxf="1" numFmtId="19">
      <nc r="L328">
        <v>46221.152777777781</v>
      </nc>
      <ndxf>
        <numFmt numFmtId="164" formatCode="mm\-dd\-yyyy"/>
      </ndxf>
    </rcc>
    <rcc rId="0" sId="1" dxf="1" numFmtId="19">
      <nc r="M328">
        <v>46226.215277777781</v>
      </nc>
      <ndxf>
        <numFmt numFmtId="164" formatCode="mm\-dd\-yyyy"/>
      </ndxf>
    </rcc>
    <rcc rId="0" sId="1">
      <nc r="AA328" t="inlineStr">
        <is>
          <t>1</t>
        </is>
      </nc>
    </rcc>
    <rcc rId="0" sId="1">
      <nc r="AB328" t="inlineStr">
        <is>
          <t>0</t>
        </is>
      </nc>
    </rcc>
  </rrc>
  <rrc rId="256" sId="1" ref="A325:XFD325" action="deleteRow">
    <rfmt sheetId="1" xfDxf="1" sqref="A325:XFD325" start="0" length="0"/>
    <rcc rId="0" sId="1">
      <nc r="A325" t="inlineStr">
        <is>
          <t>Zone 2</t>
        </is>
      </nc>
    </rcc>
    <rcc rId="0" sId="1">
      <nc r="B325" t="inlineStr">
        <is>
          <t>Face Shield</t>
        </is>
      </nc>
    </rcc>
    <rcc rId="0" sId="1">
      <nc r="C325">
        <v>5</v>
      </nc>
    </rcc>
    <rcc rId="0" sId="1">
      <nc r="E325" t="inlineStr">
        <is>
          <t>W1023232/1</t>
        </is>
      </nc>
    </rcc>
    <rcc rId="0" sId="1">
      <nc r="F325" t="inlineStr">
        <is>
          <t>SMI1/SMI3611</t>
        </is>
      </nc>
    </rcc>
    <rcc rId="0" sId="1">
      <nc r="G325" t="inlineStr">
        <is>
          <t>9.5" Foam Face Shield 40/box</t>
        </is>
      </nc>
    </rcc>
    <rcc rId="0" sId="1">
      <nc r="H325">
        <v>166.65</v>
      </nc>
    </rcc>
    <rcc rId="0" sId="1">
      <nc r="I325">
        <v>33.33</v>
      </nc>
    </rcc>
    <rcc rId="0" sId="1">
      <nc r="J325">
        <v>200</v>
      </nc>
    </rcc>
    <rcc rId="0" sId="1">
      <nc r="K325">
        <v>0</v>
      </nc>
    </rcc>
    <rcc rId="0" sId="1" dxf="1" numFmtId="19">
      <nc r="L325">
        <v>46209.291666666664</v>
      </nc>
      <ndxf>
        <numFmt numFmtId="164" formatCode="mm\-dd\-yyyy"/>
      </ndxf>
    </rcc>
    <rcc rId="0" sId="1" dxf="1" numFmtId="19">
      <nc r="M325">
        <v>46213.020833333336</v>
      </nc>
      <ndxf>
        <numFmt numFmtId="164" formatCode="mm\-dd\-yyyy"/>
      </ndxf>
    </rcc>
    <rcc rId="0" sId="1">
      <nc r="AA325" t="inlineStr">
        <is>
          <t>1</t>
        </is>
      </nc>
    </rcc>
    <rcc rId="0" sId="1">
      <nc r="AB325" t="inlineStr">
        <is>
          <t>0</t>
        </is>
      </nc>
    </rcc>
  </rrc>
  <rrc rId="257" sId="1" ref="A325:XFD325" action="deleteRow">
    <rfmt sheetId="1" xfDxf="1" sqref="A325:XFD325" start="0" length="0"/>
    <rcc rId="0" sId="1">
      <nc r="A325" t="inlineStr">
        <is>
          <t>Zone 2</t>
        </is>
      </nc>
    </rcc>
    <rcc rId="0" sId="1">
      <nc r="B325" t="inlineStr">
        <is>
          <t>Face Shield</t>
        </is>
      </nc>
    </rcc>
    <rcc rId="0" sId="1">
      <nc r="C325">
        <v>5</v>
      </nc>
    </rcc>
    <rcc rId="0" sId="1">
      <nc r="E325" t="inlineStr">
        <is>
          <t>W1023233/1</t>
        </is>
      </nc>
    </rcc>
    <rcc rId="0" sId="1">
      <nc r="F325" t="inlineStr">
        <is>
          <t>SMI1/SMI3611</t>
        </is>
      </nc>
    </rcc>
    <rcc rId="0" sId="1">
      <nc r="G325" t="inlineStr">
        <is>
          <t>9.5" Foam Face Shield 40/box</t>
        </is>
      </nc>
    </rcc>
    <rcc rId="0" sId="1">
      <nc r="H325">
        <v>166.65</v>
      </nc>
    </rcc>
    <rcc rId="0" sId="1">
      <nc r="I325">
        <v>33.33</v>
      </nc>
    </rcc>
    <rcc rId="0" sId="1">
      <nc r="J325">
        <v>200</v>
      </nc>
    </rcc>
    <rcc rId="0" sId="1">
      <nc r="K325">
        <v>0</v>
      </nc>
    </rcc>
    <rcc rId="0" sId="1" dxf="1" numFmtId="19">
      <nc r="L325">
        <v>46213.027777777781</v>
      </nc>
      <ndxf>
        <numFmt numFmtId="164" formatCode="mm\-dd\-yyyy"/>
      </ndxf>
    </rcc>
    <rcc rId="0" sId="1" dxf="1" numFmtId="19">
      <nc r="M325">
        <v>46218.090277777781</v>
      </nc>
      <ndxf>
        <numFmt numFmtId="164" formatCode="mm\-dd\-yyyy"/>
      </ndxf>
    </rcc>
    <rcc rId="0" sId="1">
      <nc r="AA325" t="inlineStr">
        <is>
          <t>1</t>
        </is>
      </nc>
    </rcc>
    <rcc rId="0" sId="1">
      <nc r="AB325" t="inlineStr">
        <is>
          <t>0</t>
        </is>
      </nc>
    </rcc>
  </rrc>
  <rrc rId="258" sId="1" ref="A325:XFD325" action="insertRow"/>
  <rm rId="259" sheetId="1" source="A327:XFD327" destination="A325:XFD325" sourceSheetId="1">
    <rfmt sheetId="1" xfDxf="1" sqref="A325:XFD325" start="0" length="0">
      <dxf/>
    </rfmt>
    <rfmt sheetId="1" sqref="L325" start="0" length="0">
      <dxf>
        <numFmt numFmtId="164" formatCode="mm\-dd\-yyyy"/>
      </dxf>
    </rfmt>
    <rfmt sheetId="1" sqref="M325" start="0" length="0">
      <dxf>
        <numFmt numFmtId="164" formatCode="mm\-dd\-yyyy"/>
      </dxf>
    </rfmt>
  </rm>
  <rrc rId="260" sId="1" ref="A327:XFD327" action="deleteRow">
    <rfmt sheetId="1" xfDxf="1" sqref="A327:XFD327" start="0" length="0"/>
    <rfmt sheetId="1" sqref="L327" start="0" length="0">
      <dxf>
        <numFmt numFmtId="164" formatCode="mm\-dd\-yyyy"/>
      </dxf>
    </rfmt>
    <rfmt sheetId="1" sqref="M327" start="0" length="0">
      <dxf>
        <numFmt numFmtId="164" formatCode="mm\-dd\-yyyy"/>
      </dxf>
    </rfmt>
  </rrc>
  <rfmt sheetId="1" sqref="A326:XFD326" start="0" length="0">
    <dxf>
      <border>
        <bottom style="thin">
          <color indexed="64"/>
        </bottom>
      </border>
    </dxf>
  </rfmt>
  <rfmt sheetId="1" sqref="A327:XFD360">
    <dxf>
      <fill>
        <patternFill patternType="none">
          <bgColor auto="1"/>
        </patternFill>
      </fill>
    </dxf>
  </rfmt>
  <rfmt sheetId="1" sqref="A330:XFD330" start="0" length="0">
    <dxf>
      <border>
        <bottom style="thin">
          <color indexed="64"/>
        </bottom>
      </border>
    </dxf>
  </rfmt>
  <rfmt sheetId="1" sqref="A319:XFD319" start="0" length="0">
    <dxf>
      <border>
        <bottom/>
      </border>
    </dxf>
  </rfmt>
  <rrc rId="261" sId="1" ref="A329:XFD329" action="insertRow"/>
  <rcc rId="262" sId="1">
    <nc r="A329" t="inlineStr">
      <is>
        <t>Zone 2</t>
      </is>
    </nc>
  </rcc>
  <rfmt sheetId="1" sqref="A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263" sId="1">
    <nc r="B329" t="inlineStr">
      <is>
        <t>Line 1</t>
      </is>
    </nc>
  </rcc>
  <rfmt sheetId="1" sqref="B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264" sId="1">
    <nc r="C329">
      <v>8</v>
    </nc>
  </rcc>
  <rfmt sheetId="1" sqref="C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265" sId="1">
    <nc r="E329" t="inlineStr">
      <is>
        <t>W1029329/1</t>
      </is>
    </nc>
  </rcc>
  <rfmt sheetId="1" sqref="E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266" sId="1">
    <nc r="F329" t="inlineStr">
      <is>
        <t>SMI1/OMN-1025</t>
      </is>
    </nc>
  </rcc>
  <rfmt sheetId="1" sqref="F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fmt sheetId="1" sqref="F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fmt sheetId="1" sqref="G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fmt sheetId="1" sqref="G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267" sId="1">
    <nc r="G329" t="inlineStr">
      <is>
        <t>OxyMask Aerosol Adult 22m Adapter</t>
      </is>
    </nc>
  </rcc>
  <rfmt sheetId="1" sqref="G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fmt sheetId="1" sqref="G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268" sId="1">
    <nc r="H329">
      <f>8*21</f>
    </nc>
  </rcc>
  <rcc rId="269" sId="1">
    <nc r="I329">
      <v>21</v>
    </nc>
  </rcc>
  <rfmt sheetId="1" sqref="I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270" sId="1">
    <nc r="J329">
      <v>250</v>
    </nc>
  </rcc>
  <rfmt sheetId="1" sqref="J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271" sId="1">
    <nc r="K329">
      <v>0</v>
    </nc>
  </rcc>
  <rfmt sheetId="1" sqref="K329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272" sId="1">
    <nc r="L329">
      <f>+M328</f>
    </nc>
  </rcc>
  <rcc rId="273" sId="1" numFmtId="19">
    <oc r="L330">
      <v>46225.145833333336</v>
    </oc>
    <nc r="L330">
      <v>46226</v>
    </nc>
  </rcc>
  <rcc rId="274" sId="1">
    <nc r="M329">
      <f>+L329+I329/24</f>
    </nc>
  </rcc>
  <rcv guid="{A9066737-D214-4998-B3AE-C1B60D50E4FC}" action="delete"/>
  <rcv guid="{A9066737-D214-4998-B3AE-C1B60D50E4FC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611:XFD611" start="0" length="0">
    <dxf>
      <border>
        <bottom style="medium">
          <color indexed="64"/>
        </bottom>
      </border>
    </dxf>
  </rfmt>
  <rcc rId="275" sId="1">
    <oc r="A612" t="inlineStr">
      <is>
        <t>Zone 3</t>
      </is>
    </oc>
    <nc r="A612"/>
  </rcc>
  <rcc rId="276" sId="1">
    <oc r="B612" t="inlineStr">
      <is>
        <t>OP1 Tier 2</t>
      </is>
    </oc>
    <nc r="B612"/>
  </rcc>
  <rcc rId="277" sId="1">
    <oc r="C612">
      <v>1</v>
    </oc>
    <nc r="C612"/>
  </rcc>
  <rcc rId="278" sId="1">
    <oc r="E612" t="inlineStr">
      <is>
        <t>W1027863/1</t>
      </is>
    </oc>
    <nc r="E612"/>
  </rcc>
  <rcc rId="279" sId="1">
    <oc r="F612" t="inlineStr">
      <is>
        <t>VER3/0130-1071BS</t>
      </is>
    </oc>
    <nc r="F612"/>
  </rcc>
  <rcc rId="280" sId="1">
    <oc r="G612" t="inlineStr">
      <is>
        <t>Titanium Lopro T4 Belt Sand</t>
      </is>
    </oc>
    <nc r="G612"/>
  </rcc>
  <rcc rId="281" sId="1">
    <oc r="J612">
      <v>28</v>
    </oc>
    <nc r="J612"/>
  </rcc>
  <rcc rId="282" sId="1">
    <oc r="K612">
      <v>0</v>
    </oc>
    <nc r="K612"/>
  </rcc>
  <rrc rId="283" sId="1" ref="A612:XFD612" action="deleteRow">
    <rfmt sheetId="1" xfDxf="1" sqref="A612:XFD612" start="0" length="0"/>
    <rfmt sheetId="1" sqref="L612" start="0" length="0">
      <dxf>
        <numFmt numFmtId="164" formatCode="mm\-dd\-yyyy"/>
      </dxf>
    </rfmt>
    <rfmt sheetId="1" sqref="M612" start="0" length="0">
      <dxf>
        <numFmt numFmtId="164" formatCode="mm\-dd\-yyyy"/>
      </dxf>
    </rfmt>
  </rrc>
  <rcc rId="284" sId="1">
    <oc r="A619" t="inlineStr">
      <is>
        <t>Zone 3</t>
      </is>
    </oc>
    <nc r="A619"/>
  </rcc>
  <rcc rId="285" sId="1">
    <oc r="B619" t="inlineStr">
      <is>
        <t>OP1 Tier 2</t>
      </is>
    </oc>
    <nc r="B619"/>
  </rcc>
  <rcc rId="286" sId="1">
    <oc r="C619">
      <v>1</v>
    </oc>
    <nc r="C619"/>
  </rcc>
  <rcc rId="287" sId="1">
    <oc r="E619" t="inlineStr">
      <is>
        <t>W1027863/FG</t>
      </is>
    </oc>
    <nc r="E619"/>
  </rcc>
  <rcc rId="288" sId="1">
    <oc r="F619" t="inlineStr">
      <is>
        <t>VER1/0143-0003</t>
      </is>
    </oc>
    <nc r="F619"/>
  </rcc>
  <rcc rId="289" sId="1">
    <oc r="G619" t="inlineStr">
      <is>
        <t>Titanium Lopro T4 Shell</t>
      </is>
    </oc>
    <nc r="G619"/>
  </rcc>
  <rcc rId="290" sId="1">
    <oc r="J619">
      <v>28</v>
    </oc>
    <nc r="J619"/>
  </rcc>
  <rcc rId="291" sId="1">
    <oc r="K619">
      <v>0</v>
    </oc>
    <nc r="K619"/>
  </rcc>
  <rrc rId="292" sId="1" ref="A619:XFD619" action="deleteRow">
    <rfmt sheetId="1" xfDxf="1" sqref="A619:XFD619" start="0" length="0"/>
    <rfmt sheetId="1" sqref="L619" start="0" length="0">
      <dxf>
        <numFmt numFmtId="164" formatCode="mm\-dd\-yyyy"/>
      </dxf>
    </rfmt>
    <rfmt sheetId="1" sqref="M619" start="0" length="0">
      <dxf>
        <numFmt numFmtId="164" formatCode="mm\-dd\-yyyy"/>
      </dxf>
    </rfmt>
  </rr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93" sId="1" ref="A616:XFD616" action="insertRow"/>
  <rfmt sheetId="1" sqref="A615:XFD615" start="0" length="0">
    <dxf>
      <border>
        <bottom/>
      </border>
    </dxf>
  </rfmt>
  <rcc rId="294" sId="1" odxf="1" dxf="1">
    <nc r="E616" t="inlineStr">
      <is>
        <t>W1027865/1</t>
      </is>
    </nc>
    <odxf/>
    <ndxf/>
  </rcc>
  <rcc rId="295" sId="1" odxf="1" dxf="1">
    <nc r="F616" t="inlineStr">
      <is>
        <t>VER3/0130-1071BS</t>
      </is>
    </nc>
    <odxf/>
    <ndxf/>
  </rcc>
  <rcc rId="296" sId="1" odxf="1" dxf="1">
    <nc r="G616" t="inlineStr">
      <is>
        <t>Titanium Lopro T4 Belt Sand</t>
      </is>
    </nc>
    <odxf/>
    <ndxf/>
  </rcc>
  <rfmt sheetId="1" sqref="H616" start="0" length="0">
    <dxf/>
  </rfmt>
  <rfmt sheetId="1" sqref="I616" start="0" length="0">
    <dxf/>
  </rfmt>
  <rcc rId="297" sId="1" odxf="1" dxf="1">
    <nc r="J616">
      <v>48</v>
    </nc>
    <odxf/>
    <ndxf/>
  </rcc>
  <rcc rId="298" sId="1" odxf="1" dxf="1">
    <nc r="K616">
      <v>0</v>
    </nc>
    <odxf/>
    <ndxf/>
  </rcc>
  <rcc rId="299" sId="1" odxf="1" dxf="1">
    <nc r="A616" t="inlineStr">
      <is>
        <t>Zone 3</t>
      </is>
    </nc>
    <odxf/>
    <ndxf/>
  </rcc>
  <rcc rId="300" sId="1" odxf="1" dxf="1">
    <nc r="B616" t="inlineStr">
      <is>
        <t>OP1 Tier 2</t>
      </is>
    </nc>
    <odxf/>
    <ndxf/>
  </rcc>
  <rcc rId="301" sId="1" odxf="1" dxf="1">
    <nc r="C616">
      <v>1</v>
    </nc>
    <odxf/>
    <ndxf/>
  </rcc>
  <rfmt sheetId="1" sqref="D616" start="0" length="0">
    <dxf/>
  </rfmt>
  <rrc rId="302" sId="1" ref="A617:XFD617" action="insertRow"/>
  <rrc rId="303" sId="1" ref="A617:XFD617" action="insertRow"/>
  <rrc rId="304" sId="1" ref="A617:XFD618" action="insertRow"/>
  <rrc rId="305" sId="1" ref="A617:XFD618" action="insertRow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339:XFD339" start="0" length="0">
    <dxf>
      <border>
        <bottom style="thin">
          <color indexed="64"/>
        </bottom>
      </border>
    </dxf>
  </rfmt>
  <rrc rId="306" sId="1" ref="A340:XFD340" action="deleteRow">
    <rfmt sheetId="1" xfDxf="1" sqref="A340:XFD340" start="0" length="0">
      <dxf/>
    </rfmt>
    <rcc rId="0" sId="1">
      <nc r="A340" t="inlineStr">
        <is>
          <t>Zone 2</t>
        </is>
      </nc>
    </rcc>
    <rcc rId="0" sId="1">
      <nc r="B340" t="inlineStr">
        <is>
          <t>Line 3</t>
        </is>
      </nc>
    </rcc>
    <rcc rId="0" sId="1">
      <nc r="C340">
        <v>8</v>
      </nc>
    </rcc>
    <rcc rId="0" sId="1" dxf="1">
      <nc r="E340" t="inlineStr">
        <is>
          <t>W1025354/1</t>
        </is>
      </nc>
      <ndxf>
        <font>
          <b/>
          <sz val="11"/>
          <color theme="1"/>
          <name val="Aptos Narrow"/>
          <family val="2"/>
          <scheme val="minor"/>
        </font>
      </ndxf>
    </rcc>
    <rcc rId="0" sId="1">
      <nc r="F340" t="inlineStr">
        <is>
          <t>SMI2/OM-7025-8</t>
        </is>
      </nc>
    </rcc>
    <rcc rId="0" sId="1">
      <nc r="G340" t="inlineStr">
        <is>
          <t>OxyMask II Adult Non PVC 7'</t>
        </is>
      </nc>
    </rcc>
    <rcc rId="0" sId="1">
      <nc r="H340">
        <v>576</v>
      </nc>
    </rcc>
    <rcc rId="0" sId="1">
      <nc r="I340">
        <v>27</v>
      </nc>
    </rcc>
    <rcc rId="0" sId="1">
      <nc r="J340">
        <v>504</v>
      </nc>
    </rcc>
    <rcc rId="0" sId="1">
      <nc r="K340">
        <v>315</v>
      </nc>
    </rcc>
    <rcc rId="0" sId="1" dxf="1" numFmtId="19">
      <nc r="L340">
        <v>46208.958333333336</v>
      </nc>
      <ndxf>
        <numFmt numFmtId="164" formatCode="mm\-dd\-yyyy"/>
      </ndxf>
    </rcc>
    <rcc rId="0" sId="1" dxf="1" numFmtId="19">
      <nc r="M340">
        <v>46210.409722222219</v>
      </nc>
      <ndxf>
        <numFmt numFmtId="164" formatCode="mm\-dd\-yyyy"/>
      </ndxf>
    </rcc>
    <rfmt sheetId="1" sqref="N340" start="0" length="0">
      <dxf>
        <font>
          <b/>
          <sz val="11"/>
          <color theme="1"/>
          <name val="Aptos Narrow"/>
          <family val="2"/>
          <scheme val="minor"/>
        </font>
      </dxf>
    </rfmt>
    <rcc rId="0" sId="1" dxf="1">
      <nc r="O340" t="inlineStr">
        <is>
          <t>P</t>
        </is>
      </nc>
      <ndxf>
        <font>
          <b/>
          <sz val="11"/>
          <color theme="1"/>
          <name val="Aptos Narrow"/>
          <family val="2"/>
          <scheme val="minor"/>
        </font>
      </ndxf>
    </rcc>
    <rfmt sheetId="1" sqref="P340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Q340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R340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S340" start="0" length="0">
      <dxf>
        <font>
          <b/>
          <sz val="11"/>
          <color theme="1"/>
          <name val="Aptos Narrow"/>
          <family val="2"/>
          <scheme val="minor"/>
        </font>
      </dxf>
    </rfmt>
    <rcc rId="0" sId="1">
      <nc r="AA340" t="inlineStr">
        <is>
          <t>1</t>
        </is>
      </nc>
    </rcc>
    <rcc rId="0" sId="1">
      <nc r="AB340" t="inlineStr">
        <is>
          <t>0</t>
        </is>
      </nc>
    </rcc>
  </rrc>
  <rrc rId="307" sId="1" ref="A342:XFD342" action="insertRow"/>
  <rrc rId="308" sId="1" ref="A342:XFD342" action="insertRow"/>
  <rrc rId="309" sId="1" ref="A346:XFD346" action="deleteRow">
    <rfmt sheetId="1" xfDxf="1" sqref="A346:XFD346" start="0" length="0">
      <dxf/>
    </rfmt>
    <rcc rId="0" sId="1">
      <nc r="A346" t="inlineStr">
        <is>
          <t>Zone 2</t>
        </is>
      </nc>
    </rcc>
    <rcc rId="0" sId="1">
      <nc r="B346" t="inlineStr">
        <is>
          <t>Line 3</t>
        </is>
      </nc>
    </rcc>
    <rcc rId="0" sId="1">
      <nc r="C346">
        <v>8</v>
      </nc>
    </rcc>
    <rcc rId="0" sId="1">
      <nc r="E346" t="inlineStr">
        <is>
          <t>W1025366/1</t>
        </is>
      </nc>
    </rcc>
    <rcc rId="0" sId="1">
      <nc r="F346" t="inlineStr">
        <is>
          <t>SMI2/OK-7025-8</t>
        </is>
      </nc>
    </rcc>
    <rcc rId="0" sId="1">
      <nc r="G346" t="inlineStr">
        <is>
          <t>OxyMask II Kid Non PVC 7'</t>
        </is>
      </nc>
    </rcc>
    <rcc rId="0" sId="1">
      <nc r="H346">
        <v>192</v>
      </nc>
    </rcc>
    <rcc rId="0" sId="1">
      <nc r="I346">
        <v>24</v>
      </nc>
    </rcc>
    <rcc rId="0" sId="1">
      <nc r="J346">
        <v>168</v>
      </nc>
    </rcc>
    <rcc rId="0" sId="1">
      <nc r="K346">
        <v>0</v>
      </nc>
    </rcc>
    <rcc rId="0" sId="1" dxf="1" numFmtId="19">
      <nc r="L346">
        <v>46230.208333333336</v>
      </nc>
      <ndxf>
        <numFmt numFmtId="164" formatCode="mm\-dd\-yyyy"/>
      </ndxf>
    </rcc>
    <rcc rId="0" sId="1" dxf="1" numFmtId="19">
      <nc r="M346">
        <v>46233.222222222219</v>
      </nc>
      <ndxf>
        <numFmt numFmtId="164" formatCode="mm\-dd\-yyyy"/>
      </ndxf>
    </rcc>
    <rcc rId="0" sId="1">
      <nc r="AA346" t="inlineStr">
        <is>
          <t>1</t>
        </is>
      </nc>
    </rcc>
    <rcc rId="0" sId="1">
      <nc r="AB346" t="inlineStr">
        <is>
          <t>0</t>
        </is>
      </nc>
    </rcc>
  </rrc>
  <rcc rId="310" sId="1">
    <nc r="A342" t="inlineStr">
      <is>
        <t>Zone 2</t>
      </is>
    </nc>
  </rcc>
  <rcc rId="311" sId="1">
    <nc r="B342" t="inlineStr">
      <is>
        <t>Line 3</t>
      </is>
    </nc>
  </rcc>
  <rcc rId="312" sId="1">
    <nc r="C342">
      <v>8</v>
    </nc>
  </rcc>
  <rcc rId="313" sId="1">
    <nc r="F342" t="inlineStr">
      <is>
        <t>SMI2/OM-7025-8</t>
      </is>
    </nc>
  </rcc>
  <rcc rId="314" sId="1">
    <nc r="G342" t="inlineStr">
      <is>
        <t>OxyMask II Adult Non PVC 7'</t>
      </is>
    </nc>
  </rcc>
  <rcc rId="315" sId="1">
    <nc r="H342">
      <v>576</v>
    </nc>
  </rcc>
  <rcc rId="316" sId="1">
    <nc r="I342">
      <v>72</v>
    </nc>
  </rcc>
  <rcc rId="317" sId="1">
    <nc r="J342">
      <v>504</v>
    </nc>
  </rcc>
  <rcc rId="318" sId="1">
    <nc r="K342">
      <v>0</v>
    </nc>
  </rcc>
  <rcc rId="319" sId="1" numFmtId="19">
    <nc r="L342">
      <v>46216.4375</v>
    </nc>
  </rcc>
  <rcc rId="320" sId="1" numFmtId="19">
    <nc r="M342">
      <v>46220.493055555555</v>
    </nc>
  </rcc>
  <rcc rId="321" sId="1">
    <nc r="AA342" t="inlineStr">
      <is>
        <t>1</t>
      </is>
    </nc>
  </rcc>
  <rcc rId="322" sId="1">
    <nc r="AB342" t="inlineStr">
      <is>
        <t>0</t>
      </is>
    </nc>
  </rcc>
  <rcc rId="323" sId="1">
    <nc r="A343" t="inlineStr">
      <is>
        <t>Zone 2</t>
      </is>
    </nc>
  </rcc>
  <rcc rId="324" sId="1">
    <nc r="B343" t="inlineStr">
      <is>
        <t>Line 3</t>
      </is>
    </nc>
  </rcc>
  <rcc rId="325" sId="1">
    <nc r="C343">
      <v>8</v>
    </nc>
  </rcc>
  <rcc rId="326" sId="1">
    <nc r="F343" t="inlineStr">
      <is>
        <t>SMI2/OM-7025-8</t>
      </is>
    </nc>
  </rcc>
  <rcc rId="327" sId="1">
    <nc r="G343" t="inlineStr">
      <is>
        <t>OxyMask II Adult Non PVC 7'</t>
      </is>
    </nc>
  </rcc>
  <rcc rId="328" sId="1">
    <nc r="H343">
      <v>576</v>
    </nc>
  </rcc>
  <rcc rId="329" sId="1">
    <nc r="I343">
      <v>72</v>
    </nc>
  </rcc>
  <rcc rId="330" sId="1">
    <nc r="J343">
      <v>504</v>
    </nc>
  </rcc>
  <rcc rId="331" sId="1">
    <nc r="K343">
      <v>0</v>
    </nc>
  </rcc>
  <rcc rId="332" sId="1" numFmtId="19">
    <nc r="L343">
      <v>46216.4375</v>
    </nc>
  </rcc>
  <rcc rId="333" sId="1" numFmtId="19">
    <nc r="M343">
      <v>46220.493055555555</v>
    </nc>
  </rcc>
  <rcc rId="334" sId="1">
    <nc r="AA343" t="inlineStr">
      <is>
        <t>1</t>
      </is>
    </nc>
  </rcc>
  <rcc rId="335" sId="1">
    <nc r="AB343" t="inlineStr">
      <is>
        <t>0</t>
      </is>
    </nc>
  </rcc>
  <rcc rId="336" sId="1">
    <nc r="E342" t="inlineStr">
      <is>
        <t>W1025357/1</t>
      </is>
    </nc>
  </rcc>
  <rcc rId="337" sId="1">
    <nc r="E343" t="inlineStr">
      <is>
        <t>W1025358/1</t>
      </is>
    </nc>
  </rcc>
  <rfmt sheetId="1" sqref="A345:XFD345" start="0" length="0">
    <dxf>
      <border>
        <bottom style="thin">
          <color indexed="64"/>
        </bottom>
      </border>
    </dxf>
  </rfmt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38" sId="1" ref="A335:XFD336" action="insertRow"/>
  <rcc rId="339" sId="1">
    <nc r="A335" t="inlineStr">
      <is>
        <t>Zone 2</t>
      </is>
    </nc>
  </rcc>
  <rcc rId="340" sId="1">
    <nc r="B335" t="inlineStr">
      <is>
        <t>Line 2</t>
      </is>
    </nc>
  </rcc>
  <rcc rId="341" sId="1">
    <nc r="C335">
      <v>8</v>
    </nc>
  </rcc>
  <rcc rId="342" sId="1">
    <nc r="F335" t="inlineStr">
      <is>
        <t>SMI1/PRM-2110-8M</t>
      </is>
    </nc>
  </rcc>
  <rcc rId="343" sId="1">
    <nc r="G335" t="inlineStr">
      <is>
        <t>Oxy2Pro Adult 7', SLM 10'</t>
      </is>
    </nc>
  </rcc>
  <rcc rId="344" sId="1">
    <nc r="H335">
      <v>268.8</v>
    </nc>
  </rcc>
  <rcc rId="345" sId="1">
    <nc r="I335">
      <v>33.6</v>
    </nc>
  </rcc>
  <rcc rId="346" sId="1">
    <nc r="J335">
      <v>504</v>
    </nc>
  </rcc>
  <rcc rId="347" sId="1">
    <nc r="K335">
      <v>0</v>
    </nc>
  </rcc>
  <rcc rId="348" sId="1" numFmtId="19">
    <nc r="L335">
      <v>46212.666666666664</v>
    </nc>
  </rcc>
  <rcc rId="349" sId="1" numFmtId="19">
    <nc r="M335">
      <v>46216.75</v>
    </nc>
  </rcc>
  <rcc rId="350" sId="1">
    <nc r="AA335" t="inlineStr">
      <is>
        <t>1</t>
      </is>
    </nc>
  </rcc>
  <rcc rId="351" sId="1">
    <nc r="AB335" t="inlineStr">
      <is>
        <t>0</t>
      </is>
    </nc>
  </rcc>
  <rcc rId="352" sId="1">
    <nc r="A336" t="inlineStr">
      <is>
        <t>Zone 2</t>
      </is>
    </nc>
  </rcc>
  <rcc rId="353" sId="1">
    <nc r="B336" t="inlineStr">
      <is>
        <t>Line 2</t>
      </is>
    </nc>
  </rcc>
  <rcc rId="354" sId="1">
    <nc r="C336">
      <v>8</v>
    </nc>
  </rcc>
  <rcc rId="355" sId="1">
    <nc r="F336" t="inlineStr">
      <is>
        <t>SMI1/PRM-2110-8M</t>
      </is>
    </nc>
  </rcc>
  <rcc rId="356" sId="1">
    <nc r="G336" t="inlineStr">
      <is>
        <t>Oxy2Pro Adult 7', SLM 10'</t>
      </is>
    </nc>
  </rcc>
  <rcc rId="357" sId="1">
    <nc r="H336">
      <v>268.8</v>
    </nc>
  </rcc>
  <rcc rId="358" sId="1">
    <nc r="I336">
      <v>33.6</v>
    </nc>
  </rcc>
  <rcc rId="359" sId="1">
    <nc r="J336">
      <v>504</v>
    </nc>
  </rcc>
  <rcc rId="360" sId="1">
    <nc r="K336">
      <v>0</v>
    </nc>
  </rcc>
  <rcc rId="361" sId="1" numFmtId="19">
    <nc r="L336">
      <v>46212.666666666664</v>
    </nc>
  </rcc>
  <rcc rId="362" sId="1" numFmtId="19">
    <nc r="M336">
      <v>46216.75</v>
    </nc>
  </rcc>
  <rcc rId="363" sId="1">
    <nc r="AA336" t="inlineStr">
      <is>
        <t>1</t>
      </is>
    </nc>
  </rcc>
  <rcc rId="364" sId="1">
    <nc r="AB336" t="inlineStr">
      <is>
        <t>0</t>
      </is>
    </nc>
  </rcc>
  <rcc rId="365" sId="1">
    <nc r="E335" t="inlineStr">
      <is>
        <t>W1028066/1</t>
      </is>
    </nc>
  </rcc>
  <rfmt sheetId="1" sqref="E335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366" sId="1">
    <nc r="E336" t="inlineStr">
      <is>
        <t>W1028887/1</t>
      </is>
    </nc>
  </rcc>
  <rfmt sheetId="1" sqref="E336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367" sId="1" ref="A362:XFD362" action="deleteRow">
    <rfmt sheetId="1" xfDxf="1" sqref="A362:XFD362" start="0" length="0">
      <dxf/>
    </rfmt>
    <rcc rId="0" sId="1">
      <nc r="A362" t="inlineStr">
        <is>
          <t>Zone 2</t>
        </is>
      </nc>
    </rcc>
    <rcc rId="0" sId="1">
      <nc r="B362" t="inlineStr">
        <is>
          <t>OxyMask Cell</t>
        </is>
      </nc>
    </rcc>
    <rcc rId="0" sId="1">
      <nc r="C362">
        <v>7</v>
      </nc>
    </rcc>
    <rcc rId="0" sId="1">
      <nc r="D362" t="inlineStr">
        <is>
          <t>23-040</t>
        </is>
      </nc>
    </rcc>
    <rcc rId="0" sId="1">
      <nc r="E362" t="inlineStr">
        <is>
          <t>W1026844/1</t>
        </is>
      </nc>
    </rcc>
    <rcc rId="0" sId="1">
      <nc r="F362" t="inlineStr">
        <is>
          <t>SMI2/OM-1125-8</t>
        </is>
      </nc>
    </rcc>
    <rcc rId="0" sId="1">
      <nc r="G362" t="inlineStr">
        <is>
          <t>OxyMask II Adult 7'</t>
        </is>
      </nc>
    </rcc>
    <rcc rId="0" sId="1">
      <nc r="H362">
        <v>336</v>
      </nc>
    </rcc>
    <rcc rId="0" sId="1">
      <nc r="I362">
        <v>48</v>
      </nc>
    </rcc>
    <rcc rId="0" sId="1">
      <nc r="J362">
        <v>1344</v>
      </nc>
    </rcc>
    <rcc rId="0" sId="1">
      <nc r="K362">
        <v>0</v>
      </nc>
    </rcc>
    <rcc rId="0" sId="1" dxf="1" numFmtId="19">
      <nc r="L362">
        <v>46227.229166666664</v>
      </nc>
      <ndxf>
        <numFmt numFmtId="164" formatCode="mm\-dd\-yyyy"/>
      </ndxf>
    </rcc>
    <rcc rId="0" sId="1" dxf="1" numFmtId="19">
      <nc r="M362">
        <v>46232.243055555555</v>
      </nc>
      <ndxf>
        <numFmt numFmtId="164" formatCode="mm\-dd\-yyyy"/>
      </ndxf>
    </rcc>
    <rcc rId="0" sId="1">
      <nc r="AA362" t="inlineStr">
        <is>
          <t>1</t>
        </is>
      </nc>
    </rcc>
    <rcc rId="0" sId="1">
      <nc r="AB362" t="inlineStr">
        <is>
          <t>0</t>
        </is>
      </nc>
    </rcc>
  </rrc>
  <rrc rId="368" sId="1" ref="A359:XFD359" action="deleteRow">
    <rfmt sheetId="1" xfDxf="1" sqref="A359:XFD359" start="0" length="0">
      <dxf/>
    </rfmt>
    <rcc rId="0" sId="1">
      <nc r="A359" t="inlineStr">
        <is>
          <t>Zone 2</t>
        </is>
      </nc>
    </rcc>
    <rcc rId="0" sId="1">
      <nc r="B359" t="inlineStr">
        <is>
          <t>OxyMask Cell</t>
        </is>
      </nc>
    </rcc>
    <rcc rId="0" sId="1">
      <nc r="C359">
        <v>7</v>
      </nc>
    </rcc>
    <rcc rId="0" sId="1">
      <nc r="D359" t="inlineStr">
        <is>
          <t>23-040</t>
        </is>
      </nc>
    </rcc>
    <rcc rId="0" sId="1">
      <nc r="E359" t="inlineStr">
        <is>
          <t>W1026843/1</t>
        </is>
      </nc>
    </rcc>
    <rcc rId="0" sId="1">
      <nc r="F359" t="inlineStr">
        <is>
          <t>SMI2/OM-1125-8</t>
        </is>
      </nc>
    </rcc>
    <rcc rId="0" sId="1">
      <nc r="G359" t="inlineStr">
        <is>
          <t>OxyMask II Adult 7'</t>
        </is>
      </nc>
    </rcc>
    <rcc rId="0" sId="1">
      <nc r="H359">
        <v>336</v>
      </nc>
    </rcc>
    <rcc rId="0" sId="1">
      <nc r="I359">
        <v>48</v>
      </nc>
    </rcc>
    <rcc rId="0" sId="1">
      <nc r="J359">
        <v>1344</v>
      </nc>
    </rcc>
    <rcc rId="0" sId="1">
      <nc r="K359">
        <v>0</v>
      </nc>
    </rcc>
    <rcc rId="0" sId="1" dxf="1" numFmtId="19">
      <nc r="L359">
        <v>46220.020833333336</v>
      </nc>
      <ndxf>
        <numFmt numFmtId="164" formatCode="mm\-dd\-yyyy"/>
      </ndxf>
    </rcc>
    <rcc rId="0" sId="1" dxf="1" numFmtId="19">
      <nc r="M359">
        <v>46225.034722222219</v>
      </nc>
      <ndxf>
        <numFmt numFmtId="164" formatCode="mm\-dd\-yyyy"/>
      </ndxf>
    </rcc>
    <rcc rId="0" sId="1">
      <nc r="AA359" t="inlineStr">
        <is>
          <t>1</t>
        </is>
      </nc>
    </rcc>
    <rcc rId="0" sId="1">
      <nc r="AB359" t="inlineStr">
        <is>
          <t>0</t>
        </is>
      </nc>
    </rcc>
  </rrc>
  <rrc rId="369" sId="1" ref="A357:XFD357" action="deleteRow">
    <rfmt sheetId="1" xfDxf="1" sqref="A357:XFD357" start="0" length="0">
      <dxf/>
    </rfmt>
    <rcc rId="0" sId="1">
      <nc r="A357" t="inlineStr">
        <is>
          <t>Zone 2</t>
        </is>
      </nc>
    </rcc>
    <rcc rId="0" sId="1">
      <nc r="B357" t="inlineStr">
        <is>
          <t>OxyMask Cell</t>
        </is>
      </nc>
    </rcc>
    <rcc rId="0" sId="1">
      <nc r="C357">
        <v>7</v>
      </nc>
    </rcc>
    <rcc rId="0" sId="1">
      <nc r="D357" t="inlineStr">
        <is>
          <t>23-040</t>
        </is>
      </nc>
    </rcc>
    <rcc rId="0" sId="1">
      <nc r="E357" t="inlineStr">
        <is>
          <t>W1026842/1</t>
        </is>
      </nc>
    </rcc>
    <rcc rId="0" sId="1">
      <nc r="F357" t="inlineStr">
        <is>
          <t>SMI2/OM-1125-8</t>
        </is>
      </nc>
    </rcc>
    <rcc rId="0" sId="1">
      <nc r="G357" t="inlineStr">
        <is>
          <t>OxyMask II Adult 7'</t>
        </is>
      </nc>
    </rcc>
    <rcc rId="0" sId="1">
      <nc r="H357">
        <v>336</v>
      </nc>
    </rcc>
    <rcc rId="0" sId="1">
      <nc r="I357">
        <v>48</v>
      </nc>
    </rcc>
    <rcc rId="0" sId="1">
      <nc r="J357">
        <v>1344</v>
      </nc>
    </rcc>
    <rcc rId="0" sId="1">
      <nc r="K357">
        <v>0</v>
      </nc>
    </rcc>
    <rcc rId="0" sId="1" dxf="1" numFmtId="19">
      <nc r="L357">
        <v>46217</v>
      </nc>
      <ndxf>
        <numFmt numFmtId="164" formatCode="mm\-dd\-yyyy"/>
      </ndxf>
    </rcc>
    <rcc rId="0" sId="1" dxf="1" numFmtId="19">
      <nc r="M357">
        <v>46220.013888888891</v>
      </nc>
      <ndxf>
        <numFmt numFmtId="164" formatCode="mm\-dd\-yyyy"/>
      </ndxf>
    </rcc>
    <rcc rId="0" sId="1">
      <nc r="AA357" t="inlineStr">
        <is>
          <t>1</t>
        </is>
      </nc>
    </rcc>
    <rcc rId="0" sId="1">
      <nc r="AB357" t="inlineStr">
        <is>
          <t>0</t>
        </is>
      </nc>
    </rcc>
  </rrc>
  <rrc rId="370" sId="1" ref="A355:XFD355" action="deleteRow">
    <rfmt sheetId="1" xfDxf="1" sqref="A355:XFD355" start="0" length="0">
      <dxf/>
    </rfmt>
    <rcc rId="0" sId="1">
      <nc r="A355" t="inlineStr">
        <is>
          <t>Zone 2</t>
        </is>
      </nc>
    </rcc>
    <rcc rId="0" sId="1">
      <nc r="B355" t="inlineStr">
        <is>
          <t>OxyMask Cell</t>
        </is>
      </nc>
    </rcc>
    <rcc rId="0" sId="1">
      <nc r="C355">
        <v>7</v>
      </nc>
    </rcc>
    <rcc rId="0" sId="1">
      <nc r="D355" t="inlineStr">
        <is>
          <t>23-040</t>
        </is>
      </nc>
    </rcc>
    <rcc rId="0" sId="1">
      <nc r="E355" t="inlineStr">
        <is>
          <t>W1026841/1</t>
        </is>
      </nc>
    </rcc>
    <rcc rId="0" sId="1">
      <nc r="F355" t="inlineStr">
        <is>
          <t>SMI2/OM-1125-8</t>
        </is>
      </nc>
    </rcc>
    <rcc rId="0" sId="1">
      <nc r="G355" t="inlineStr">
        <is>
          <t>OxyMask II Adult 7'</t>
        </is>
      </nc>
    </rcc>
    <rcc rId="0" sId="1">
      <nc r="H355">
        <v>336</v>
      </nc>
    </rcc>
    <rcc rId="0" sId="1">
      <nc r="I355">
        <v>48</v>
      </nc>
    </rcc>
    <rcc rId="0" sId="1">
      <nc r="J355">
        <v>1344</v>
      </nc>
    </rcc>
    <rcc rId="0" sId="1">
      <nc r="K355">
        <v>0</v>
      </nc>
    </rcc>
    <rcc rId="0" sId="1" dxf="1" numFmtId="19">
      <nc r="L355">
        <v>46211.979166666664</v>
      </nc>
      <ndxf>
        <numFmt numFmtId="164" formatCode="mm\-dd\-yyyy"/>
      </ndxf>
    </rcc>
    <rcc rId="0" sId="1" dxf="1" numFmtId="19">
      <nc r="M355">
        <v>46216.993055555555</v>
      </nc>
      <ndxf>
        <numFmt numFmtId="164" formatCode="mm\-dd\-yyyy"/>
      </ndxf>
    </rcc>
    <rcc rId="0" sId="1">
      <nc r="AA355" t="inlineStr">
        <is>
          <t>1</t>
        </is>
      </nc>
    </rcc>
    <rcc rId="0" sId="1">
      <nc r="AB355" t="inlineStr">
        <is>
          <t>0</t>
        </is>
      </nc>
    </rcc>
  </rrc>
  <rrc rId="371" sId="1" ref="A353:XFD353" action="deleteRow">
    <rfmt sheetId="1" xfDxf="1" sqref="A353:XFD353" start="0" length="0">
      <dxf/>
    </rfmt>
    <rcc rId="0" sId="1">
      <nc r="A353" t="inlineStr">
        <is>
          <t>Zone 2</t>
        </is>
      </nc>
    </rcc>
    <rcc rId="0" sId="1">
      <nc r="B353" t="inlineStr">
        <is>
          <t>OxyMask Cell</t>
        </is>
      </nc>
    </rcc>
    <rcc rId="0" sId="1">
      <nc r="C353">
        <v>7</v>
      </nc>
    </rcc>
    <rcc rId="0" sId="1">
      <nc r="D353" t="inlineStr">
        <is>
          <t>23-040</t>
        </is>
      </nc>
    </rcc>
    <rcc rId="0" sId="1">
      <nc r="E353" t="inlineStr">
        <is>
          <t>W1026840/1</t>
        </is>
      </nc>
    </rcc>
    <rcc rId="0" sId="1">
      <nc r="F353" t="inlineStr">
        <is>
          <t>SMI2/OM-1125-8</t>
        </is>
      </nc>
    </rcc>
    <rcc rId="0" sId="1">
      <nc r="G353" t="inlineStr">
        <is>
          <t>OxyMask II Adult 7'</t>
        </is>
      </nc>
    </rcc>
    <rcc rId="0" sId="1">
      <nc r="H353">
        <v>336</v>
      </nc>
    </rcc>
    <rcc rId="0" sId="1">
      <nc r="I353">
        <v>48</v>
      </nc>
    </rcc>
    <rcc rId="0" sId="1">
      <nc r="J353">
        <v>1344</v>
      </nc>
    </rcc>
    <rcc rId="0" sId="1">
      <nc r="K353">
        <v>0</v>
      </nc>
    </rcc>
    <rcc rId="0" sId="1" dxf="1" numFmtId="19">
      <nc r="L353">
        <v>46208.958333333336</v>
      </nc>
      <ndxf>
        <numFmt numFmtId="164" formatCode="mm\-dd\-yyyy"/>
      </ndxf>
    </rcc>
    <rcc rId="0" sId="1" dxf="1" numFmtId="19">
      <nc r="M353">
        <v>46211.972222222219</v>
      </nc>
      <ndxf>
        <numFmt numFmtId="164" formatCode="mm\-dd\-yyyy"/>
      </ndxf>
    </rcc>
    <rcc rId="0" sId="1">
      <nc r="AA353" t="inlineStr">
        <is>
          <t>1</t>
        </is>
      </nc>
    </rcc>
    <rcc rId="0" sId="1">
      <nc r="AB353" t="inlineStr">
        <is>
          <t>0</t>
        </is>
      </nc>
    </rcc>
  </rrc>
  <rfmt sheetId="1" sqref="A348:XFD348" start="0" length="0">
    <dxf>
      <border>
        <bottom style="thin">
          <color indexed="64"/>
        </bottom>
      </border>
    </dxf>
  </rfmt>
  <rfmt sheetId="1" sqref="A350:XFD350" start="0" length="0">
    <dxf>
      <border>
        <bottom style="thin">
          <color indexed="64"/>
        </bottom>
      </border>
    </dxf>
  </rfmt>
  <rfmt sheetId="1" sqref="A352:XFD352" start="0" length="0">
    <dxf>
      <border>
        <bottom style="thin">
          <color indexed="64"/>
        </bottom>
      </border>
    </dxf>
  </rfmt>
  <rfmt sheetId="1" sqref="A358:XFD358" start="0" length="0">
    <dxf>
      <border>
        <bottom style="thin">
          <color indexed="64"/>
        </bottom>
      </border>
    </dxf>
  </rfmt>
  <rfmt sheetId="1" sqref="A359:XFD359" start="0" length="0">
    <dxf>
      <border>
        <bottom style="thin">
          <color indexed="64"/>
        </bottom>
      </border>
    </dxf>
  </rfmt>
  <rrc rId="372" sId="1" ref="A359:XFD359" action="deleteRow">
    <rfmt sheetId="1" xfDxf="1" sqref="A359:XFD359" start="0" length="0">
      <dxf>
        <border outline="0">
          <top style="thin">
            <color indexed="64"/>
          </top>
          <bottom style="thin">
            <color indexed="64"/>
          </bottom>
        </border>
      </dxf>
    </rfmt>
    <rcc rId="0" sId="1">
      <nc r="A359" t="inlineStr">
        <is>
          <t>Zone 2</t>
        </is>
      </nc>
    </rcc>
    <rcc rId="0" sId="1">
      <nc r="B359" t="inlineStr">
        <is>
          <t>STV Frame Pack</t>
        </is>
      </nc>
    </rcc>
    <rcc rId="0" sId="1">
      <nc r="C359">
        <v>1</v>
      </nc>
    </rcc>
    <rcc rId="0" sId="1">
      <nc r="E359" t="inlineStr">
        <is>
          <t>W1026290/1</t>
        </is>
      </nc>
    </rcc>
    <rcc rId="0" sId="1">
      <nc r="F359" t="inlineStr">
        <is>
          <t>SMI1/SMI2511</t>
        </is>
      </nc>
    </rcc>
    <rcc rId="0" sId="1">
      <nc r="G359" t="inlineStr">
        <is>
          <t>Clear Choice Frames for Face Shi</t>
        </is>
      </nc>
    </rcc>
    <rcc rId="0" sId="1">
      <nc r="H359">
        <v>0.63</v>
      </nc>
    </rcc>
    <rcc rId="0" sId="1">
      <nc r="I359">
        <v>0.63</v>
      </nc>
    </rcc>
    <rcc rId="0" sId="1">
      <nc r="J359">
        <v>25</v>
      </nc>
    </rcc>
    <rcc rId="0" sId="1">
      <nc r="K359">
        <v>0</v>
      </nc>
    </rcc>
    <rcc rId="0" sId="1" dxf="1" numFmtId="19">
      <nc r="L359">
        <v>46209.291666666664</v>
      </nc>
      <ndxf>
        <numFmt numFmtId="164" formatCode="mm\-dd\-yyyy"/>
      </ndxf>
    </rcc>
    <rcc rId="0" sId="1" dxf="1" numFmtId="19">
      <nc r="M359">
        <v>46209.326388888891</v>
      </nc>
      <ndxf>
        <numFmt numFmtId="164" formatCode="mm\-dd\-yyyy"/>
      </ndxf>
    </rcc>
    <rcc rId="0" sId="1">
      <nc r="N359" t="inlineStr">
        <is>
          <t>Not covered; SMI3/2319-PT-02</t>
        </is>
      </nc>
    </rcc>
    <rcc rId="0" sId="1">
      <nc r="AA359" t="inlineStr">
        <is>
          <t>1</t>
        </is>
      </nc>
    </rcc>
    <rcc rId="0" sId="1">
      <nc r="AB359" t="inlineStr">
        <is>
          <t>0</t>
        </is>
      </nc>
    </rcc>
  </rrc>
  <rrc rId="373" sId="1" ref="A360:XFD360" action="insertRow"/>
  <rm rId="374" sheetId="1" source="A377:XFD377" destination="A360:XFD360" sourceSheetId="1">
    <rfmt sheetId="1" xfDxf="1" sqref="A360:XFD360" start="0" length="0">
      <dxf/>
    </rfmt>
    <rfmt sheetId="1" sqref="L360" start="0" length="0">
      <dxf>
        <numFmt numFmtId="164" formatCode="mm\-dd\-yyyy"/>
      </dxf>
    </rfmt>
    <rfmt sheetId="1" sqref="M360" start="0" length="0">
      <dxf>
        <numFmt numFmtId="164" formatCode="mm\-dd\-yyyy"/>
      </dxf>
    </rfmt>
  </rm>
  <rrc rId="375" sId="1" ref="A377:XFD377" action="deleteRow">
    <rfmt sheetId="1" xfDxf="1" sqref="A377:XFD377" start="0" length="0"/>
    <rfmt sheetId="1" sqref="L377" start="0" length="0">
      <dxf>
        <numFmt numFmtId="164" formatCode="mm\-dd\-yyyy"/>
      </dxf>
    </rfmt>
    <rfmt sheetId="1" sqref="M377" start="0" length="0">
      <dxf>
        <numFmt numFmtId="164" formatCode="mm\-dd\-yyyy"/>
      </dxf>
    </rfmt>
  </rrc>
  <rrc rId="376" sId="1" ref="A361:XFD361" action="insertRow"/>
  <rcc rId="377" sId="1">
    <nc r="A361" t="inlineStr">
      <is>
        <t>Zone 2</t>
      </is>
    </nc>
  </rcc>
  <rcc rId="378" sId="1">
    <nc r="B361" t="inlineStr">
      <is>
        <t>Sub Assembly</t>
      </is>
    </nc>
  </rcc>
  <rcc rId="379" sId="1">
    <nc r="C361">
      <v>2</v>
    </nc>
  </rcc>
  <rcc rId="380" sId="1">
    <nc r="F361" t="inlineStr">
      <is>
        <t>SMI3/2312-PT-21</t>
      </is>
    </nc>
  </rcc>
  <rcc rId="381" sId="1">
    <nc r="G361" t="inlineStr">
      <is>
        <t>Oxy2 Pro Subassembly SLM 10'</t>
      </is>
    </nc>
  </rcc>
  <rcc rId="382" sId="1">
    <nc r="H361">
      <v>63</v>
    </nc>
  </rcc>
  <rcc rId="383" sId="1">
    <nc r="I361">
      <v>31.5</v>
    </nc>
  </rcc>
  <rcc rId="384" sId="1">
    <nc r="J361">
      <v>6300</v>
    </nc>
  </rcc>
  <rcc rId="385" sId="1">
    <nc r="K361">
      <v>0</v>
    </nc>
  </rcc>
  <rcc rId="386" sId="1" numFmtId="19">
    <nc r="L361">
      <v>46227.451388888891</v>
    </nc>
  </rcc>
  <rcc rId="387" sId="1" numFmtId="19">
    <nc r="M361">
      <v>46230.777777777781</v>
    </nc>
  </rcc>
  <rcc rId="388" sId="1">
    <nc r="AA361" t="inlineStr">
      <is>
        <t>1</t>
      </is>
    </nc>
  </rcc>
  <rcc rId="389" sId="1">
    <nc r="AB361" t="inlineStr">
      <is>
        <t>0</t>
      </is>
    </nc>
  </rcc>
  <rcc rId="390" sId="1">
    <nc r="E361" t="inlineStr">
      <is>
        <t>W1028083/1</t>
      </is>
    </nc>
  </rcc>
  <rrc rId="391" sId="1" ref="A362:XFD362" action="insertRow"/>
  <rm rId="392" sheetId="1" source="A364:XFD364" destination="A362:XFD362" sourceSheetId="1">
    <rfmt sheetId="1" xfDxf="1" sqref="A362:XFD362" start="0" length="0">
      <dxf/>
    </rfmt>
    <rfmt sheetId="1" sqref="L362" start="0" length="0">
      <dxf>
        <numFmt numFmtId="164" formatCode="mm\-dd\-yyyy"/>
      </dxf>
    </rfmt>
    <rfmt sheetId="1" sqref="M362" start="0" length="0">
      <dxf>
        <numFmt numFmtId="164" formatCode="mm\-dd\-yyyy"/>
      </dxf>
    </rfmt>
  </rm>
  <rcc rId="393" sId="1">
    <oc r="F362" t="inlineStr">
      <is>
        <t>SMI3/2257-PT-05</t>
      </is>
    </oc>
    <nc r="F362" t="inlineStr">
      <is>
        <t>SMI3/2257-PT-04</t>
      </is>
    </nc>
  </rcc>
  <rcc rId="394" sId="1">
    <oc r="E362" t="inlineStr">
      <is>
        <t>W1024589/1</t>
      </is>
    </oc>
    <nc r="E362" t="inlineStr">
      <is>
        <t>W1024551/1</t>
      </is>
    </nc>
  </rcc>
  <rcc rId="395" sId="1">
    <oc r="G362" t="inlineStr">
      <is>
        <t>Sub Assy - 15' Male to Male Luer</t>
      </is>
    </oc>
    <nc r="G362" t="inlineStr">
      <is>
        <t>Sub Assy - 8' Male to Male Luer</t>
      </is>
    </nc>
  </rcc>
  <rrc rId="396" sId="1" ref="A364:XFD370" action="insertRow"/>
  <rm rId="397" sheetId="1" source="A377:XFD383" destination="A364:XFD370" sourceSheetId="1">
    <rfmt sheetId="1" xfDxf="1" sqref="A364:XFD364" start="0" length="0">
      <dxf/>
    </rfmt>
    <rfmt sheetId="1" xfDxf="1" sqref="A365:XFD365" start="0" length="0">
      <dxf/>
    </rfmt>
    <rfmt sheetId="1" xfDxf="1" sqref="A366:XFD366" start="0" length="0">
      <dxf/>
    </rfmt>
    <rfmt sheetId="1" xfDxf="1" sqref="A367:XFD367" start="0" length="0">
      <dxf/>
    </rfmt>
    <rfmt sheetId="1" xfDxf="1" sqref="A368:XFD368" start="0" length="0">
      <dxf/>
    </rfmt>
    <rfmt sheetId="1" xfDxf="1" sqref="A369:XFD369" start="0" length="0">
      <dxf/>
    </rfmt>
    <rfmt sheetId="1" xfDxf="1" sqref="A370:XFD370" start="0" length="0">
      <dxf/>
    </rfmt>
    <rfmt sheetId="1" sqref="L364" start="0" length="0">
      <dxf>
        <numFmt numFmtId="164" formatCode="mm\-dd\-yyyy"/>
      </dxf>
    </rfmt>
    <rfmt sheetId="1" sqref="M364" start="0" length="0">
      <dxf>
        <numFmt numFmtId="164" formatCode="mm\-dd\-yyyy"/>
      </dxf>
    </rfmt>
    <rfmt sheetId="1" sqref="L365" start="0" length="0">
      <dxf>
        <numFmt numFmtId="164" formatCode="mm\-dd\-yyyy"/>
      </dxf>
    </rfmt>
    <rfmt sheetId="1" sqref="M365" start="0" length="0">
      <dxf>
        <numFmt numFmtId="164" formatCode="mm\-dd\-yyyy"/>
      </dxf>
    </rfmt>
    <rfmt sheetId="1" sqref="L366" start="0" length="0">
      <dxf>
        <numFmt numFmtId="164" formatCode="mm\-dd\-yyyy"/>
      </dxf>
    </rfmt>
    <rfmt sheetId="1" sqref="M366" start="0" length="0">
      <dxf>
        <numFmt numFmtId="164" formatCode="mm\-dd\-yyyy"/>
      </dxf>
    </rfmt>
    <rfmt sheetId="1" sqref="L367" start="0" length="0">
      <dxf>
        <numFmt numFmtId="164" formatCode="mm\-dd\-yyyy"/>
      </dxf>
    </rfmt>
    <rfmt sheetId="1" sqref="M367" start="0" length="0">
      <dxf>
        <numFmt numFmtId="164" formatCode="mm\-dd\-yyyy"/>
      </dxf>
    </rfmt>
    <rfmt sheetId="1" sqref="L368" start="0" length="0">
      <dxf>
        <numFmt numFmtId="164" formatCode="mm\-dd\-yyyy"/>
      </dxf>
    </rfmt>
    <rfmt sheetId="1" sqref="M368" start="0" length="0">
      <dxf>
        <numFmt numFmtId="164" formatCode="mm\-dd\-yyyy"/>
      </dxf>
    </rfmt>
    <rfmt sheetId="1" sqref="L369" start="0" length="0">
      <dxf>
        <numFmt numFmtId="164" formatCode="mm\-dd\-yyyy"/>
      </dxf>
    </rfmt>
    <rfmt sheetId="1" sqref="M369" start="0" length="0">
      <dxf>
        <numFmt numFmtId="164" formatCode="mm\-dd\-yyyy"/>
      </dxf>
    </rfmt>
    <rfmt sheetId="1" sqref="L370" start="0" length="0">
      <dxf>
        <numFmt numFmtId="164" formatCode="mm\-dd\-yyyy"/>
      </dxf>
    </rfmt>
    <rfmt sheetId="1" sqref="M370" start="0" length="0">
      <dxf>
        <numFmt numFmtId="164" formatCode="mm\-dd\-yyyy"/>
      </dxf>
    </rfmt>
  </rm>
  <rrc rId="398" sId="1" ref="A377:XFD377" action="deleteRow">
    <rfmt sheetId="1" xfDxf="1" sqref="A377:XFD377" start="0" length="0"/>
    <rfmt sheetId="1" sqref="L377" start="0" length="0">
      <dxf>
        <numFmt numFmtId="164" formatCode="mm\-dd\-yyyy"/>
      </dxf>
    </rfmt>
    <rfmt sheetId="1" sqref="M377" start="0" length="0">
      <dxf>
        <numFmt numFmtId="164" formatCode="mm\-dd\-yyyy"/>
      </dxf>
    </rfmt>
  </rrc>
  <rrc rId="399" sId="1" ref="A377:XFD377" action="deleteRow">
    <rfmt sheetId="1" xfDxf="1" sqref="A377:XFD377" start="0" length="0"/>
    <rfmt sheetId="1" sqref="L377" start="0" length="0">
      <dxf>
        <numFmt numFmtId="164" formatCode="mm\-dd\-yyyy"/>
      </dxf>
    </rfmt>
    <rfmt sheetId="1" sqref="M377" start="0" length="0">
      <dxf>
        <numFmt numFmtId="164" formatCode="mm\-dd\-yyyy"/>
      </dxf>
    </rfmt>
  </rrc>
  <rrc rId="400" sId="1" ref="A377:XFD377" action="deleteRow">
    <rfmt sheetId="1" xfDxf="1" sqref="A377:XFD377" start="0" length="0"/>
    <rfmt sheetId="1" sqref="L377" start="0" length="0">
      <dxf>
        <numFmt numFmtId="164" formatCode="mm\-dd\-yyyy"/>
      </dxf>
    </rfmt>
    <rfmt sheetId="1" sqref="M377" start="0" length="0">
      <dxf>
        <numFmt numFmtId="164" formatCode="mm\-dd\-yyyy"/>
      </dxf>
    </rfmt>
  </rrc>
  <rrc rId="401" sId="1" ref="A377:XFD377" action="deleteRow">
    <rfmt sheetId="1" xfDxf="1" sqref="A377:XFD377" start="0" length="0"/>
    <rfmt sheetId="1" sqref="L377" start="0" length="0">
      <dxf>
        <numFmt numFmtId="164" formatCode="mm\-dd\-yyyy"/>
      </dxf>
    </rfmt>
    <rfmt sheetId="1" sqref="M377" start="0" length="0">
      <dxf>
        <numFmt numFmtId="164" formatCode="mm\-dd\-yyyy"/>
      </dxf>
    </rfmt>
  </rrc>
  <rrc rId="402" sId="1" ref="A377:XFD377" action="deleteRow">
    <rfmt sheetId="1" xfDxf="1" sqref="A377:XFD377" start="0" length="0"/>
    <rfmt sheetId="1" sqref="L377" start="0" length="0">
      <dxf>
        <numFmt numFmtId="164" formatCode="mm\-dd\-yyyy"/>
      </dxf>
    </rfmt>
    <rfmt sheetId="1" sqref="M377" start="0" length="0">
      <dxf>
        <numFmt numFmtId="164" formatCode="mm\-dd\-yyyy"/>
      </dxf>
    </rfmt>
  </rrc>
  <rrc rId="403" sId="1" ref="A377:XFD377" action="deleteRow">
    <rfmt sheetId="1" xfDxf="1" sqref="A377:XFD377" start="0" length="0"/>
    <rfmt sheetId="1" sqref="L377" start="0" length="0">
      <dxf>
        <numFmt numFmtId="164" formatCode="mm\-dd\-yyyy"/>
      </dxf>
    </rfmt>
    <rfmt sheetId="1" sqref="M377" start="0" length="0">
      <dxf>
        <numFmt numFmtId="164" formatCode="mm\-dd\-yyyy"/>
      </dxf>
    </rfmt>
  </rrc>
  <rrc rId="404" sId="1" ref="A377:XFD377" action="deleteRow">
    <rfmt sheetId="1" xfDxf="1" sqref="A377:XFD377" start="0" length="0"/>
    <rfmt sheetId="1" sqref="L377" start="0" length="0">
      <dxf>
        <numFmt numFmtId="164" formatCode="mm\-dd\-yyyy"/>
      </dxf>
    </rfmt>
    <rfmt sheetId="1" sqref="M377" start="0" length="0">
      <dxf>
        <numFmt numFmtId="164" formatCode="mm\-dd\-yyyy"/>
      </dxf>
    </rfmt>
  </rrc>
  <rrc rId="405" sId="1" ref="A373:XFD373" action="deleteRow">
    <rfmt sheetId="1" xfDxf="1" sqref="A373:XFD373" start="0" length="0">
      <dxf/>
    </rfmt>
    <rcc rId="0" sId="1">
      <nc r="A373" t="inlineStr">
        <is>
          <t>Zone 2</t>
        </is>
      </nc>
    </rcc>
    <rcc rId="0" sId="1">
      <nc r="B373" t="inlineStr">
        <is>
          <t>Sub Assembly</t>
        </is>
      </nc>
    </rcc>
    <rcc rId="0" sId="1">
      <nc r="C373">
        <v>2</v>
      </nc>
    </rcc>
    <rcc rId="0" sId="1" dxf="1">
      <nc r="E373" t="inlineStr">
        <is>
          <t>W1029638/1</t>
        </is>
      </nc>
      <ndxf>
        <font>
          <b/>
          <sz val="11"/>
          <color theme="1"/>
          <name val="Aptos Narrow"/>
          <family val="2"/>
          <scheme val="minor"/>
        </font>
      </ndxf>
    </rcc>
    <rcc rId="0" sId="1">
      <nc r="F373" t="inlineStr">
        <is>
          <t>SMI3/2312-PT-51</t>
        </is>
      </nc>
    </rcc>
    <rcc rId="0" sId="1">
      <nc r="G373" t="inlineStr">
        <is>
          <t>Oxy II MDT Adult Subassembly</t>
        </is>
      </nc>
    </rcc>
    <rcc rId="0" sId="1">
      <nc r="H373">
        <v>43.5</v>
      </nc>
    </rcc>
    <rcc rId="0" sId="1">
      <nc r="I373">
        <v>6.5</v>
      </nc>
    </rcc>
    <rcc rId="0" sId="1">
      <nc r="J373">
        <v>4350</v>
      </nc>
    </rcc>
    <rcc rId="0" sId="1">
      <nc r="K373">
        <v>3050</v>
      </nc>
    </rcc>
    <rcc rId="0" sId="1" dxf="1" numFmtId="19">
      <nc r="L373">
        <v>46217.604166666664</v>
      </nc>
      <ndxf>
        <numFmt numFmtId="164" formatCode="mm\-dd\-yyyy"/>
      </ndxf>
    </rcc>
    <rcc rId="0" sId="1" dxf="1" numFmtId="19">
      <nc r="M373">
        <v>46217.868055555555</v>
      </nc>
      <ndxf>
        <numFmt numFmtId="164" formatCode="mm\-dd\-yyyy"/>
      </ndxf>
    </rcc>
    <rfmt sheetId="1" sqref="N373" start="0" length="0">
      <dxf>
        <font>
          <b/>
          <sz val="11"/>
          <color theme="1"/>
          <name val="Aptos Narrow"/>
          <family val="2"/>
          <scheme val="minor"/>
        </font>
      </dxf>
    </rfmt>
    <rcc rId="0" sId="1" dxf="1">
      <nc r="O373" t="inlineStr">
        <is>
          <t>P</t>
        </is>
      </nc>
      <ndxf>
        <font>
          <b/>
          <sz val="11"/>
          <color theme="1"/>
          <name val="Aptos Narrow"/>
          <family val="2"/>
          <scheme val="minor"/>
        </font>
      </ndxf>
    </rcc>
    <rfmt sheetId="1" sqref="P373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Q373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R373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S373" start="0" length="0">
      <dxf>
        <font>
          <b/>
          <sz val="11"/>
          <color theme="1"/>
          <name val="Aptos Narrow"/>
          <family val="2"/>
          <scheme val="minor"/>
        </font>
      </dxf>
    </rfmt>
    <rcc rId="0" sId="1">
      <nc r="AA373" t="inlineStr">
        <is>
          <t>1</t>
        </is>
      </nc>
    </rcc>
    <rcc rId="0" sId="1">
      <nc r="AB373" t="inlineStr">
        <is>
          <t>0</t>
        </is>
      </nc>
    </rcc>
  </rrc>
  <rm rId="406" sheetId="1" source="A372:XFD372" destination="A371:XFD371" sourceSheetId="1">
    <rfmt sheetId="1" xfDxf="1" sqref="A371:XFD371" start="0" length="0"/>
    <rfmt sheetId="1" sqref="L371" start="0" length="0">
      <dxf>
        <numFmt numFmtId="164" formatCode="mm\-dd\-yyyy"/>
      </dxf>
    </rfmt>
    <rfmt sheetId="1" sqref="M371" start="0" length="0">
      <dxf>
        <numFmt numFmtId="164" formatCode="mm\-dd\-yyyy"/>
      </dxf>
    </rfmt>
  </rm>
  <rrc rId="407" sId="1" ref="A372:XFD372" action="insertRow"/>
  <rm rId="408" sheetId="1" source="A379:XFD379" destination="A372:XFD372" sourceSheetId="1">
    <rfmt sheetId="1" xfDxf="1" sqref="A372:XFD372" start="0" length="0">
      <dxf/>
    </rfmt>
    <rfmt sheetId="1" sqref="L372" start="0" length="0">
      <dxf>
        <numFmt numFmtId="164" formatCode="mm\-dd\-yyyy"/>
      </dxf>
    </rfmt>
    <rfmt sheetId="1" sqref="M372" start="0" length="0">
      <dxf>
        <numFmt numFmtId="164" formatCode="mm\-dd\-yyyy"/>
      </dxf>
    </rfmt>
  </rm>
  <rrc rId="409" sId="1" ref="A373:XFD375" action="insertRow"/>
  <rcc rId="410" sId="1">
    <nc r="A373" t="inlineStr">
      <is>
        <t>Zone 2</t>
      </is>
    </nc>
  </rcc>
  <rcc rId="411" sId="1">
    <nc r="B373" t="inlineStr">
      <is>
        <t>Sub Assembly</t>
      </is>
    </nc>
  </rcc>
  <rcc rId="412" sId="1">
    <nc r="C373">
      <v>2</v>
    </nc>
  </rcc>
  <rcc rId="413" sId="1">
    <nc r="F373" t="inlineStr">
      <is>
        <t>SMI3/2312-PT-31</t>
      </is>
    </nc>
  </rcc>
  <rcc rId="414" sId="1">
    <nc r="G373" t="inlineStr">
      <is>
        <t>Oxy II EtCO2 Adult Subassembly SLF 8"</t>
      </is>
    </nc>
  </rcc>
  <rcc rId="415" sId="1">
    <nc r="H373">
      <v>63</v>
    </nc>
  </rcc>
  <rcc rId="416" sId="1">
    <nc r="I373">
      <v>31.5</v>
    </nc>
  </rcc>
  <rcc rId="417" sId="1">
    <nc r="J373">
      <v>6300</v>
    </nc>
  </rcc>
  <rcc rId="418" sId="1">
    <nc r="K373">
      <v>0</v>
    </nc>
  </rcc>
  <rcc rId="419" sId="1" numFmtId="19">
    <nc r="L373">
      <v>46230.784722222219</v>
    </nc>
  </rcc>
  <rcc rId="420" sId="1" numFmtId="19">
    <nc r="M373">
      <v>46232.111111111109</v>
    </nc>
  </rcc>
  <rcc rId="421" sId="1">
    <nc r="AA373" t="inlineStr">
      <is>
        <t>1</t>
      </is>
    </nc>
  </rcc>
  <rcc rId="422" sId="1">
    <nc r="AB373" t="inlineStr">
      <is>
        <t>0</t>
      </is>
    </nc>
  </rcc>
  <rcc rId="423" sId="1">
    <nc r="A374" t="inlineStr">
      <is>
        <t>Zone 2</t>
      </is>
    </nc>
  </rcc>
  <rcc rId="424" sId="1">
    <nc r="B374" t="inlineStr">
      <is>
        <t>Sub Assembly</t>
      </is>
    </nc>
  </rcc>
  <rcc rId="425" sId="1">
    <nc r="C374">
      <v>2</v>
    </nc>
  </rcc>
  <rcc rId="426" sId="1">
    <nc r="F374" t="inlineStr">
      <is>
        <t>SMI3/2312-PT-31</t>
      </is>
    </nc>
  </rcc>
  <rcc rId="427" sId="1">
    <nc r="G374" t="inlineStr">
      <is>
        <t>Oxy II EtCO2 Adult Subassembly SLF 8"</t>
      </is>
    </nc>
  </rcc>
  <rcc rId="428" sId="1">
    <nc r="H374">
      <v>63</v>
    </nc>
  </rcc>
  <rcc rId="429" sId="1">
    <nc r="I374">
      <v>31.5</v>
    </nc>
  </rcc>
  <rcc rId="430" sId="1">
    <nc r="J374">
      <v>6300</v>
    </nc>
  </rcc>
  <rcc rId="431" sId="1">
    <nc r="K374">
      <v>0</v>
    </nc>
  </rcc>
  <rcc rId="432" sId="1" numFmtId="19">
    <nc r="L374">
      <v>46230.784722222219</v>
    </nc>
  </rcc>
  <rcc rId="433" sId="1" numFmtId="19">
    <nc r="M374">
      <v>46232.111111111109</v>
    </nc>
  </rcc>
  <rcc rId="434" sId="1">
    <nc r="AA374" t="inlineStr">
      <is>
        <t>1</t>
      </is>
    </nc>
  </rcc>
  <rcc rId="435" sId="1">
    <nc r="AB374" t="inlineStr">
      <is>
        <t>0</t>
      </is>
    </nc>
  </rcc>
  <rcc rId="436" sId="1">
    <nc r="A375" t="inlineStr">
      <is>
        <t>Zone 2</t>
      </is>
    </nc>
  </rcc>
  <rcc rId="437" sId="1">
    <nc r="B375" t="inlineStr">
      <is>
        <t>Sub Assembly</t>
      </is>
    </nc>
  </rcc>
  <rcc rId="438" sId="1">
    <nc r="C375">
      <v>2</v>
    </nc>
  </rcc>
  <rcc rId="439" sId="1">
    <nc r="F375" t="inlineStr">
      <is>
        <t>SMI3/2312-PT-31</t>
      </is>
    </nc>
  </rcc>
  <rcc rId="440" sId="1">
    <nc r="G375" t="inlineStr">
      <is>
        <t>Oxy II EtCO2 Adult Subassembly SLF 8"</t>
      </is>
    </nc>
  </rcc>
  <rcc rId="441" sId="1">
    <nc r="H375">
      <v>63</v>
    </nc>
  </rcc>
  <rcc rId="442" sId="1">
    <nc r="I375">
      <v>31.5</v>
    </nc>
  </rcc>
  <rcc rId="443" sId="1">
    <nc r="J375">
      <v>6300</v>
    </nc>
  </rcc>
  <rcc rId="444" sId="1">
    <nc r="K375">
      <v>0</v>
    </nc>
  </rcc>
  <rcc rId="445" sId="1" numFmtId="19">
    <nc r="L375">
      <v>46230.784722222219</v>
    </nc>
  </rcc>
  <rcc rId="446" sId="1" numFmtId="19">
    <nc r="M375">
      <v>46232.111111111109</v>
    </nc>
  </rcc>
  <rcc rId="447" sId="1">
    <nc r="AA375" t="inlineStr">
      <is>
        <t>1</t>
      </is>
    </nc>
  </rcc>
  <rcc rId="448" sId="1">
    <nc r="AB375" t="inlineStr">
      <is>
        <t>0</t>
      </is>
    </nc>
  </rcc>
  <rcc rId="449" sId="1">
    <nc r="E373" t="inlineStr">
      <is>
        <t>W1025796/1</t>
      </is>
    </nc>
  </rcc>
  <rfmt sheetId="1" sqref="E373">
    <dxf>
      <border diagonalUp="0" diagonalDown="0" outline="0">
        <left/>
        <right/>
        <top/>
        <bottom/>
      </border>
    </dxf>
  </rfmt>
  <rcc rId="450" sId="1">
    <nc r="E374" t="inlineStr">
      <is>
        <t>W1025797/1</t>
      </is>
    </nc>
  </rcc>
  <rfmt sheetId="1" sqref="E374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451" sId="1">
    <nc r="E375" t="inlineStr">
      <is>
        <t>W1025798/1</t>
      </is>
    </nc>
  </rcc>
  <rfmt sheetId="1" sqref="E375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v guid="{A9066737-D214-4998-B3AE-C1B60D50E4FC}" action="delete"/>
  <rcv guid="{A9066737-D214-4998-B3AE-C1B60D50E4FC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52" sId="1" ref="A371:XFD371" action="insertRow"/>
  <rcc rId="453" sId="1">
    <nc r="A371" t="inlineStr">
      <is>
        <t>Zone 2</t>
      </is>
    </nc>
  </rcc>
  <rcc rId="454" sId="1">
    <nc r="B371" t="inlineStr">
      <is>
        <t>Sub Assembly</t>
      </is>
    </nc>
  </rcc>
  <rcc rId="455" sId="1">
    <nc r="C371">
      <v>1</v>
    </nc>
  </rcc>
  <rcc rId="456" sId="1">
    <nc r="F371" t="inlineStr">
      <is>
        <t>SMI3/2257-PT-04</t>
      </is>
    </nc>
  </rcc>
  <rcc rId="457" sId="1">
    <nc r="G371" t="inlineStr">
      <is>
        <t>Sub Assy - 8' Male to Male Luer</t>
      </is>
    </nc>
  </rcc>
  <rcc rId="458" sId="1">
    <nc r="H371">
      <v>63</v>
    </nc>
  </rcc>
  <rcc rId="459" sId="1">
    <nc r="I371">
      <v>63</v>
    </nc>
  </rcc>
  <rcc rId="460" sId="1">
    <nc r="J371">
      <v>6300</v>
    </nc>
  </rcc>
  <rcc rId="461" sId="1">
    <nc r="K371">
      <v>0</v>
    </nc>
  </rcc>
  <rcc rId="462" sId="1" numFmtId="19">
    <nc r="L371">
      <v>46211.625</v>
    </nc>
  </rcc>
  <rcc rId="463" sId="1" numFmtId="19">
    <nc r="M371">
      <v>46216.263888888891</v>
    </nc>
  </rcc>
  <rcc rId="464" sId="1">
    <nc r="AA371" t="inlineStr">
      <is>
        <t>1</t>
      </is>
    </nc>
  </rcc>
  <rcc rId="465" sId="1">
    <nc r="AB371" t="inlineStr">
      <is>
        <t>0</t>
      </is>
    </nc>
  </rcc>
  <rcc rId="466" sId="1">
    <nc r="E371" t="inlineStr">
      <is>
        <t>W1024552/1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714:XFD719">
    <dxf>
      <fill>
        <patternFill patternType="solid">
          <bgColor rgb="FF00B0F0"/>
        </patternFill>
      </fill>
    </dxf>
  </rfmt>
  <rfmt sheetId="1" sqref="A738:XFD738">
    <dxf>
      <fill>
        <patternFill patternType="solid">
          <bgColor rgb="FF00B0F0"/>
        </patternFill>
      </fill>
    </dxf>
  </rfmt>
  <rfmt sheetId="1" sqref="A754:XFD755">
    <dxf>
      <fill>
        <patternFill patternType="solid">
          <bgColor rgb="FF00B0F0"/>
        </patternFill>
      </fill>
    </dxf>
  </rfmt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67" sId="1">
    <nc r="F621" t="inlineStr">
      <is>
        <t>VER3/0130-1071BS</t>
      </is>
    </nc>
  </rcc>
  <rcc rId="468" sId="1">
    <nc r="G621" t="inlineStr">
      <is>
        <t>Titanium Lopro T4 Belt Sand</t>
      </is>
    </nc>
  </rcc>
  <rcc rId="469" sId="1">
    <nc r="J621">
      <v>48</v>
    </nc>
  </rcc>
  <rcc rId="470" sId="1">
    <nc r="K621">
      <v>0</v>
    </nc>
  </rcc>
  <rcc rId="471" sId="1">
    <nc r="F622" t="inlineStr">
      <is>
        <t>VER3/0130-1071BS</t>
      </is>
    </nc>
  </rcc>
  <rcc rId="472" sId="1">
    <nc r="G622" t="inlineStr">
      <is>
        <t>Titanium Lopro T4 Belt Sand</t>
      </is>
    </nc>
  </rcc>
  <rcc rId="473" sId="1">
    <nc r="K622">
      <v>0</v>
    </nc>
  </rcc>
  <rcc rId="474" sId="1">
    <nc r="J622">
      <v>16</v>
    </nc>
  </rcc>
  <rrc rId="475" sId="1" ref="A620:XFD620" action="insertRow"/>
  <rcc rId="476" sId="1" odxf="1" dxf="1">
    <nc r="F619" t="inlineStr">
      <is>
        <t>VER3/0130-1070BS</t>
      </is>
    </nc>
    <odxf/>
    <ndxf/>
  </rcc>
  <rcc rId="477" sId="1" odxf="1" dxf="1">
    <nc r="G619" t="inlineStr">
      <is>
        <t>Titanium Lopro T3 Belt Sand</t>
      </is>
    </nc>
    <odxf/>
    <ndxf/>
  </rcc>
  <rfmt sheetId="1" sqref="H619" start="0" length="0">
    <dxf/>
  </rfmt>
  <rfmt sheetId="1" sqref="I619" start="0" length="0">
    <dxf/>
  </rfmt>
  <rcc rId="478" sId="1" odxf="1" dxf="1">
    <nc r="J619">
      <v>48</v>
    </nc>
    <odxf/>
    <ndxf/>
  </rcc>
  <rcc rId="479" sId="1" odxf="1" dxf="1">
    <nc r="K619">
      <v>0</v>
    </nc>
    <odxf/>
    <ndxf/>
  </rcc>
  <rfmt sheetId="1" sqref="F620" start="0" length="0">
    <dxf/>
  </rfmt>
  <rfmt sheetId="1" sqref="G620" start="0" length="0">
    <dxf/>
  </rfmt>
  <rfmt sheetId="1" sqref="H620" start="0" length="0">
    <dxf/>
  </rfmt>
  <rfmt sheetId="1" sqref="I620" start="0" length="0">
    <dxf/>
  </rfmt>
  <rfmt sheetId="1" sqref="J620" start="0" length="0">
    <dxf/>
  </rfmt>
  <rcc rId="480" sId="1" odxf="1" dxf="1">
    <nc r="K620">
      <v>0</v>
    </nc>
    <odxf/>
    <ndxf/>
  </rcc>
  <rcc rId="481" sId="1">
    <nc r="F620" t="inlineStr">
      <is>
        <t>VER3/0130-1072BS</t>
      </is>
    </nc>
  </rcc>
  <rcc rId="482" sId="1">
    <nc r="G620" t="inlineStr">
      <is>
        <t>Titanium Mac T3 Belt Sand</t>
      </is>
    </nc>
  </rcc>
  <rfmt sheetId="1" sqref="G621" start="0" length="0">
    <dxf/>
  </rfmt>
  <rcc rId="483" sId="1">
    <nc r="G621" t="inlineStr">
      <is>
        <t>Titanium Mac T4 Belt Sand</t>
      </is>
    </nc>
  </rcc>
  <rcc rId="484" sId="1">
    <nc r="J620">
      <v>24</v>
    </nc>
  </rcc>
  <rcc rId="485" sId="1">
    <nc r="J621">
      <v>24</v>
    </nc>
  </rcc>
  <rfmt sheetId="1" sqref="J621">
    <dxf>
      <border diagonalUp="0" diagonalDown="0" outline="0">
        <left/>
        <right/>
        <top/>
        <bottom/>
      </border>
    </dxf>
  </rfmt>
  <rcc rId="486" sId="1">
    <nc r="K621">
      <v>0</v>
    </nc>
  </rcc>
  <rfmt sheetId="1" sqref="K621">
    <dxf>
      <border diagonalUp="0" diagonalDown="0" outline="0">
        <left/>
        <right/>
        <top/>
        <bottom/>
      </border>
    </dxf>
  </rfmt>
  <rfmt sheetId="1" sqref="F621" start="0" length="0">
    <dxf/>
  </rfmt>
  <rcc rId="487" sId="1">
    <nc r="F621" t="inlineStr">
      <is>
        <t>VER3/0130-1073BS</t>
      </is>
    </nc>
  </rcc>
  <rcc rId="488" sId="1" odxf="1" dxf="1">
    <nc r="F624" t="inlineStr">
      <is>
        <t>VER3/0130-1070BS</t>
      </is>
    </nc>
    <odxf/>
    <ndxf/>
  </rcc>
  <rcc rId="489" sId="1" odxf="1" dxf="1">
    <nc r="G624" t="inlineStr">
      <is>
        <t>Titanium Lopro T3 Belt Sand</t>
      </is>
    </nc>
    <odxf/>
    <ndxf/>
  </rcc>
  <rfmt sheetId="1" sqref="H624" start="0" length="0">
    <dxf/>
  </rfmt>
  <rfmt sheetId="1" sqref="I624" start="0" length="0">
    <dxf/>
  </rfmt>
  <rfmt sheetId="1" sqref="J624" start="0" length="0">
    <dxf/>
  </rfmt>
  <rcc rId="490" sId="1" odxf="1" dxf="1">
    <nc r="K624">
      <v>0</v>
    </nc>
    <odxf/>
    <ndxf/>
  </rcc>
  <rcc rId="491" sId="1">
    <nc r="J624">
      <v>32</v>
    </nc>
  </rcc>
  <rcc rId="492" sId="1">
    <nc r="E624" t="inlineStr">
      <is>
        <t>W1029950/1</t>
      </is>
    </nc>
  </rcc>
  <rcc rId="493" sId="1">
    <nc r="E619" t="inlineStr">
      <is>
        <t>W1028938/1</t>
      </is>
    </nc>
  </rcc>
  <rcc rId="494" sId="1">
    <nc r="E623" t="inlineStr">
      <is>
        <t>W1029953/1</t>
      </is>
    </nc>
  </rcc>
  <rcc rId="495" sId="1">
    <nc r="E622" t="inlineStr">
      <is>
        <t>W1028939/1</t>
      </is>
    </nc>
  </rcc>
  <rcc rId="496" sId="1">
    <nc r="E620" t="inlineStr">
      <is>
        <t>W1026164/1</t>
      </is>
    </nc>
  </rcc>
  <rcc rId="497" sId="1">
    <nc r="E621" t="inlineStr">
      <is>
        <t>W1027867/1</t>
      </is>
    </nc>
  </rcc>
  <rcc rId="498" sId="1">
    <nc r="A619" t="inlineStr">
      <is>
        <t>Zone 3</t>
      </is>
    </nc>
  </rcc>
  <rcc rId="499" sId="1">
    <nc r="B619" t="inlineStr">
      <is>
        <t>OP1 Tier 2</t>
      </is>
    </nc>
  </rcc>
  <rcc rId="500" sId="1">
    <nc r="C619">
      <v>1</v>
    </nc>
  </rcc>
  <rcc rId="501" sId="1">
    <nc r="A620" t="inlineStr">
      <is>
        <t>Zone 3</t>
      </is>
    </nc>
  </rcc>
  <rcc rId="502" sId="1">
    <nc r="B620" t="inlineStr">
      <is>
        <t>OP1 Tier 2</t>
      </is>
    </nc>
  </rcc>
  <rcc rId="503" sId="1">
    <nc r="C620">
      <v>1</v>
    </nc>
  </rcc>
  <rfmt sheetId="1" sqref="A621" start="0" length="0">
    <dxf/>
  </rfmt>
  <rfmt sheetId="1" sqref="B621" start="0" length="0">
    <dxf/>
  </rfmt>
  <rfmt sheetId="1" sqref="C621" start="0" length="0">
    <dxf/>
  </rfmt>
  <rfmt sheetId="1" sqref="D621" start="0" length="0">
    <dxf/>
  </rfmt>
  <rcc rId="504" sId="1" odxf="1" dxf="1">
    <nc r="A621" t="inlineStr">
      <is>
        <t>Zone 3</t>
      </is>
    </nc>
    <ndxf/>
  </rcc>
  <rcc rId="505" sId="1" odxf="1" dxf="1">
    <nc r="B621" t="inlineStr">
      <is>
        <t>OP1 Tier 2</t>
      </is>
    </nc>
    <ndxf/>
  </rcc>
  <rcc rId="506" sId="1" odxf="1" dxf="1">
    <nc r="C621">
      <v>1</v>
    </nc>
    <ndxf/>
  </rcc>
  <rfmt sheetId="1" sqref="D621" start="0" length="0">
    <dxf/>
  </rfmt>
  <rcc rId="507" sId="1">
    <nc r="A622" t="inlineStr">
      <is>
        <t>Zone 3</t>
      </is>
    </nc>
  </rcc>
  <rcc rId="508" sId="1">
    <nc r="B622" t="inlineStr">
      <is>
        <t>OP1 Tier 2</t>
      </is>
    </nc>
  </rcc>
  <rcc rId="509" sId="1">
    <nc r="C622">
      <v>1</v>
    </nc>
  </rcc>
  <rcc rId="510" sId="1" odxf="1" dxf="1">
    <nc r="A623" t="inlineStr">
      <is>
        <t>Zone 3</t>
      </is>
    </nc>
    <odxf/>
    <ndxf/>
  </rcc>
  <rcc rId="511" sId="1" odxf="1" dxf="1">
    <nc r="B623" t="inlineStr">
      <is>
        <t>OP1 Tier 2</t>
      </is>
    </nc>
    <odxf/>
    <ndxf/>
  </rcc>
  <rcc rId="512" sId="1" odxf="1" dxf="1">
    <nc r="C623">
      <v>1</v>
    </nc>
    <odxf/>
    <ndxf/>
  </rcc>
  <rfmt sheetId="1" sqref="D623" start="0" length="0">
    <dxf/>
  </rfmt>
  <rcc rId="513" sId="1">
    <nc r="A624" t="inlineStr">
      <is>
        <t>Zone 3</t>
      </is>
    </nc>
  </rcc>
  <rcc rId="514" sId="1">
    <nc r="B624" t="inlineStr">
      <is>
        <t>OP1 Tier 2</t>
      </is>
    </nc>
  </rcc>
  <rcc rId="515" sId="1">
    <nc r="C624">
      <v>1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16" sId="1" ref="A633:XFD633" action="insertRow"/>
  <rrc rId="517" sId="1" ref="A633:XFD633" action="insertRow"/>
  <rrc rId="518" sId="1" ref="A633:XFD634" action="insertRow"/>
  <rrc rId="519" sId="1" ref="A633:XFD634" action="insertRow"/>
  <rrc rId="520" sId="1" ref="A633:XFD634" action="insertRow"/>
  <rfmt sheetId="1" sqref="A632:XFD632" start="0" length="0">
    <dxf>
      <border>
        <bottom/>
      </border>
    </dxf>
  </rfmt>
  <rcc rId="521" sId="1" odxf="1" dxf="1">
    <nc r="A633" t="inlineStr">
      <is>
        <t>Zone 3</t>
      </is>
    </nc>
    <odxf/>
    <ndxf/>
  </rcc>
  <rcc rId="522" sId="1" odxf="1" dxf="1">
    <nc r="B633" t="inlineStr">
      <is>
        <t>OP1 Tier 2</t>
      </is>
    </nc>
    <odxf/>
    <ndxf/>
  </rcc>
  <rcc rId="523" sId="1" odxf="1" dxf="1">
    <nc r="C633">
      <v>1</v>
    </nc>
    <odxf/>
    <ndxf/>
  </rcc>
  <rfmt sheetId="1" sqref="D633" start="0" length="0">
    <dxf/>
  </rfmt>
  <rcc rId="524" sId="1" odxf="1" dxf="1">
    <nc r="E633" t="inlineStr">
      <is>
        <t>W1027865/1</t>
      </is>
    </nc>
    <odxf/>
    <ndxf/>
  </rcc>
  <rfmt sheetId="1" sqref="F633" start="0" length="0">
    <dxf/>
  </rfmt>
  <rfmt sheetId="1" sqref="G633" start="0" length="0">
    <dxf/>
  </rfmt>
  <rfmt sheetId="1" sqref="H633" start="0" length="0">
    <dxf/>
  </rfmt>
  <rfmt sheetId="1" sqref="I633" start="0" length="0">
    <dxf/>
  </rfmt>
  <rcc rId="525" sId="1" odxf="1" dxf="1">
    <nc r="J633">
      <v>48</v>
    </nc>
    <odxf/>
    <ndxf/>
  </rcc>
  <rcc rId="526" sId="1" odxf="1" dxf="1">
    <nc r="K633">
      <v>0</v>
    </nc>
    <odxf/>
    <ndxf/>
  </rcc>
  <rcc rId="527" sId="1" odxf="1" dxf="1">
    <nc r="A634" t="inlineStr">
      <is>
        <t>Zone 3</t>
      </is>
    </nc>
    <odxf/>
    <ndxf/>
  </rcc>
  <rcc rId="528" sId="1" odxf="1" dxf="1">
    <nc r="B634" t="inlineStr">
      <is>
        <t>OP1 Tier 2</t>
      </is>
    </nc>
    <odxf/>
    <ndxf/>
  </rcc>
  <rcc rId="529" sId="1" odxf="1" dxf="1">
    <nc r="C634">
      <v>1</v>
    </nc>
    <odxf/>
    <ndxf/>
  </rcc>
  <rfmt sheetId="1" sqref="D634" start="0" length="0">
    <dxf/>
  </rfmt>
  <rcc rId="530" sId="1" odxf="1" dxf="1">
    <nc r="E634" t="inlineStr">
      <is>
        <t>W1028938/1</t>
      </is>
    </nc>
    <odxf/>
    <ndxf/>
  </rcc>
  <rcc rId="531" sId="1">
    <nc r="J634">
      <v>48</v>
    </nc>
  </rcc>
  <rcc rId="532" sId="1">
    <nc r="K634">
      <v>0</v>
    </nc>
  </rcc>
  <rcc rId="533" sId="1" odxf="1" dxf="1">
    <nc r="A635" t="inlineStr">
      <is>
        <t>Zone 3</t>
      </is>
    </nc>
    <odxf/>
    <ndxf/>
  </rcc>
  <rcc rId="534" sId="1" odxf="1" dxf="1">
    <nc r="B635" t="inlineStr">
      <is>
        <t>OP1 Tier 2</t>
      </is>
    </nc>
    <odxf/>
    <ndxf/>
  </rcc>
  <rcc rId="535" sId="1" odxf="1" dxf="1">
    <nc r="C635">
      <v>1</v>
    </nc>
    <odxf/>
    <ndxf/>
  </rcc>
  <rfmt sheetId="1" sqref="D635" start="0" length="0">
    <dxf/>
  </rfmt>
  <rcc rId="536" sId="1" odxf="1" dxf="1">
    <nc r="E635" t="inlineStr">
      <is>
        <t>W1026164/1</t>
      </is>
    </nc>
    <odxf/>
    <ndxf/>
  </rcc>
  <rcc rId="537" sId="1">
    <nc r="J635">
      <v>24</v>
    </nc>
  </rcc>
  <rcc rId="538" sId="1">
    <nc r="K635">
      <v>0</v>
    </nc>
  </rcc>
  <rcc rId="539" sId="1" odxf="1" dxf="1">
    <nc r="A636" t="inlineStr">
      <is>
        <t>Zone 3</t>
      </is>
    </nc>
    <odxf/>
    <ndxf/>
  </rcc>
  <rcc rId="540" sId="1" odxf="1" dxf="1">
    <nc r="B636" t="inlineStr">
      <is>
        <t>OP1 Tier 2</t>
      </is>
    </nc>
    <odxf/>
    <ndxf/>
  </rcc>
  <rcc rId="541" sId="1" odxf="1" dxf="1">
    <nc r="C636">
      <v>1</v>
    </nc>
    <odxf/>
    <ndxf/>
  </rcc>
  <rfmt sheetId="1" sqref="D636" start="0" length="0">
    <dxf/>
  </rfmt>
  <rcc rId="542" sId="1" odxf="1" dxf="1">
    <nc r="E636" t="inlineStr">
      <is>
        <t>W1027867/1</t>
      </is>
    </nc>
    <odxf/>
    <ndxf/>
  </rcc>
  <rfmt sheetId="1" sqref="H636" start="0" length="0">
    <dxf/>
  </rfmt>
  <rfmt sheetId="1" sqref="I636" start="0" length="0">
    <dxf/>
  </rfmt>
  <rcc rId="543" sId="1" odxf="1" dxf="1">
    <nc r="J636">
      <v>24</v>
    </nc>
    <odxf/>
    <ndxf/>
  </rcc>
  <rcc rId="544" sId="1" odxf="1" dxf="1">
    <nc r="K636">
      <v>0</v>
    </nc>
    <odxf/>
    <ndxf/>
  </rcc>
  <rcc rId="545" sId="1" odxf="1" dxf="1">
    <nc r="A637" t="inlineStr">
      <is>
        <t>Zone 3</t>
      </is>
    </nc>
    <odxf/>
    <ndxf/>
  </rcc>
  <rcc rId="546" sId="1" odxf="1" dxf="1">
    <nc r="B637" t="inlineStr">
      <is>
        <t>OP1 Tier 2</t>
      </is>
    </nc>
    <odxf/>
    <ndxf/>
  </rcc>
  <rcc rId="547" sId="1" odxf="1" dxf="1">
    <nc r="C637">
      <v>1</v>
    </nc>
    <odxf/>
    <ndxf/>
  </rcc>
  <rfmt sheetId="1" sqref="D637" start="0" length="0">
    <dxf/>
  </rfmt>
  <rcc rId="548" sId="1" odxf="1" dxf="1">
    <nc r="E637" t="inlineStr">
      <is>
        <t>W1028939/1</t>
      </is>
    </nc>
    <odxf/>
    <ndxf/>
  </rcc>
  <rfmt sheetId="1" sqref="F637" start="0" length="0">
    <dxf/>
  </rfmt>
  <rfmt sheetId="1" sqref="G637" start="0" length="0">
    <dxf/>
  </rfmt>
  <rfmt sheetId="1" sqref="H637" start="0" length="0">
    <dxf/>
  </rfmt>
  <rfmt sheetId="1" sqref="I637" start="0" length="0">
    <dxf/>
  </rfmt>
  <rcc rId="549" sId="1" odxf="1" dxf="1">
    <nc r="J637">
      <v>48</v>
    </nc>
    <odxf/>
    <ndxf/>
  </rcc>
  <rcc rId="550" sId="1" odxf="1" dxf="1">
    <nc r="K637">
      <v>0</v>
    </nc>
    <odxf/>
    <ndxf/>
  </rcc>
  <rcc rId="551" sId="1">
    <nc r="A638" t="inlineStr">
      <is>
        <t>Zone 3</t>
      </is>
    </nc>
  </rcc>
  <rcc rId="552" sId="1">
    <nc r="B638" t="inlineStr">
      <is>
        <t>OP1 Tier 2</t>
      </is>
    </nc>
  </rcc>
  <rcc rId="553" sId="1">
    <nc r="C638">
      <v>1</v>
    </nc>
  </rcc>
  <rcc rId="554" sId="1" odxf="1" dxf="1">
    <nc r="E638" t="inlineStr">
      <is>
        <t>W1029953/1</t>
      </is>
    </nc>
    <odxf/>
    <ndxf/>
  </rcc>
  <rfmt sheetId="1" sqref="F638" start="0" length="0">
    <dxf/>
  </rfmt>
  <rfmt sheetId="1" sqref="G638" start="0" length="0">
    <dxf/>
  </rfmt>
  <rfmt sheetId="1" sqref="H638" start="0" length="0">
    <dxf/>
  </rfmt>
  <rfmt sheetId="1" sqref="I638" start="0" length="0">
    <dxf/>
  </rfmt>
  <rcc rId="555" sId="1" odxf="1" dxf="1">
    <nc r="J638">
      <v>16</v>
    </nc>
    <odxf/>
    <ndxf/>
  </rcc>
  <rcc rId="556" sId="1" odxf="1" dxf="1">
    <nc r="K638">
      <v>0</v>
    </nc>
    <odxf/>
    <ndxf/>
  </rcc>
  <rcc rId="557" sId="1" odxf="1" dxf="1">
    <nc r="A639" t="inlineStr">
      <is>
        <t>Zone 3</t>
      </is>
    </nc>
    <odxf/>
    <ndxf/>
  </rcc>
  <rcc rId="558" sId="1" odxf="1" dxf="1">
    <nc r="B639" t="inlineStr">
      <is>
        <t>OP1 Tier 2</t>
      </is>
    </nc>
    <odxf/>
    <ndxf/>
  </rcc>
  <rcc rId="559" sId="1" odxf="1" dxf="1">
    <nc r="C639">
      <v>1</v>
    </nc>
    <odxf/>
    <ndxf/>
  </rcc>
  <rfmt sheetId="1" sqref="D639" start="0" length="0">
    <dxf/>
  </rfmt>
  <rcc rId="560" sId="1" odxf="1" dxf="1">
    <nc r="E639" t="inlineStr">
      <is>
        <t>W1029950/1</t>
      </is>
    </nc>
    <odxf/>
    <ndxf/>
  </rcc>
  <rcc rId="561" sId="1">
    <nc r="J639">
      <v>32</v>
    </nc>
  </rcc>
  <rcc rId="562" sId="1">
    <nc r="K639">
      <v>0</v>
    </nc>
  </rcc>
  <rrc rId="563" sId="1" ref="A625:XFD625" action="deleteRow">
    <rfmt sheetId="1" xfDxf="1" sqref="A625:XFD625" start="0" length="0">
      <dxf/>
    </rfmt>
    <rfmt sheetId="1" sqref="A625" start="0" length="0">
      <dxf/>
    </rfmt>
    <rfmt sheetId="1" sqref="B625" start="0" length="0">
      <dxf/>
    </rfmt>
    <rfmt sheetId="1" sqref="C625" start="0" length="0">
      <dxf/>
    </rfmt>
    <rfmt sheetId="1" sqref="D625" start="0" length="0">
      <dxf/>
    </rfmt>
    <rfmt sheetId="1" sqref="E625" start="0" length="0">
      <dxf/>
    </rfmt>
    <rfmt sheetId="1" sqref="F625" start="0" length="0">
      <dxf/>
    </rfmt>
    <rfmt sheetId="1" sqref="G625" start="0" length="0">
      <dxf/>
    </rfmt>
    <rfmt sheetId="1" sqref="H625" start="0" length="0">
      <dxf/>
    </rfmt>
    <rfmt sheetId="1" sqref="I625" start="0" length="0">
      <dxf/>
    </rfmt>
    <rfmt sheetId="1" sqref="J625" start="0" length="0">
      <dxf/>
    </rfmt>
    <rfmt sheetId="1" sqref="K625" start="0" length="0">
      <dxf/>
    </rfmt>
    <rfmt sheetId="1" sqref="L625" start="0" length="0">
      <dxf>
        <numFmt numFmtId="164" formatCode="mm\-dd\-yyyy"/>
      </dxf>
    </rfmt>
    <rfmt sheetId="1" sqref="M625" start="0" length="0">
      <dxf>
        <numFmt numFmtId="164" formatCode="mm\-dd\-yyyy"/>
      </dxf>
    </rfmt>
  </rrc>
  <rcc rId="564" sId="1">
    <nc r="F632" t="inlineStr">
      <is>
        <t>VER1/0130-1071</t>
      </is>
    </nc>
  </rcc>
  <rcc rId="565" sId="1">
    <nc r="G632" t="inlineStr">
      <is>
        <t>Titanium Lopro T4 Shell</t>
      </is>
    </nc>
  </rcc>
  <rcc rId="566" sId="1">
    <nc r="F636" t="inlineStr">
      <is>
        <t>VER1/0130-1071</t>
      </is>
    </nc>
  </rcc>
  <rcc rId="567" sId="1">
    <nc r="G636" t="inlineStr">
      <is>
        <t>Titanium Lopro T4 Shell</t>
      </is>
    </nc>
  </rcc>
  <rcc rId="568" sId="1">
    <nc r="F637" t="inlineStr">
      <is>
        <t>VER1/0130-1071</t>
      </is>
    </nc>
  </rcc>
  <rcc rId="569" sId="1">
    <nc r="G637" t="inlineStr">
      <is>
        <t>Titanium Lopro T4 Shell</t>
      </is>
    </nc>
  </rcc>
  <rcc rId="570" sId="1">
    <nc r="F638" t="inlineStr">
      <is>
        <t>VER1/0143-0002</t>
      </is>
    </nc>
  </rcc>
  <rcc rId="571" sId="1">
    <nc r="G638" t="inlineStr">
      <is>
        <t>Titanium Lopro T3 Shell</t>
      </is>
    </nc>
  </rcc>
  <rcc rId="572" sId="1">
    <nc r="F633" t="inlineStr">
      <is>
        <t>VER1/0143-0002</t>
      </is>
    </nc>
  </rcc>
  <rcc rId="573" sId="1">
    <nc r="G633" t="inlineStr">
      <is>
        <t>Titanium Lopro T3 Shell</t>
      </is>
    </nc>
  </rcc>
  <rcc rId="574" sId="1">
    <nc r="F634" t="inlineStr">
      <is>
        <t>VER1/0130-1072</t>
      </is>
    </nc>
  </rcc>
  <rcc rId="575" sId="1">
    <nc r="F635" t="inlineStr">
      <is>
        <t>VER1/0130-1073</t>
      </is>
    </nc>
  </rcc>
  <rcc rId="576" sId="1">
    <nc r="G634" t="inlineStr">
      <is>
        <t>Titanium Mac T3 Shell</t>
      </is>
    </nc>
  </rcc>
  <rcc rId="577" sId="1">
    <nc r="G635" t="inlineStr">
      <is>
        <t>Titanium Mac T4 Shell</t>
      </is>
    </nc>
  </rcc>
  <rfmt sheetId="1" sqref="A624:XFD624" start="0" length="0">
    <dxf>
      <border>
        <bottom style="medium">
          <color indexed="64"/>
        </bottom>
      </border>
    </dxf>
  </rfmt>
  <rrc rId="578" sId="1" ref="A639:XFD639" action="deleteRow">
    <rfmt sheetId="1" xfDxf="1" sqref="A639:XFD639" start="0" length="0">
      <dxf/>
    </rfmt>
    <rfmt sheetId="1" sqref="L639" start="0" length="0">
      <dxf>
        <numFmt numFmtId="164" formatCode="mm\-dd\-yyyy"/>
      </dxf>
    </rfmt>
    <rfmt sheetId="1" sqref="M639" start="0" length="0">
      <dxf>
        <numFmt numFmtId="164" formatCode="mm\-dd\-yyyy"/>
      </dxf>
    </rfmt>
  </rrc>
  <rfmt sheetId="1" sqref="A638:XFD638" start="0" length="0">
    <dxf>
      <border>
        <bottom style="medium">
          <color indexed="64"/>
        </bottom>
      </border>
    </dxf>
  </rfmt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9" sId="1">
    <oc r="E632" t="inlineStr">
      <is>
        <t>W1027865/1</t>
      </is>
    </oc>
    <nc r="E632" t="inlineStr">
      <is>
        <t>W1027865/FG</t>
      </is>
    </nc>
  </rcc>
  <rcc rId="580" sId="1">
    <oc r="E633" t="inlineStr">
      <is>
        <t>W1028938/1</t>
      </is>
    </oc>
    <nc r="E633" t="inlineStr">
      <is>
        <t>W1028938/FG</t>
      </is>
    </nc>
  </rcc>
  <rcc rId="581" sId="1">
    <oc r="E634" t="inlineStr">
      <is>
        <t>W1026164/1</t>
      </is>
    </oc>
    <nc r="E634" t="inlineStr">
      <is>
        <t>W1026164/FG</t>
      </is>
    </nc>
  </rcc>
  <rcc rId="582" sId="1">
    <oc r="E636" t="inlineStr">
      <is>
        <t>W1028939/1</t>
      </is>
    </oc>
    <nc r="E636" t="inlineStr">
      <is>
        <t>W1028939/FG</t>
      </is>
    </nc>
  </rcc>
  <rcc rId="583" sId="1">
    <oc r="E635" t="inlineStr">
      <is>
        <t>W1027867/1</t>
      </is>
    </oc>
    <nc r="E635" t="inlineStr">
      <is>
        <t>W1027867/FG</t>
      </is>
    </nc>
  </rcc>
  <rcc rId="584" sId="1">
    <oc r="E637" t="inlineStr">
      <is>
        <t>W1029953/1</t>
      </is>
    </oc>
    <nc r="E637" t="inlineStr">
      <is>
        <t>W1029953/FG</t>
      </is>
    </nc>
  </rcc>
  <rcc rId="585" sId="1">
    <oc r="E638" t="inlineStr">
      <is>
        <t>W1029950/1</t>
      </is>
    </oc>
    <nc r="E638" t="inlineStr">
      <is>
        <t>W1029950/FG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818:XFD818" start="0" length="0">
    <dxf>
      <border>
        <bottom style="thin">
          <color indexed="64"/>
        </bottom>
      </border>
    </dxf>
  </rfmt>
  <rfmt sheetId="1" sqref="A814:XFD814" start="0" length="0">
    <dxf>
      <border>
        <bottom style="thin">
          <color indexed="64"/>
        </bottom>
      </border>
    </dxf>
  </rfmt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86" sId="1" ref="A815:XFD815" action="deleteRow">
    <rfmt sheetId="1" xfDxf="1" sqref="A815:XFD815" start="0" length="0">
      <dxf/>
    </rfmt>
    <rcc rId="0" sId="1">
      <nc r="A815" t="inlineStr">
        <is>
          <t>Zone 4</t>
        </is>
      </nc>
    </rcc>
    <rcc rId="0" sId="1">
      <nc r="B815">
        <v>49</v>
      </nc>
    </rcc>
    <rcc rId="0" sId="1">
      <nc r="C815">
        <v>2</v>
      </nc>
    </rcc>
    <rcc rId="0" sId="1">
      <nc r="E815" t="inlineStr">
        <is>
          <t>W1029476/VAL</t>
        </is>
      </nc>
    </rcc>
    <rcc rId="0" sId="1">
      <nc r="F815" t="inlineStr">
        <is>
          <t>VER3/0142-0840-BA</t>
        </is>
      </nc>
    </rcc>
    <rcc rId="0" sId="1">
      <nc r="G815" t="inlineStr">
        <is>
          <t>Single Use Gliderite Stylet Santoprene</t>
        </is>
      </nc>
    </rcc>
    <rcc rId="0" sId="1">
      <nc r="H815">
        <v>5.26</v>
      </nc>
    </rcc>
    <rcc rId="0" sId="1">
      <nc r="I815">
        <v>2.11</v>
      </nc>
    </rcc>
    <rcc rId="0" sId="1">
      <nc r="J815">
        <v>1000</v>
      </nc>
    </rcc>
    <rcc rId="0" sId="1">
      <nc r="K815">
        <v>199</v>
      </nc>
    </rcc>
    <rcc rId="0" sId="1" dxf="1" numFmtId="19">
      <nc r="L815">
        <v>46208.958333333336</v>
      </nc>
      <ndxf>
        <numFmt numFmtId="164" formatCode="mm\-dd\-yyyy"/>
      </ndxf>
    </rcc>
    <rcc rId="0" sId="1" dxf="1" numFmtId="19">
      <nc r="M815">
        <v>46209.041666666664</v>
      </nc>
      <ndxf>
        <numFmt numFmtId="164" formatCode="mm\-dd\-yyyy"/>
      </ndxf>
    </rcc>
    <rcc rId="0" sId="1">
      <nc r="AA815" t="inlineStr">
        <is>
          <t>VAL</t>
        </is>
      </nc>
    </rcc>
    <rcc rId="0" sId="1">
      <nc r="AB815" t="inlineStr">
        <is>
          <t>0</t>
        </is>
      </nc>
    </rcc>
  </rrc>
  <rrc rId="587" sId="1" ref="A815:XFD815" action="deleteRow">
    <rfmt sheetId="1" xfDxf="1" sqref="A815:XFD815" start="0" length="0">
      <dxf/>
    </rfmt>
    <rcc rId="0" sId="1">
      <nc r="A815" t="inlineStr">
        <is>
          <t>Zone 4</t>
        </is>
      </nc>
    </rcc>
    <rcc rId="0" sId="1">
      <nc r="B815">
        <v>49</v>
      </nc>
    </rcc>
    <rcc rId="0" sId="1">
      <nc r="C815">
        <v>2</v>
      </nc>
    </rcc>
    <rcc rId="0" sId="1">
      <nc r="E815" t="inlineStr">
        <is>
          <t>W1029477/VAL</t>
        </is>
      </nc>
    </rcc>
    <rcc rId="0" sId="1">
      <nc r="F815" t="inlineStr">
        <is>
          <t>VER3/0142-0840-BA</t>
        </is>
      </nc>
    </rcc>
    <rcc rId="0" sId="1">
      <nc r="G815" t="inlineStr">
        <is>
          <t>Single Use Gliderite Stylet Santoprene</t>
        </is>
      </nc>
    </rcc>
    <rcc rId="0" sId="1">
      <nc r="H815">
        <v>5.26</v>
      </nc>
    </rcc>
    <rcc rId="0" sId="1">
      <nc r="I815">
        <v>2.16</v>
      </nc>
    </rcc>
    <rcc rId="0" sId="1">
      <nc r="J815">
        <v>1000</v>
      </nc>
    </rcc>
    <rcc rId="0" sId="1">
      <nc r="K815">
        <v>180</v>
      </nc>
    </rcc>
    <rcc rId="0" sId="1" dxf="1" numFmtId="19">
      <nc r="L815">
        <v>46209.048611111109</v>
      </nc>
      <ndxf>
        <numFmt numFmtId="164" formatCode="mm\-dd\-yyyy"/>
      </ndxf>
    </rcc>
    <rcc rId="0" sId="1" dxf="1" numFmtId="19">
      <nc r="M815">
        <v>46209.131944444445</v>
      </nc>
      <ndxf>
        <numFmt numFmtId="164" formatCode="mm\-dd\-yyyy"/>
      </ndxf>
    </rcc>
    <rcc rId="0" sId="1">
      <nc r="AA815" t="inlineStr">
        <is>
          <t>VAL</t>
        </is>
      </nc>
    </rcc>
    <rcc rId="0" sId="1">
      <nc r="AB815" t="inlineStr">
        <is>
          <t>0</t>
        </is>
      </nc>
    </rcc>
  </rrc>
  <rrc rId="588" sId="1" ref="A815:XFD815" action="deleteRow">
    <rfmt sheetId="1" xfDxf="1" sqref="A815:XFD815" start="0" length="0">
      <dxf/>
    </rfmt>
    <rcc rId="0" sId="1">
      <nc r="A815" t="inlineStr">
        <is>
          <t>Zone 4</t>
        </is>
      </nc>
    </rcc>
    <rcc rId="0" sId="1">
      <nc r="B815">
        <v>49</v>
      </nc>
    </rcc>
    <rcc rId="0" sId="1">
      <nc r="C815">
        <v>2</v>
      </nc>
    </rcc>
    <rcc rId="0" sId="1">
      <nc r="E815" t="inlineStr">
        <is>
          <t>W1029478/VAL</t>
        </is>
      </nc>
    </rcc>
    <rcc rId="0" sId="1">
      <nc r="F815" t="inlineStr">
        <is>
          <t>VER3/0142-0840-BA</t>
        </is>
      </nc>
    </rcc>
    <rcc rId="0" sId="1">
      <nc r="G815" t="inlineStr">
        <is>
          <t>Single Use Gliderite Stylet Santoprene</t>
        </is>
      </nc>
    </rcc>
    <rcc rId="0" sId="1">
      <nc r="H815">
        <v>5.26</v>
      </nc>
    </rcc>
    <rcc rId="0" sId="1">
      <nc r="I815">
        <v>2.1</v>
      </nc>
    </rcc>
    <rcc rId="0" sId="1">
      <nc r="J815">
        <v>1000</v>
      </nc>
    </rcc>
    <rcc rId="0" sId="1">
      <nc r="K815">
        <v>200</v>
      </nc>
    </rcc>
    <rcc rId="0" sId="1" dxf="1" numFmtId="19">
      <nc r="L815">
        <v>46209.138888888891</v>
      </nc>
      <ndxf>
        <numFmt numFmtId="164" formatCode="mm\-dd\-yyyy"/>
      </ndxf>
    </rcc>
    <rcc rId="0" sId="1" dxf="1" numFmtId="19">
      <nc r="M815">
        <v>46209.222222222219</v>
      </nc>
      <ndxf>
        <numFmt numFmtId="164" formatCode="mm\-dd\-yyyy"/>
      </ndxf>
    </rcc>
    <rcc rId="0" sId="1">
      <nc r="AA815" t="inlineStr">
        <is>
          <t>VAL</t>
        </is>
      </nc>
    </rcc>
    <rcc rId="0" sId="1">
      <nc r="AB815" t="inlineStr">
        <is>
          <t>0</t>
        </is>
      </nc>
    </rcc>
  </rr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315:XFD315">
    <dxf>
      <fill>
        <patternFill>
          <bgColor theme="8" tint="0.39997558519241921"/>
        </patternFill>
      </fill>
    </dxf>
  </rfmt>
  <rrc rId="589" sId="1" ref="A314:XFD314" action="deleteRow">
    <rfmt sheetId="1" xfDxf="1" sqref="A314:XFD314" start="0" length="0"/>
    <rcc rId="0" sId="1">
      <nc r="A314" t="inlineStr">
        <is>
          <t>Zone 2</t>
        </is>
      </nc>
    </rcc>
    <rcc rId="0" sId="1">
      <nc r="B314" t="inlineStr">
        <is>
          <t>Capnoxygen Line</t>
        </is>
      </nc>
    </rcc>
    <rcc rId="0" sId="1">
      <nc r="C314">
        <v>5</v>
      </nc>
    </rcc>
    <rcc rId="0" sId="1" dxf="1">
      <nc r="E314" t="inlineStr">
        <is>
          <t>W1024469/1</t>
        </is>
      </nc>
      <ndxf>
        <font>
          <b/>
          <sz val="11"/>
          <color theme="1"/>
          <name val="Aptos Narrow"/>
          <family val="2"/>
          <scheme val="minor"/>
        </font>
      </ndxf>
    </rcc>
    <rcc rId="0" sId="1">
      <nc r="F314" t="inlineStr">
        <is>
          <t>SMI1/CO2-01-SLM</t>
        </is>
      </nc>
    </rcc>
    <rcc rId="0" sId="1">
      <nc r="G314" t="inlineStr">
        <is>
          <t>CAPNOXYGEN MASK With Sampling Line Male</t>
        </is>
      </nc>
    </rcc>
    <rcc rId="0" sId="1">
      <nc r="H314">
        <v>315</v>
      </nc>
    </rcc>
    <rcc rId="0" sId="1">
      <nc r="I314">
        <v>7.75</v>
      </nc>
    </rcc>
    <rcc rId="0" sId="1">
      <nc r="J314">
        <v>252</v>
      </nc>
    </rcc>
    <rcc rId="0" sId="1">
      <nc r="K314">
        <v>221</v>
      </nc>
    </rcc>
    <rcc rId="0" sId="1" dxf="1" numFmtId="19">
      <nc r="L314">
        <v>46208.958333333336</v>
      </nc>
      <ndxf>
        <numFmt numFmtId="164" formatCode="mm\-dd\-yyyy"/>
      </ndxf>
    </rcc>
    <rcc rId="0" sId="1" dxf="1" numFmtId="19">
      <nc r="M314">
        <v>46209.277777777781</v>
      </nc>
      <ndxf>
        <numFmt numFmtId="164" formatCode="mm\-dd\-yyyy"/>
      </ndxf>
    </rcc>
    <rfmt sheetId="1" sqref="N314" start="0" length="0">
      <dxf>
        <font>
          <b/>
          <sz val="11"/>
          <color theme="1"/>
          <name val="Aptos Narrow"/>
          <family val="2"/>
          <scheme val="minor"/>
        </font>
      </dxf>
    </rfmt>
    <rcc rId="0" sId="1" dxf="1">
      <nc r="O314" t="inlineStr">
        <is>
          <t>P</t>
        </is>
      </nc>
      <ndxf>
        <font>
          <b/>
          <sz val="11"/>
          <color theme="1"/>
          <name val="Aptos Narrow"/>
          <family val="2"/>
          <scheme val="minor"/>
        </font>
      </ndxf>
    </rcc>
    <rfmt sheetId="1" sqref="P314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Q314" start="0" length="0">
      <dxf>
        <font>
          <b/>
          <sz val="11"/>
          <color theme="1"/>
          <name val="Aptos Narrow"/>
          <family val="2"/>
          <scheme val="minor"/>
        </font>
        <numFmt numFmtId="19" formatCode="mm/dd/yyyy"/>
      </dxf>
    </rfmt>
    <rfmt sheetId="1" sqref="R314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S314" start="0" length="0">
      <dxf>
        <font>
          <b/>
          <sz val="11"/>
          <color theme="1"/>
          <name val="Aptos Narrow"/>
          <family val="2"/>
          <scheme val="minor"/>
        </font>
      </dxf>
    </rfmt>
    <rcc rId="0" sId="1">
      <nc r="AA314" t="inlineStr">
        <is>
          <t>1</t>
        </is>
      </nc>
    </rcc>
    <rcc rId="0" sId="1">
      <nc r="AB314" t="inlineStr">
        <is>
          <t>0</t>
        </is>
      </nc>
    </rcc>
  </rrc>
  <rfmt sheetId="1" sqref="A326:XFD326">
    <dxf>
      <fill>
        <patternFill patternType="solid">
          <bgColor theme="8" tint="0.39997558519241921"/>
        </patternFill>
      </fill>
    </dxf>
  </rfmt>
  <rfmt sheetId="1" sqref="A331:XFD331">
    <dxf>
      <fill>
        <patternFill patternType="solid">
          <bgColor theme="8" tint="0.39997558519241921"/>
        </patternFill>
      </fill>
    </dxf>
  </rfmt>
  <rfmt sheetId="1" sqref="A341:XFD341">
    <dxf>
      <fill>
        <patternFill patternType="solid">
          <bgColor theme="8" tint="0.39997558519241921"/>
        </patternFill>
      </fill>
    </dxf>
  </rfmt>
  <rfmt sheetId="1" sqref="A352:XFD352">
    <dxf>
      <fill>
        <patternFill patternType="solid">
          <bgColor theme="8" tint="0.39997558519241921"/>
        </patternFill>
      </fill>
    </dxf>
  </rfmt>
  <rrc rId="590" sId="1" ref="A315:XFD315" action="insertRow"/>
  <rfmt sheetId="1" sqref="A315:XFD315">
    <dxf>
      <fill>
        <patternFill patternType="none">
          <bgColor auto="1"/>
        </patternFill>
      </fill>
    </dxf>
  </rfmt>
  <rcc rId="591" sId="1" odxf="1">
    <nc r="A315" t="inlineStr">
      <is>
        <t>Zone 2</t>
      </is>
    </nc>
    <odxf/>
  </rcc>
  <rcc rId="592" sId="1" odxf="1">
    <nc r="B315" t="inlineStr">
      <is>
        <t>Capnoxygen Line</t>
      </is>
    </nc>
    <odxf/>
  </rcc>
  <rcc rId="593" sId="1" odxf="1">
    <nc r="C315">
      <v>5</v>
    </nc>
    <odxf/>
  </rcc>
  <rcc rId="594" sId="1" odxf="1">
    <nc r="H315">
      <v>315</v>
    </nc>
    <odxf/>
  </rcc>
  <rcc rId="595" sId="1" odxf="1">
    <nc r="I315">
      <v>63</v>
    </nc>
    <odxf/>
  </rcc>
  <rcc rId="596" sId="1" odxf="1">
    <nc r="J315">
      <v>252</v>
    </nc>
    <odxf/>
  </rcc>
  <rcc rId="597" sId="1" odxf="1">
    <nc r="K315">
      <v>0</v>
    </nc>
    <odxf/>
  </rcc>
  <rcc rId="598" sId="1" odxf="1" numFmtId="19">
    <nc r="L315">
      <v>46218.263888888891</v>
    </nc>
    <odxf/>
  </rcc>
  <rcc rId="599" sId="1" odxf="1" numFmtId="19">
    <nc r="M315">
      <v>46227.236111111109</v>
    </nc>
    <odxf/>
  </rcc>
  <rfmt sheetId="1" sqref="Q315" start="0" length="0">
    <dxf>
      <numFmt numFmtId="0" formatCode="General"/>
    </dxf>
  </rfmt>
  <rcc rId="600" sId="1" odxf="1">
    <nc r="AA315" t="inlineStr">
      <is>
        <t>1</t>
      </is>
    </nc>
    <odxf/>
  </rcc>
  <rcc rId="601" sId="1" odxf="1">
    <nc r="AB315" t="inlineStr">
      <is>
        <t>0</t>
      </is>
    </nc>
    <odxf/>
  </rcc>
  <rcc rId="602" sId="1">
    <nc r="E315" t="inlineStr">
      <is>
        <t>W1025416/1</t>
      </is>
    </nc>
  </rcc>
  <rcc rId="603" sId="1">
    <nc r="F315" t="inlineStr">
      <is>
        <t>SMI1/CO2-03</t>
      </is>
    </nc>
  </rcc>
  <rcc rId="604" sId="1">
    <nc r="G315" t="inlineStr">
      <is>
        <t>Adult Ophthalmic Capnoxygen Mask</t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05" sId="1" ref="A597:XFD597" action="deleteRow">
    <rfmt sheetId="1" xfDxf="1" sqref="A597:XFD597" start="0" length="0"/>
    <rcc rId="0" sId="1">
      <nc r="A597" t="inlineStr">
        <is>
          <t>Zone 3</t>
        </is>
      </nc>
    </rcc>
    <rcc rId="0" sId="1">
      <nc r="B597" t="inlineStr">
        <is>
          <t>OP1 Tier 2</t>
        </is>
      </nc>
    </rcc>
    <rcc rId="0" sId="1">
      <nc r="C597">
        <v>0</v>
      </nc>
    </rcc>
    <rcc rId="0" sId="1">
      <nc r="E597" t="inlineStr">
        <is>
          <t>W1027430/1</t>
        </is>
      </nc>
    </rcc>
    <rcc rId="0" sId="1">
      <nc r="F597" t="inlineStr">
        <is>
          <t>VER1/0143-0004</t>
        </is>
      </nc>
    </rcc>
    <rcc rId="0" sId="1">
      <nc r="G597" t="inlineStr">
        <is>
          <t>Titanium MAC T3 Shell</t>
        </is>
      </nc>
    </rcc>
    <rcc rId="0" sId="1">
      <nc r="H597">
        <v>0</v>
      </nc>
    </rcc>
    <rcc rId="0" sId="1">
      <nc r="I597">
        <v>0.03</v>
      </nc>
    </rcc>
    <rcc rId="0" sId="1">
      <nc r="J597">
        <v>1</v>
      </nc>
    </rcc>
    <rcc rId="0" sId="1">
      <nc r="K597">
        <v>0</v>
      </nc>
    </rcc>
    <rcc rId="0" sId="1" dxf="1" numFmtId="19">
      <nc r="L597">
        <v>46208.958333333336</v>
      </nc>
      <ndxf>
        <numFmt numFmtId="164" formatCode="mm\-dd\-yyyy"/>
      </ndxf>
    </rcc>
    <rcc rId="0" sId="1" dxf="1" numFmtId="19">
      <nc r="M597">
        <v>46208.958333333336</v>
      </nc>
      <ndxf>
        <numFmt numFmtId="164" formatCode="mm\-dd\-yyyy"/>
      </ndxf>
    </rcc>
    <rcc rId="0" sId="1">
      <nc r="AA597" t="inlineStr">
        <is>
          <t>1</t>
        </is>
      </nc>
    </rcc>
    <rcc rId="0" sId="1">
      <nc r="AB597" t="inlineStr">
        <is>
          <t>0</t>
        </is>
      </nc>
    </rcc>
  </rrc>
  <rrc rId="606" sId="1" ref="A597:XFD597" action="deleteRow">
    <rfmt sheetId="1" xfDxf="1" sqref="A597:XFD597" start="0" length="0"/>
    <rcc rId="0" sId="1">
      <nc r="A597" t="inlineStr">
        <is>
          <t>Zone 3</t>
        </is>
      </nc>
    </rcc>
    <rcc rId="0" sId="1">
      <nc r="B597" t="inlineStr">
        <is>
          <t>OP1 Tier 2</t>
        </is>
      </nc>
    </rcc>
    <rcc rId="0" sId="1">
      <nc r="C597">
        <v>0</v>
      </nc>
    </rcc>
    <rcc rId="0" sId="1">
      <nc r="E597" t="inlineStr">
        <is>
          <t>W1029893/FG</t>
        </is>
      </nc>
    </rcc>
    <rcc rId="0" sId="1">
      <nc r="F597" t="inlineStr">
        <is>
          <t>VER1/0143-0001</t>
        </is>
      </nc>
    </rcc>
    <rcc rId="0" sId="1">
      <nc r="G597" t="inlineStr">
        <is>
          <t>Titanium LoPro T2 Shell</t>
        </is>
      </nc>
    </rcc>
    <rcc rId="0" sId="1">
      <nc r="H597">
        <v>0</v>
      </nc>
    </rcc>
    <rcc rId="0" sId="1">
      <nc r="I597">
        <v>0.03</v>
      </nc>
    </rcc>
    <rcc rId="0" sId="1">
      <nc r="J597">
        <v>1</v>
      </nc>
    </rcc>
    <rcc rId="0" sId="1">
      <nc r="K597">
        <v>0</v>
      </nc>
    </rcc>
    <rcc rId="0" sId="1" dxf="1" numFmtId="19">
      <nc r="L597">
        <v>46208.958333333336</v>
      </nc>
      <ndxf>
        <numFmt numFmtId="164" formatCode="mm\-dd\-yyyy"/>
      </ndxf>
    </rcc>
    <rcc rId="0" sId="1" dxf="1" numFmtId="19">
      <nc r="M597">
        <v>46208.958333333336</v>
      </nc>
      <ndxf>
        <numFmt numFmtId="164" formatCode="mm\-dd\-yyyy"/>
      </ndxf>
    </rcc>
    <rcc rId="0" sId="1">
      <nc r="AA597" t="inlineStr">
        <is>
          <t>FG</t>
        </is>
      </nc>
    </rcc>
    <rcc rId="0" sId="1">
      <nc r="AB597" t="inlineStr">
        <is>
          <t>0</t>
        </is>
      </nc>
    </rcc>
  </rr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07" sId="1" ref="A590:XFD600" action="insertRow"/>
  <rcc rId="608" sId="1" odxf="1" dxf="1">
    <nc r="A590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09" sId="1" odxf="1" dxf="1">
    <nc r="B590" t="inlineStr">
      <is>
        <t>NG2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10" sId="1" odxf="1" dxf="1">
    <nc r="C590">
      <v>3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D590" start="0" length="0">
    <dxf>
      <fill>
        <patternFill patternType="solid">
          <bgColor rgb="FFFFFF00"/>
        </patternFill>
      </fill>
    </dxf>
  </rfmt>
  <rcc rId="611" sId="1" odxf="1" dxf="1">
    <nc r="E590" t="inlineStr">
      <is>
        <t>W1028748/1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12" sId="1" odxf="1" dxf="1">
    <nc r="F590" t="inlineStr">
      <is>
        <t>FLX1/10001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13" sId="1" odxf="1" dxf="1">
    <nc r="G590" t="inlineStr">
      <is>
        <t>FLEX Bulk (Cup in Intimate Wrap)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14" sId="1" odxf="1" dxf="1">
    <nc r="H590">
      <v>387.93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15" sId="1" odxf="1" dxf="1">
    <nc r="I590">
      <v>129.31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16" sId="1" odxf="1" dxf="1">
    <nc r="J590">
      <v>375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17" sId="1" odxf="1" dxf="1">
    <nc r="K590">
      <v>0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18" sId="1" odxf="1" dxf="1" numFmtId="19">
    <nc r="L590">
      <v>46203.395833333336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19" sId="1" odxf="1" dxf="1" numFmtId="19">
    <nc r="M590">
      <v>46213.923611111109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N590" start="0" length="0">
    <dxf>
      <fill>
        <patternFill patternType="solid">
          <bgColor rgb="FFFFFF00"/>
        </patternFill>
      </fill>
    </dxf>
  </rfmt>
  <rcc rId="620" sId="1" odxf="1" dxf="1">
    <nc r="O590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P590" start="0" length="0">
    <dxf>
      <fill>
        <patternFill patternType="solid">
          <bgColor rgb="FFFFFF00"/>
        </patternFill>
      </fill>
    </dxf>
  </rfmt>
  <rfmt sheetId="1" sqref="Q590" start="0" length="0">
    <dxf>
      <fill>
        <patternFill patternType="solid">
          <bgColor rgb="FFFFFF00"/>
        </patternFill>
      </fill>
    </dxf>
  </rfmt>
  <rfmt sheetId="1" sqref="R590" start="0" length="0">
    <dxf>
      <fill>
        <patternFill patternType="solid">
          <bgColor rgb="FFFFFF00"/>
        </patternFill>
      </fill>
    </dxf>
  </rfmt>
  <rfmt sheetId="1" sqref="S590" start="0" length="0">
    <dxf>
      <fill>
        <patternFill patternType="solid">
          <bgColor rgb="FFFFFF00"/>
        </patternFill>
      </fill>
    </dxf>
  </rfmt>
  <rfmt sheetId="1" sqref="T590" start="0" length="0">
    <dxf>
      <fill>
        <patternFill patternType="solid">
          <bgColor rgb="FFFFFF00"/>
        </patternFill>
      </fill>
    </dxf>
  </rfmt>
  <rfmt sheetId="1" sqref="U590" start="0" length="0">
    <dxf>
      <fill>
        <patternFill patternType="solid">
          <bgColor rgb="FFFFFF00"/>
        </patternFill>
      </fill>
    </dxf>
  </rfmt>
  <rfmt sheetId="1" sqref="V590" start="0" length="0">
    <dxf>
      <fill>
        <patternFill patternType="solid">
          <bgColor rgb="FFFFFF00"/>
        </patternFill>
      </fill>
    </dxf>
  </rfmt>
  <rfmt sheetId="1" sqref="W590" start="0" length="0">
    <dxf>
      <fill>
        <patternFill patternType="solid">
          <bgColor rgb="FFFFFF00"/>
        </patternFill>
      </fill>
    </dxf>
  </rfmt>
  <rfmt sheetId="1" sqref="X590" start="0" length="0">
    <dxf>
      <fill>
        <patternFill patternType="solid">
          <bgColor rgb="FFFFFF00"/>
        </patternFill>
      </fill>
    </dxf>
  </rfmt>
  <rfmt sheetId="1" sqref="Y590" start="0" length="0">
    <dxf>
      <fill>
        <patternFill patternType="solid">
          <bgColor rgb="FFFFFF00"/>
        </patternFill>
      </fill>
    </dxf>
  </rfmt>
  <rfmt sheetId="1" sqref="Z590" start="0" length="0">
    <dxf>
      <fill>
        <patternFill patternType="solid">
          <bgColor rgb="FFFFFF00"/>
        </patternFill>
      </fill>
    </dxf>
  </rfmt>
  <rcc rId="621" sId="1" odxf="1" dxf="1">
    <nc r="AA590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622" sId="1" odxf="1" dxf="1">
    <nc r="AB590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A590:XFD590" start="0" length="0">
    <dxf>
      <fill>
        <patternFill patternType="solid">
          <bgColor rgb="FFFFFF00"/>
        </patternFill>
      </fill>
    </dxf>
  </rfmt>
  <rcc rId="623" sId="1">
    <nc r="A591" t="inlineStr">
      <is>
        <t>Zone 3</t>
      </is>
    </nc>
  </rcc>
  <rcc rId="624" sId="1">
    <nc r="B591" t="inlineStr">
      <is>
        <t>NG2</t>
      </is>
    </nc>
  </rcc>
  <rcc rId="625" sId="1">
    <nc r="C591">
      <v>3</v>
    </nc>
  </rcc>
  <rcc rId="626" sId="1">
    <nc r="E591" t="inlineStr">
      <is>
        <t>W1027495/1</t>
      </is>
    </nc>
  </rcc>
  <rcc rId="627" sId="1">
    <nc r="F591" t="inlineStr">
      <is>
        <t>FLX1/10001</t>
      </is>
    </nc>
  </rcc>
  <rcc rId="628" sId="1">
    <nc r="G591" t="inlineStr">
      <is>
        <t>FLEX Bulk (Cup in Intimate Wrap)</t>
      </is>
    </nc>
  </rcc>
  <rcc rId="629" sId="1">
    <nc r="H591">
      <v>517.23</v>
    </nc>
  </rcc>
  <rcc rId="630" sId="1">
    <nc r="I591">
      <v>172.41</v>
    </nc>
  </rcc>
  <rcc rId="631" sId="1">
    <nc r="J591">
      <v>500</v>
    </nc>
  </rcc>
  <rcc rId="632" sId="1">
    <nc r="K591">
      <v>0</v>
    </nc>
  </rcc>
  <rcc rId="633" sId="1" numFmtId="19">
    <nc r="L591">
      <v>46213.930555555555</v>
    </nc>
  </rcc>
  <rcc rId="634" sId="1" numFmtId="19">
    <nc r="M591">
      <v>46221.256944444445</v>
    </nc>
  </rcc>
  <rcc rId="635" sId="1">
    <nc r="O591" t="inlineStr">
      <is>
        <t>p</t>
      </is>
    </nc>
  </rcc>
  <rcc rId="636" sId="1">
    <nc r="AA591" t="inlineStr">
      <is>
        <t>1</t>
      </is>
    </nc>
  </rcc>
  <rcc rId="637" sId="1">
    <nc r="AB591" t="inlineStr">
      <is>
        <t>0</t>
      </is>
    </nc>
  </rcc>
  <rcc rId="638" sId="1">
    <nc r="A592" t="inlineStr">
      <is>
        <t>Zone 3</t>
      </is>
    </nc>
  </rcc>
  <rcc rId="639" sId="1">
    <nc r="B592" t="inlineStr">
      <is>
        <t>NG2</t>
      </is>
    </nc>
  </rcc>
  <rcc rId="640" sId="1">
    <nc r="C592">
      <v>3</v>
    </nc>
  </rcc>
  <rcc rId="641" sId="1">
    <nc r="E592" t="inlineStr">
      <is>
        <t>W1019433/1</t>
      </is>
    </nc>
  </rcc>
  <rcc rId="642" sId="1">
    <nc r="F592" t="inlineStr">
      <is>
        <t>FLX3/10155</t>
      </is>
    </nc>
  </rcc>
  <rcc rId="643" sId="1">
    <nc r="G592" t="inlineStr">
      <is>
        <t>Plant + Bulk (Cup in Intimate Wrap)</t>
      </is>
    </nc>
  </rcc>
  <rcc rId="644" sId="1">
    <nc r="H592">
      <v>206.91</v>
    </nc>
  </rcc>
  <rcc rId="645" sId="1">
    <nc r="I592">
      <v>68.97</v>
    </nc>
  </rcc>
  <rcc rId="646" sId="1">
    <nc r="J592">
      <v>200</v>
    </nc>
  </rcc>
  <rcc rId="647" sId="1">
    <nc r="K592">
      <v>0</v>
    </nc>
  </rcc>
  <rcc rId="648" sId="1" numFmtId="19">
    <nc r="L592">
      <v>46197.354166666664</v>
    </nc>
  </rcc>
  <rcc rId="649" sId="1" numFmtId="19">
    <nc r="M592">
      <v>46200.368055555555</v>
    </nc>
  </rcc>
  <rcc rId="650" sId="1">
    <nc r="AA592" t="inlineStr">
      <is>
        <t>1</t>
      </is>
    </nc>
  </rcc>
  <rcc rId="651" sId="1">
    <nc r="AB592" t="inlineStr">
      <is>
        <t>0</t>
      </is>
    </nc>
  </rcc>
  <rcc rId="652" sId="1">
    <nc r="A593" t="inlineStr">
      <is>
        <t>Zone 3</t>
      </is>
    </nc>
  </rcc>
  <rcc rId="653" sId="1">
    <nc r="B593" t="inlineStr">
      <is>
        <t>NG2</t>
      </is>
    </nc>
  </rcc>
  <rcc rId="654" sId="1">
    <nc r="C593">
      <v>3</v>
    </nc>
  </rcc>
  <rcc rId="655" sId="1">
    <nc r="E593" t="inlineStr">
      <is>
        <t>W1027816/1</t>
      </is>
    </nc>
  </rcc>
  <rcc rId="656" sId="1">
    <nc r="F593" t="inlineStr">
      <is>
        <t>FLX3/10155</t>
      </is>
    </nc>
  </rcc>
  <rcc rId="657" sId="1">
    <nc r="G593" t="inlineStr">
      <is>
        <t>Plant + Bulk (Cup in Intimate Wrap)</t>
      </is>
    </nc>
  </rcc>
  <rcc rId="658" sId="1">
    <nc r="H593">
      <v>155.16</v>
    </nc>
  </rcc>
  <rcc rId="659" sId="1">
    <nc r="I593">
      <v>51.72</v>
    </nc>
  </rcc>
  <rcc rId="660" sId="1">
    <nc r="J593">
      <v>150</v>
    </nc>
  </rcc>
  <rcc rId="661" sId="1">
    <nc r="K593">
      <v>0</v>
    </nc>
  </rcc>
  <rcc rId="662" sId="1" numFmtId="19">
    <nc r="L593">
      <v>46221.263888888891</v>
    </nc>
  </rcc>
  <rcc rId="663" sId="1" numFmtId="19">
    <nc r="M593">
      <v>46223.5625</v>
    </nc>
  </rcc>
  <rcc rId="664" sId="1">
    <nc r="AA593" t="inlineStr">
      <is>
        <t>1</t>
      </is>
    </nc>
  </rcc>
  <rcc rId="665" sId="1">
    <nc r="AB593" t="inlineStr">
      <is>
        <t>0</t>
      </is>
    </nc>
  </rcc>
  <rcc rId="666" sId="1">
    <nc r="A594" t="inlineStr">
      <is>
        <t>Zone 3</t>
      </is>
    </nc>
  </rcc>
  <rcc rId="667" sId="1">
    <nc r="B594" t="inlineStr">
      <is>
        <t>NG2</t>
      </is>
    </nc>
  </rcc>
  <rcc rId="668" sId="1">
    <nc r="C594">
      <v>3</v>
    </nc>
  </rcc>
  <rcc rId="669" sId="1">
    <nc r="E594" t="inlineStr">
      <is>
        <t>W1027496/1</t>
      </is>
    </nc>
  </rcc>
  <rcc rId="670" sId="1">
    <nc r="F594" t="inlineStr">
      <is>
        <t>FLX1/10001</t>
      </is>
    </nc>
  </rcc>
  <rcc rId="671" sId="1">
    <nc r="G594" t="inlineStr">
      <is>
        <t>FLEX Bulk (Cup in Intimate Wrap)</t>
      </is>
    </nc>
  </rcc>
  <rcc rId="672" sId="1">
    <nc r="H594">
      <v>517.23</v>
    </nc>
  </rcc>
  <rcc rId="673" sId="1">
    <nc r="I594">
      <v>172.41</v>
    </nc>
  </rcc>
  <rcc rId="674" sId="1">
    <nc r="J594">
      <v>500</v>
    </nc>
  </rcc>
  <rcc rId="675" sId="1">
    <nc r="K594">
      <v>0</v>
    </nc>
  </rcc>
  <rcc rId="676" sId="1" numFmtId="19">
    <nc r="L594">
      <v>46227.3125</v>
    </nc>
  </rcc>
  <rcc rId="677" sId="1" numFmtId="19">
    <nc r="M594">
      <v>46234.638888888891</v>
    </nc>
  </rcc>
  <rcc rId="678" sId="1">
    <nc r="AA594" t="inlineStr">
      <is>
        <t>1</t>
      </is>
    </nc>
  </rcc>
  <rcc rId="679" sId="1">
    <nc r="AB594" t="inlineStr">
      <is>
        <t>0</t>
      </is>
    </nc>
  </rcc>
  <rcc rId="680" sId="1">
    <nc r="A595" t="inlineStr">
      <is>
        <t>Zone 3</t>
      </is>
    </nc>
  </rcc>
  <rcc rId="681" sId="1">
    <nc r="B595" t="inlineStr">
      <is>
        <t>NG2</t>
      </is>
    </nc>
  </rcc>
  <rcc rId="682" sId="1">
    <nc r="C595">
      <v>3</v>
    </nc>
  </rcc>
  <rcc rId="683" sId="1">
    <nc r="E595" t="inlineStr">
      <is>
        <t>W1028750/1</t>
      </is>
    </nc>
  </rcc>
  <rcc rId="684" sId="1">
    <nc r="F595" t="inlineStr">
      <is>
        <t>FLX1/10001B</t>
      </is>
    </nc>
  </rcc>
  <rcc rId="685" sId="1">
    <nc r="G595" t="inlineStr">
      <is>
        <t>FLEX Bulk (Cup in Blank Intimate Wrap)</t>
      </is>
    </nc>
  </rcc>
  <rcc rId="686" sId="1">
    <nc r="H595">
      <v>382.77</v>
    </nc>
  </rcc>
  <rcc rId="687" sId="1">
    <nc r="I595">
      <v>127.59</v>
    </nc>
  </rcc>
  <rcc rId="688" sId="1">
    <nc r="J595">
      <v>370</v>
    </nc>
  </rcc>
  <rcc rId="689" sId="1">
    <nc r="K595">
      <v>0</v>
    </nc>
  </rcc>
  <rcc rId="690" sId="1" numFmtId="19">
    <nc r="L595">
      <v>46234.645833333336</v>
    </nc>
  </rcc>
  <rcc rId="691" sId="1" numFmtId="19">
    <nc r="M595">
      <v>46241.104166666664</v>
    </nc>
  </rcc>
  <rcc rId="692" sId="1">
    <nc r="AA595" t="inlineStr">
      <is>
        <t>1</t>
      </is>
    </nc>
  </rcc>
  <rcc rId="693" sId="1">
    <nc r="AB595" t="inlineStr">
      <is>
        <t>0</t>
      </is>
    </nc>
  </rcc>
  <rcc rId="694" sId="1">
    <nc r="A596" t="inlineStr">
      <is>
        <t>Zone 3</t>
      </is>
    </nc>
  </rcc>
  <rcc rId="695" sId="1">
    <nc r="B596" t="inlineStr">
      <is>
        <t>NG2</t>
      </is>
    </nc>
  </rcc>
  <rcc rId="696" sId="1">
    <nc r="C596">
      <v>3</v>
    </nc>
  </rcc>
  <rcc rId="697" sId="1">
    <nc r="E596" t="inlineStr">
      <is>
        <t>W1025321/1</t>
      </is>
    </nc>
  </rcc>
  <rcc rId="698" sId="1">
    <nc r="F596" t="inlineStr">
      <is>
        <t>FLX3/10155</t>
      </is>
    </nc>
  </rcc>
  <rcc rId="699" sId="1">
    <nc r="G596" t="inlineStr">
      <is>
        <t>Plant + Bulk (Cup in Intimate Wrap)</t>
      </is>
    </nc>
  </rcc>
  <rcc rId="700" sId="1">
    <nc r="H596">
      <v>206.91</v>
    </nc>
  </rcc>
  <rcc rId="701" sId="1">
    <nc r="I596">
      <v>68.97</v>
    </nc>
  </rcc>
  <rcc rId="702" sId="1">
    <nc r="J596">
      <v>200</v>
    </nc>
  </rcc>
  <rcc rId="703" sId="1">
    <nc r="K596">
      <v>0</v>
    </nc>
  </rcc>
  <rcc rId="704" sId="1" numFmtId="19">
    <nc r="L596">
      <v>46241.111111111109</v>
    </nc>
  </rcc>
  <rcc rId="705" sId="1" numFmtId="19">
    <nc r="M596">
      <v>46244.125</v>
    </nc>
  </rcc>
  <rcc rId="706" sId="1">
    <nc r="AA596" t="inlineStr">
      <is>
        <t>1</t>
      </is>
    </nc>
  </rcc>
  <rcc rId="707" sId="1">
    <nc r="AB596" t="inlineStr">
      <is>
        <t>0</t>
      </is>
    </nc>
  </rcc>
  <rcc rId="708" sId="1">
    <nc r="A597" t="inlineStr">
      <is>
        <t>Zone 3</t>
      </is>
    </nc>
  </rcc>
  <rcc rId="709" sId="1">
    <nc r="B597" t="inlineStr">
      <is>
        <t>NG2</t>
      </is>
    </nc>
  </rcc>
  <rcc rId="710" sId="1">
    <nc r="C597">
      <v>3</v>
    </nc>
  </rcc>
  <rcc rId="711" sId="1">
    <nc r="E597" t="inlineStr">
      <is>
        <t>W1027497/1</t>
      </is>
    </nc>
  </rcc>
  <rcc rId="712" sId="1">
    <nc r="F597" t="inlineStr">
      <is>
        <t>FLX1/10001</t>
      </is>
    </nc>
  </rcc>
  <rcc rId="713" sId="1">
    <nc r="G597" t="inlineStr">
      <is>
        <t>FLEX Bulk (Cup in Intimate Wrap)</t>
      </is>
    </nc>
  </rcc>
  <rcc rId="714" sId="1">
    <nc r="H597">
      <v>517.23</v>
    </nc>
  </rcc>
  <rcc rId="715" sId="1">
    <nc r="I597">
      <v>172.41</v>
    </nc>
  </rcc>
  <rcc rId="716" sId="1">
    <nc r="J597">
      <v>500</v>
    </nc>
  </rcc>
  <rcc rId="717" sId="1">
    <nc r="K597">
      <v>0</v>
    </nc>
  </rcc>
  <rcc rId="718" sId="1" numFmtId="19">
    <nc r="L597">
      <v>46244.131944444445</v>
    </nc>
  </rcc>
  <rcc rId="719" sId="1" numFmtId="19">
    <nc r="M597">
      <v>46251.458333333336</v>
    </nc>
  </rcc>
  <rcc rId="720" sId="1">
    <nc r="AA597" t="inlineStr">
      <is>
        <t>1</t>
      </is>
    </nc>
  </rcc>
  <rcc rId="721" sId="1">
    <nc r="AB597" t="inlineStr">
      <is>
        <t>0</t>
      </is>
    </nc>
  </rcc>
  <rcc rId="722" sId="1">
    <nc r="A598" t="inlineStr">
      <is>
        <t>Zone 3</t>
      </is>
    </nc>
  </rcc>
  <rcc rId="723" sId="1">
    <nc r="B598" t="inlineStr">
      <is>
        <t>NG2</t>
      </is>
    </nc>
  </rcc>
  <rcc rId="724" sId="1">
    <nc r="C598">
      <v>3</v>
    </nc>
  </rcc>
  <rcc rId="725" sId="1">
    <nc r="E598" t="inlineStr">
      <is>
        <t>W1027500/1</t>
      </is>
    </nc>
  </rcc>
  <rcc rId="726" sId="1">
    <nc r="F598" t="inlineStr">
      <is>
        <t>FLX1/10001</t>
      </is>
    </nc>
  </rcc>
  <rcc rId="727" sId="1">
    <nc r="G598" t="inlineStr">
      <is>
        <t>FLEX Bulk (Cup in Intimate Wrap)</t>
      </is>
    </nc>
  </rcc>
  <rcc rId="728" sId="1">
    <nc r="H598">
      <v>517.23</v>
    </nc>
  </rcc>
  <rcc rId="729" sId="1">
    <nc r="I598">
      <v>172.41</v>
    </nc>
  </rcc>
  <rcc rId="730" sId="1">
    <nc r="J598">
      <v>500</v>
    </nc>
  </rcc>
  <rcc rId="731" sId="1">
    <nc r="K598">
      <v>0</v>
    </nc>
  </rcc>
  <rcc rId="732" sId="1" numFmtId="19">
    <nc r="L598">
      <v>46251.465277777781</v>
    </nc>
  </rcc>
  <rcc rId="733" sId="1" numFmtId="19">
    <nc r="M598">
      <v>46258.791666666664</v>
    </nc>
  </rcc>
  <rcc rId="734" sId="1">
    <nc r="AA598" t="inlineStr">
      <is>
        <t>1</t>
      </is>
    </nc>
  </rcc>
  <rcc rId="735" sId="1">
    <nc r="AB598" t="inlineStr">
      <is>
        <t>0</t>
      </is>
    </nc>
  </rcc>
  <rcc rId="736" sId="1">
    <nc r="A599" t="inlineStr">
      <is>
        <t>Zone 3</t>
      </is>
    </nc>
  </rcc>
  <rcc rId="737" sId="1">
    <nc r="B599" t="inlineStr">
      <is>
        <t>NG2</t>
      </is>
    </nc>
  </rcc>
  <rcc rId="738" sId="1">
    <nc r="C599">
      <v>3</v>
    </nc>
  </rcc>
  <rcc rId="739" sId="1">
    <nc r="E599" t="inlineStr">
      <is>
        <t>W1029877/1</t>
      </is>
    </nc>
  </rcc>
  <rcc rId="740" sId="1">
    <nc r="F599" t="inlineStr">
      <is>
        <t>INS1/00002</t>
      </is>
    </nc>
  </rcc>
  <rcc rId="741" sId="1">
    <nc r="G599" t="inlineStr">
      <is>
        <t>Softdisc Bulk (Purple Intimate Wrap)</t>
      </is>
    </nc>
  </rcc>
  <rcc rId="742" sId="1">
    <nc r="H599">
      <v>382.77</v>
    </nc>
  </rcc>
  <rcc rId="743" sId="1">
    <nc r="I599">
      <v>127.59</v>
    </nc>
  </rcc>
  <rcc rId="744" sId="1">
    <nc r="J599">
      <v>370</v>
    </nc>
  </rcc>
  <rcc rId="745" sId="1">
    <nc r="K599">
      <v>0</v>
    </nc>
  </rcc>
  <rcc rId="746" sId="1" numFmtId="19">
    <nc r="L599">
      <v>46258.798611111109</v>
    </nc>
  </rcc>
  <rcc rId="747" sId="1" numFmtId="19">
    <nc r="M599">
      <v>46264.256944444445</v>
    </nc>
  </rcc>
  <rcc rId="748" sId="1">
    <nc r="AA599" t="inlineStr">
      <is>
        <t>1</t>
      </is>
    </nc>
  </rcc>
  <rcc rId="749" sId="1">
    <nc r="AB599" t="inlineStr">
      <is>
        <t>0</t>
      </is>
    </nc>
  </rcc>
  <rcc rId="750" sId="1" odxf="1" dxf="1">
    <nc r="A600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51" sId="1" odxf="1" dxf="1">
    <nc r="B600" t="inlineStr">
      <is>
        <t>NG2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52" sId="1" odxf="1" dxf="1">
    <nc r="C600">
      <v>3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D600" start="0" length="0">
    <dxf>
      <border outline="0">
        <bottom style="medium">
          <color indexed="64"/>
        </bottom>
      </border>
    </dxf>
  </rfmt>
  <rcc rId="753" sId="1" odxf="1" dxf="1">
    <nc r="E600" t="inlineStr">
      <is>
        <t>W1028749/1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54" sId="1" odxf="1" dxf="1">
    <nc r="F600" t="inlineStr">
      <is>
        <t>FLX1/10001B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55" sId="1" odxf="1" dxf="1">
    <nc r="G600" t="inlineStr">
      <is>
        <t>FLEX Bulk (Cup in Blank Intimate Wrap)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56" sId="1" odxf="1" dxf="1">
    <nc r="H600">
      <v>362.07</v>
    </nc>
    <odxf>
      <border outline="0">
        <bottom/>
      </border>
    </odxf>
    <ndxf>
      <border outline="0">
        <bottom style="medium">
          <color indexed="64"/>
        </bottom>
      </border>
    </ndxf>
  </rcc>
  <rcc rId="757" sId="1" odxf="1" dxf="1">
    <nc r="I600">
      <v>120.69</v>
    </nc>
    <odxf>
      <border outline="0">
        <bottom/>
      </border>
    </odxf>
    <ndxf>
      <border outline="0">
        <bottom style="medium">
          <color indexed="64"/>
        </bottom>
      </border>
    </ndxf>
  </rcc>
  <rcc rId="758" sId="1" odxf="1" dxf="1">
    <nc r="J600">
      <v>350</v>
    </nc>
    <odxf>
      <border outline="0">
        <bottom/>
      </border>
    </odxf>
    <ndxf>
      <border outline="0">
        <bottom style="medium">
          <color indexed="64"/>
        </bottom>
      </border>
    </ndxf>
  </rcc>
  <rcc rId="759" sId="1" odxf="1" dxf="1">
    <nc r="K600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760" sId="1" odxf="1" dxf="1" numFmtId="19">
    <nc r="L600">
      <v>46266</v>
    </nc>
    <odxf>
      <border outline="0">
        <bottom/>
      </border>
    </odxf>
    <ndxf>
      <border outline="0">
        <bottom style="medium">
          <color indexed="64"/>
        </bottom>
      </border>
    </ndxf>
  </rcc>
  <rcc rId="761" sId="1" odxf="1" dxf="1" numFmtId="19">
    <nc r="M600">
      <v>46271.173611111109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600" start="0" length="0">
    <dxf>
      <border outline="0">
        <bottom style="medium">
          <color indexed="64"/>
        </bottom>
      </border>
    </dxf>
  </rfmt>
  <rfmt sheetId="1" sqref="O600" start="0" length="0">
    <dxf>
      <border outline="0">
        <bottom style="medium">
          <color indexed="64"/>
        </bottom>
      </border>
    </dxf>
  </rfmt>
  <rfmt sheetId="1" sqref="P600" start="0" length="0">
    <dxf>
      <border outline="0">
        <bottom style="medium">
          <color indexed="64"/>
        </bottom>
      </border>
    </dxf>
  </rfmt>
  <rfmt sheetId="1" sqref="Q600" start="0" length="0">
    <dxf>
      <border outline="0">
        <bottom style="medium">
          <color indexed="64"/>
        </bottom>
      </border>
    </dxf>
  </rfmt>
  <rfmt sheetId="1" sqref="R600" start="0" length="0">
    <dxf>
      <border outline="0">
        <bottom style="medium">
          <color indexed="64"/>
        </bottom>
      </border>
    </dxf>
  </rfmt>
  <rfmt sheetId="1" sqref="S600" start="0" length="0">
    <dxf>
      <border outline="0">
        <bottom style="medium">
          <color indexed="64"/>
        </bottom>
      </border>
    </dxf>
  </rfmt>
  <rfmt sheetId="1" sqref="T600" start="0" length="0">
    <dxf>
      <border outline="0">
        <bottom style="medium">
          <color indexed="64"/>
        </bottom>
      </border>
    </dxf>
  </rfmt>
  <rfmt sheetId="1" sqref="U600" start="0" length="0">
    <dxf>
      <border outline="0">
        <bottom style="medium">
          <color indexed="64"/>
        </bottom>
      </border>
    </dxf>
  </rfmt>
  <rfmt sheetId="1" sqref="V600" start="0" length="0">
    <dxf>
      <border outline="0">
        <bottom style="medium">
          <color indexed="64"/>
        </bottom>
      </border>
    </dxf>
  </rfmt>
  <rfmt sheetId="1" sqref="W600" start="0" length="0">
    <dxf>
      <border outline="0">
        <bottom style="medium">
          <color indexed="64"/>
        </bottom>
      </border>
    </dxf>
  </rfmt>
  <rfmt sheetId="1" sqref="X600" start="0" length="0">
    <dxf>
      <border outline="0">
        <bottom style="medium">
          <color indexed="64"/>
        </bottom>
      </border>
    </dxf>
  </rfmt>
  <rfmt sheetId="1" sqref="Y600" start="0" length="0">
    <dxf>
      <border outline="0">
        <bottom style="medium">
          <color indexed="64"/>
        </bottom>
      </border>
    </dxf>
  </rfmt>
  <rfmt sheetId="1" sqref="Z600" start="0" length="0">
    <dxf>
      <border outline="0">
        <bottom style="medium">
          <color indexed="64"/>
        </bottom>
      </border>
    </dxf>
  </rfmt>
  <rcc rId="762" sId="1" odxf="1" dxf="1">
    <nc r="AA600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63" sId="1" odxf="1" dxf="1">
    <nc r="AB600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600:XFD600" start="0" length="0">
    <dxf>
      <border outline="0">
        <bottom style="medium">
          <color indexed="64"/>
        </bottom>
      </border>
    </dxf>
  </rfmt>
  <rrc rId="764" sId="1" ref="A601:XFD601" action="deleteRow">
    <rfmt sheetId="1" xfDxf="1" sqref="A601:XFD601" start="0" length="0"/>
    <rcc rId="0" sId="1">
      <nc r="A601" t="inlineStr">
        <is>
          <t>Zone 3</t>
        </is>
      </nc>
    </rcc>
    <rcc rId="0" sId="1">
      <nc r="B601" t="inlineStr">
        <is>
          <t>NG2</t>
        </is>
      </nc>
    </rcc>
    <rcc rId="0" sId="1">
      <nc r="C601">
        <v>3</v>
      </nc>
    </rcc>
    <rcc rId="0" sId="1">
      <nc r="E601" t="inlineStr">
        <is>
          <t>W1019433/1</t>
        </is>
      </nc>
    </rcc>
    <rcc rId="0" sId="1">
      <nc r="F601" t="inlineStr">
        <is>
          <t>FLX3/10155</t>
        </is>
      </nc>
    </rcc>
    <rcc rId="0" sId="1">
      <nc r="G601" t="inlineStr">
        <is>
          <t>Plant + Bulk (Cup in Intimate Wrap)</t>
        </is>
      </nc>
    </rcc>
    <rcc rId="0" sId="1">
      <nc r="H601">
        <v>206.91</v>
      </nc>
    </rcc>
    <rcc rId="0" sId="1">
      <nc r="I601">
        <v>68.97</v>
      </nc>
    </rcc>
    <rcc rId="0" sId="1">
      <nc r="J601">
        <v>200</v>
      </nc>
    </rcc>
    <rcc rId="0" sId="1">
      <nc r="K601">
        <v>0</v>
      </nc>
    </rcc>
    <rcc rId="0" sId="1" dxf="1" numFmtId="19">
      <nc r="L601">
        <v>46208.958333333336</v>
      </nc>
      <ndxf>
        <numFmt numFmtId="164" formatCode="mm\-dd\-yyyy"/>
      </ndxf>
    </rcc>
    <rcc rId="0" sId="1" dxf="1" numFmtId="19">
      <nc r="M601">
        <v>46211.972222222219</v>
      </nc>
      <ndxf>
        <numFmt numFmtId="164" formatCode="mm\-dd\-yyyy"/>
      </ndxf>
    </rcc>
    <rcc rId="0" sId="1">
      <nc r="AA601" t="inlineStr">
        <is>
          <t>1</t>
        </is>
      </nc>
    </rcc>
    <rcc rId="0" sId="1">
      <nc r="AB601" t="inlineStr">
        <is>
          <t>0</t>
        </is>
      </nc>
    </rcc>
  </rrc>
  <rrc rId="765" sId="1" ref="A601:XFD601" action="deleteRow">
    <rfmt sheetId="1" xfDxf="1" sqref="A601:XFD601" start="0" length="0"/>
    <rcc rId="0" sId="1">
      <nc r="A601" t="inlineStr">
        <is>
          <t>Zone 3</t>
        </is>
      </nc>
    </rcc>
    <rcc rId="0" sId="1">
      <nc r="B601" t="inlineStr">
        <is>
          <t>NG2</t>
        </is>
      </nc>
    </rcc>
    <rcc rId="0" sId="1">
      <nc r="C601">
        <v>3</v>
      </nc>
    </rcc>
    <rcc rId="0" sId="1" dxf="1">
      <nc r="E601" t="inlineStr">
        <is>
          <t>W1028748/1</t>
        </is>
      </nc>
      <ndxf>
        <fill>
          <patternFill patternType="solid">
            <bgColor rgb="FFFFFF00"/>
          </patternFill>
        </fill>
      </ndxf>
    </rcc>
    <rcc rId="0" sId="1">
      <nc r="F601" t="inlineStr">
        <is>
          <t>FLX1/10001</t>
        </is>
      </nc>
    </rcc>
    <rcc rId="0" sId="1">
      <nc r="G601" t="inlineStr">
        <is>
          <t>FLEX Bulk (Cup in Intimate Wrap)</t>
        </is>
      </nc>
    </rcc>
    <rcc rId="0" sId="1">
      <nc r="H601">
        <v>387.93</v>
      </nc>
    </rcc>
    <rcc rId="0" sId="1">
      <nc r="I601">
        <v>48.97</v>
      </nc>
    </rcc>
    <rcc rId="0" sId="1">
      <nc r="J601">
        <v>375</v>
      </nc>
    </rcc>
    <rcc rId="0" sId="1">
      <nc r="K601">
        <v>233</v>
      </nc>
    </rcc>
    <rcc rId="0" sId="1" dxf="1" numFmtId="19">
      <nc r="L601">
        <v>46211.979166666664</v>
      </nc>
      <ndxf>
        <numFmt numFmtId="164" formatCode="mm\-dd\-yyyy"/>
      </ndxf>
    </rcc>
    <rcc rId="0" sId="1" dxf="1" numFmtId="19">
      <nc r="M601">
        <v>46214.013888888891</v>
      </nc>
      <ndxf>
        <numFmt numFmtId="164" formatCode="mm\-dd\-yyyy"/>
      </ndxf>
    </rcc>
    <rfmt sheetId="1" sqref="N601" start="0" length="0">
      <dxf>
        <fill>
          <patternFill patternType="solid">
            <bgColor rgb="FFFFFF00"/>
          </patternFill>
        </fill>
      </dxf>
    </rfmt>
    <rcc rId="0" sId="1" dxf="1">
      <nc r="O601" t="inlineStr">
        <is>
          <t>p</t>
        </is>
      </nc>
      <ndxf>
        <fill>
          <patternFill patternType="solid">
            <bgColor rgb="FFFFFF00"/>
          </patternFill>
        </fill>
      </ndxf>
    </rcc>
    <rfmt sheetId="1" sqref="P601" start="0" length="0">
      <dxf>
        <fill>
          <patternFill patternType="solid">
            <bgColor rgb="FFFFFF00"/>
          </patternFill>
        </fill>
      </dxf>
    </rfmt>
    <rfmt sheetId="1" sqref="Q601" start="0" length="0">
      <dxf>
        <fill>
          <patternFill patternType="solid">
            <bgColor rgb="FFFFFF00"/>
          </patternFill>
        </fill>
      </dxf>
    </rfmt>
    <rfmt sheetId="1" sqref="R601" start="0" length="0">
      <dxf>
        <fill>
          <patternFill patternType="solid">
            <bgColor rgb="FFFFFF00"/>
          </patternFill>
        </fill>
      </dxf>
    </rfmt>
    <rfmt sheetId="1" sqref="S601" start="0" length="0">
      <dxf>
        <fill>
          <patternFill patternType="solid">
            <bgColor rgb="FFFFFF00"/>
          </patternFill>
        </fill>
      </dxf>
    </rfmt>
    <rcc rId="0" sId="1">
      <nc r="AA601" t="inlineStr">
        <is>
          <t>1</t>
        </is>
      </nc>
    </rcc>
    <rcc rId="0" sId="1">
      <nc r="AB601" t="inlineStr">
        <is>
          <t>0</t>
        </is>
      </nc>
    </rcc>
  </rrc>
  <rrc rId="766" sId="1" ref="A601:XFD601" action="deleteRow">
    <rfmt sheetId="1" xfDxf="1" sqref="A601:XFD601" start="0" length="0"/>
    <rcc rId="0" sId="1">
      <nc r="A601" t="inlineStr">
        <is>
          <t>Zone 3</t>
        </is>
      </nc>
    </rcc>
    <rcc rId="0" sId="1">
      <nc r="B601" t="inlineStr">
        <is>
          <t>NG2</t>
        </is>
      </nc>
    </rcc>
    <rcc rId="0" sId="1">
      <nc r="C601">
        <v>3</v>
      </nc>
    </rcc>
    <rcc rId="0" sId="1">
      <nc r="E601" t="inlineStr">
        <is>
          <t>W1027495/1</t>
        </is>
      </nc>
    </rcc>
    <rcc rId="0" sId="1">
      <nc r="F601" t="inlineStr">
        <is>
          <t>FLX1/10001</t>
        </is>
      </nc>
    </rcc>
    <rcc rId="0" sId="1">
      <nc r="G601" t="inlineStr">
        <is>
          <t>FLEX Bulk (Cup in Intimate Wrap)</t>
        </is>
      </nc>
    </rcc>
    <rcc rId="0" sId="1">
      <nc r="H601">
        <v>517.23</v>
      </nc>
    </rcc>
    <rcc rId="0" sId="1">
      <nc r="I601">
        <v>172.41</v>
      </nc>
    </rcc>
    <rcc rId="0" sId="1">
      <nc r="J601">
        <v>500</v>
      </nc>
    </rcc>
    <rcc rId="0" sId="1">
      <nc r="K601">
        <v>0</v>
      </nc>
    </rcc>
    <rcc rId="0" sId="1" dxf="1" numFmtId="19">
      <nc r="L601">
        <v>46214.020833333336</v>
      </nc>
      <ndxf>
        <numFmt numFmtId="164" formatCode="mm\-dd\-yyyy"/>
      </ndxf>
    </rcc>
    <rcc rId="0" sId="1" dxf="1" numFmtId="19">
      <nc r="M601">
        <v>46221.347222222219</v>
      </nc>
      <ndxf>
        <numFmt numFmtId="164" formatCode="mm\-dd\-yyyy"/>
      </ndxf>
    </rcc>
    <rcc rId="0" sId="1">
      <nc r="O601" t="inlineStr">
        <is>
          <t>p</t>
        </is>
      </nc>
    </rcc>
    <rcc rId="0" sId="1">
      <nc r="AA601" t="inlineStr">
        <is>
          <t>1</t>
        </is>
      </nc>
    </rcc>
    <rcc rId="0" sId="1">
      <nc r="AB601" t="inlineStr">
        <is>
          <t>0</t>
        </is>
      </nc>
    </rcc>
  </rrc>
  <rrc rId="767" sId="1" ref="A601:XFD601" action="deleteRow">
    <rfmt sheetId="1" xfDxf="1" sqref="A601:XFD601" start="0" length="0"/>
    <rcc rId="0" sId="1">
      <nc r="A601" t="inlineStr">
        <is>
          <t>Zone 3</t>
        </is>
      </nc>
    </rcc>
    <rcc rId="0" sId="1">
      <nc r="B601" t="inlineStr">
        <is>
          <t>NG2</t>
        </is>
      </nc>
    </rcc>
    <rcc rId="0" sId="1">
      <nc r="C601">
        <v>3</v>
      </nc>
    </rcc>
    <rcc rId="0" sId="1">
      <nc r="E601" t="inlineStr">
        <is>
          <t>W1027816/1</t>
        </is>
      </nc>
    </rcc>
    <rcc rId="0" sId="1">
      <nc r="F601" t="inlineStr">
        <is>
          <t>FLX3/10155</t>
        </is>
      </nc>
    </rcc>
    <rcc rId="0" sId="1">
      <nc r="G601" t="inlineStr">
        <is>
          <t>Plant + Bulk (Cup in Intimate Wrap)</t>
        </is>
      </nc>
    </rcc>
    <rcc rId="0" sId="1">
      <nc r="H601">
        <v>155.16</v>
      </nc>
    </rcc>
    <rcc rId="0" sId="1">
      <nc r="I601">
        <v>51.72</v>
      </nc>
    </rcc>
    <rcc rId="0" sId="1">
      <nc r="J601">
        <v>150</v>
      </nc>
    </rcc>
    <rcc rId="0" sId="1">
      <nc r="K601">
        <v>0</v>
      </nc>
    </rcc>
    <rcc rId="0" sId="1" dxf="1" numFmtId="19">
      <nc r="L601">
        <v>46221.354166666664</v>
      </nc>
      <ndxf>
        <numFmt numFmtId="164" formatCode="mm\-dd\-yyyy"/>
      </ndxf>
    </rcc>
    <rcc rId="0" sId="1" dxf="1" numFmtId="19">
      <nc r="M601">
        <v>46223.652777777781</v>
      </nc>
      <ndxf>
        <numFmt numFmtId="164" formatCode="mm\-dd\-yyyy"/>
      </ndxf>
    </rcc>
    <rcc rId="0" sId="1">
      <nc r="AA601" t="inlineStr">
        <is>
          <t>1</t>
        </is>
      </nc>
    </rcc>
    <rcc rId="0" sId="1">
      <nc r="AB601" t="inlineStr">
        <is>
          <t>0</t>
        </is>
      </nc>
    </rcc>
  </rrc>
  <rrc rId="768" sId="1" ref="A601:XFD601" action="deleteRow">
    <rfmt sheetId="1" xfDxf="1" sqref="A601:XFD601" start="0" length="0"/>
    <rcc rId="0" sId="1">
      <nc r="A601" t="inlineStr">
        <is>
          <t>Zone 3</t>
        </is>
      </nc>
    </rcc>
    <rcc rId="0" sId="1">
      <nc r="B601" t="inlineStr">
        <is>
          <t>NG2</t>
        </is>
      </nc>
    </rcc>
    <rcc rId="0" sId="1">
      <nc r="C601">
        <v>3</v>
      </nc>
    </rcc>
    <rcc rId="0" sId="1">
      <nc r="E601" t="inlineStr">
        <is>
          <t>W1029878/1</t>
        </is>
      </nc>
    </rcc>
    <rcc rId="0" sId="1">
      <nc r="F601" t="inlineStr">
        <is>
          <t>INS1/00002</t>
        </is>
      </nc>
    </rcc>
    <rcc rId="0" sId="1">
      <nc r="G601" t="inlineStr">
        <is>
          <t>Softdisc Bulk (Purple Intimate Wrap)</t>
        </is>
      </nc>
    </rcc>
    <rcc rId="0" sId="1">
      <nc r="H601">
        <v>258.63</v>
      </nc>
    </rcc>
    <rcc rId="0" sId="1">
      <nc r="I601">
        <v>86.21</v>
      </nc>
    </rcc>
    <rcc rId="0" sId="1">
      <nc r="J601">
        <v>250</v>
      </nc>
    </rcc>
    <rcc rId="0" sId="1">
      <nc r="K601">
        <v>0</v>
      </nc>
    </rcc>
    <rcc rId="0" sId="1" dxf="1" numFmtId="19">
      <nc r="L601">
        <v>46223.659722222219</v>
      </nc>
      <ndxf>
        <numFmt numFmtId="164" formatCode="mm\-dd\-yyyy"/>
      </ndxf>
    </rcc>
    <rcc rId="0" sId="1" dxf="1" numFmtId="19">
      <nc r="M601">
        <v>46227.395833333336</v>
      </nc>
      <ndxf>
        <numFmt numFmtId="164" formatCode="mm\-dd\-yyyy"/>
      </ndxf>
    </rcc>
    <rcc rId="0" sId="1">
      <nc r="AA601" t="inlineStr">
        <is>
          <t>1</t>
        </is>
      </nc>
    </rcc>
    <rcc rId="0" sId="1">
      <nc r="AB601" t="inlineStr">
        <is>
          <t>0</t>
        </is>
      </nc>
    </rcc>
  </rrc>
  <rrc rId="769" sId="1" ref="A601:XFD601" action="deleteRow">
    <rfmt sheetId="1" xfDxf="1" sqref="A601:XFD601" start="0" length="0"/>
    <rcc rId="0" sId="1">
      <nc r="A601" t="inlineStr">
        <is>
          <t>Zone 3</t>
        </is>
      </nc>
    </rcc>
    <rcc rId="0" sId="1">
      <nc r="B601" t="inlineStr">
        <is>
          <t>NG2</t>
        </is>
      </nc>
    </rcc>
    <rcc rId="0" sId="1">
      <nc r="C601">
        <v>3</v>
      </nc>
    </rcc>
    <rcc rId="0" sId="1">
      <nc r="E601" t="inlineStr">
        <is>
          <t>W1027496/1</t>
        </is>
      </nc>
    </rcc>
    <rcc rId="0" sId="1">
      <nc r="F601" t="inlineStr">
        <is>
          <t>FLX1/10001</t>
        </is>
      </nc>
    </rcc>
    <rcc rId="0" sId="1">
      <nc r="G601" t="inlineStr">
        <is>
          <t>FLEX Bulk (Cup in Intimate Wrap)</t>
        </is>
      </nc>
    </rcc>
    <rcc rId="0" sId="1">
      <nc r="H601">
        <v>517.23</v>
      </nc>
    </rcc>
    <rcc rId="0" sId="1">
      <nc r="I601">
        <v>172.41</v>
      </nc>
    </rcc>
    <rcc rId="0" sId="1">
      <nc r="J601">
        <v>500</v>
      </nc>
    </rcc>
    <rcc rId="0" sId="1">
      <nc r="K601">
        <v>0</v>
      </nc>
    </rcc>
    <rcc rId="0" sId="1" dxf="1" numFmtId="19">
      <nc r="L601">
        <v>46227.402777777781</v>
      </nc>
      <ndxf>
        <numFmt numFmtId="164" formatCode="mm\-dd\-yyyy"/>
      </ndxf>
    </rcc>
    <rcc rId="0" sId="1" dxf="1" numFmtId="19">
      <nc r="M601">
        <v>46234.729166666664</v>
      </nc>
      <ndxf>
        <numFmt numFmtId="164" formatCode="mm\-dd\-yyyy"/>
      </ndxf>
    </rcc>
    <rcc rId="0" sId="1">
      <nc r="AA601" t="inlineStr">
        <is>
          <t>1</t>
        </is>
      </nc>
    </rcc>
    <rcc rId="0" sId="1">
      <nc r="AB601" t="inlineStr">
        <is>
          <t>0</t>
        </is>
      </nc>
    </rcc>
  </rrc>
  <rrc rId="770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WS47/1</t>
        </is>
      </nc>
    </rcc>
    <rcc rId="0" sId="1">
      <nc r="F272" t="inlineStr">
        <is>
          <t>SMI1/73-0410R-DPP50</t>
        </is>
      </nc>
    </rcc>
    <rcc rId="0" sId="1">
      <nc r="G272" t="inlineStr">
        <is>
          <t>#10R Dermaplaning Blade -50 Pack</t>
        </is>
      </nc>
    </rcc>
    <rcc rId="0" sId="1">
      <nc r="H272">
        <v>5.68</v>
      </nc>
    </rcc>
    <rcc rId="0" sId="1">
      <nc r="I272">
        <v>5.68</v>
      </nc>
    </rcc>
    <rcc rId="0" sId="1">
      <nc r="J272">
        <v>426</v>
      </nc>
    </rcc>
    <rcc rId="0" sId="1">
      <nc r="K272">
        <v>0</v>
      </nc>
    </rcc>
    <rcc rId="0" sId="1" dxf="1" numFmtId="19">
      <nc r="L272">
        <v>46209.291666666664</v>
      </nc>
      <ndxf>
        <numFmt numFmtId="164" formatCode="mm\-dd\-yyyy"/>
      </ndxf>
    </rcc>
    <rcc rId="0" sId="1" dxf="1" numFmtId="19">
      <nc r="M272">
        <v>46209.548611111109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71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WS48/1</t>
        </is>
      </nc>
    </rcc>
    <rcc rId="0" sId="1">
      <nc r="F272" t="inlineStr">
        <is>
          <t>SMI1/73-0410R-DPP50</t>
        </is>
      </nc>
    </rcc>
    <rcc rId="0" sId="1">
      <nc r="G272" t="inlineStr">
        <is>
          <t>#10R Dermaplaning Blade -50 Pack</t>
        </is>
      </nc>
    </rcc>
    <rcc rId="0" sId="1">
      <nc r="H272">
        <v>5.68</v>
      </nc>
    </rcc>
    <rcc rId="0" sId="1">
      <nc r="I272">
        <v>5.68</v>
      </nc>
    </rcc>
    <rcc rId="0" sId="1">
      <nc r="J272">
        <v>426</v>
      </nc>
    </rcc>
    <rcc rId="0" sId="1">
      <nc r="K272">
        <v>0</v>
      </nc>
    </rcc>
    <rcc rId="0" sId="1" dxf="1" numFmtId="19">
      <nc r="L272">
        <v>46209.416666666664</v>
      </nc>
      <ndxf>
        <numFmt numFmtId="164" formatCode="mm\-dd\-yyyy"/>
      </ndxf>
    </rcc>
    <rcc rId="0" sId="1" dxf="1" numFmtId="19">
      <nc r="M272">
        <v>46210.340277777781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72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WS46/1</t>
        </is>
      </nc>
    </rcc>
    <rcc rId="0" sId="1">
      <nc r="F272" t="inlineStr">
        <is>
          <t>SMI1/73-0410R-DPP50</t>
        </is>
      </nc>
    </rcc>
    <rcc rId="0" sId="1">
      <nc r="G272" t="inlineStr">
        <is>
          <t>#10R Dermaplaning Blade -50 Pack</t>
        </is>
      </nc>
    </rcc>
    <rcc rId="0" sId="1">
      <nc r="H272">
        <v>5.68</v>
      </nc>
    </rcc>
    <rcc rId="0" sId="1">
      <nc r="I272">
        <v>5.68</v>
      </nc>
    </rcc>
    <rcc rId="0" sId="1">
      <nc r="J272">
        <v>426</v>
      </nc>
    </rcc>
    <rcc rId="0" sId="1">
      <nc r="K272">
        <v>0</v>
      </nc>
    </rcc>
    <rcc rId="0" sId="1" dxf="1" numFmtId="19">
      <nc r="L272">
        <v>46209.604166666664</v>
      </nc>
      <ndxf>
        <numFmt numFmtId="164" formatCode="mm\-dd\-yyyy"/>
      </ndxf>
    </rcc>
    <rcc rId="0" sId="1" dxf="1" numFmtId="19">
      <nc r="M272">
        <v>46210.527777777781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73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WS61/1</t>
        </is>
      </nc>
    </rcc>
    <rcc rId="0" sId="1">
      <nc r="F272" t="inlineStr">
        <is>
          <t>SMI1/73-0410R-DPP50</t>
        </is>
      </nc>
    </rcc>
    <rcc rId="0" sId="1">
      <nc r="G272" t="inlineStr">
        <is>
          <t>#10R Dermaplaning Blade -50 Pack</t>
        </is>
      </nc>
    </rcc>
    <rcc rId="0" sId="1">
      <nc r="H272">
        <v>5.68</v>
      </nc>
    </rcc>
    <rcc rId="0" sId="1">
      <nc r="I272">
        <v>5.68</v>
      </nc>
    </rcc>
    <rcc rId="0" sId="1">
      <nc r="J272">
        <v>426</v>
      </nc>
    </rcc>
    <rcc rId="0" sId="1">
      <nc r="K272">
        <v>0</v>
      </nc>
    </rcc>
    <rcc rId="0" sId="1" dxf="1" numFmtId="19">
      <nc r="L272">
        <v>46210.458333333336</v>
      </nc>
      <ndxf>
        <numFmt numFmtId="164" formatCode="mm\-dd\-yyyy"/>
      </ndxf>
    </rcc>
    <rcc rId="0" sId="1" dxf="1" numFmtId="19">
      <nc r="M272">
        <v>46211.381944444445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74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WS62/1</t>
        </is>
      </nc>
    </rcc>
    <rcc rId="0" sId="1">
      <nc r="F272" t="inlineStr">
        <is>
          <t>SMI1/73-0410R-DPP50</t>
        </is>
      </nc>
    </rcc>
    <rcc rId="0" sId="1">
      <nc r="G272" t="inlineStr">
        <is>
          <t>#10R Dermaplaning Blade -50 Pack</t>
        </is>
      </nc>
    </rcc>
    <rcc rId="0" sId="1">
      <nc r="H272">
        <v>5.68</v>
      </nc>
    </rcc>
    <rcc rId="0" sId="1">
      <nc r="I272">
        <v>5.68</v>
      </nc>
    </rcc>
    <rcc rId="0" sId="1">
      <nc r="J272">
        <v>426</v>
      </nc>
    </rcc>
    <rcc rId="0" sId="1">
      <nc r="K272">
        <v>0</v>
      </nc>
    </rcc>
    <rcc rId="0" sId="1" dxf="1" numFmtId="19">
      <nc r="L272">
        <v>46211.3125</v>
      </nc>
      <ndxf>
        <numFmt numFmtId="164" formatCode="mm\-dd\-yyyy"/>
      </ndxf>
    </rcc>
    <rcc rId="0" sId="1" dxf="1" numFmtId="19">
      <nc r="M272">
        <v>46211.569444444445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75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WS63/1</t>
        </is>
      </nc>
    </rcc>
    <rcc rId="0" sId="1">
      <nc r="F272" t="inlineStr">
        <is>
          <t>SMI1/73-0410R-DPP50</t>
        </is>
      </nc>
    </rcc>
    <rcc rId="0" sId="1">
      <nc r="G272" t="inlineStr">
        <is>
          <t>#10R Dermaplaning Blade -50 Pack</t>
        </is>
      </nc>
    </rcc>
    <rcc rId="0" sId="1">
      <nc r="H272">
        <v>5.68</v>
      </nc>
    </rcc>
    <rcc rId="0" sId="1">
      <nc r="I272">
        <v>5.68</v>
      </nc>
    </rcc>
    <rcc rId="0" sId="1">
      <nc r="J272">
        <v>426</v>
      </nc>
    </rcc>
    <rcc rId="0" sId="1">
      <nc r="K272">
        <v>0</v>
      </nc>
    </rcc>
    <rcc rId="0" sId="1" dxf="1" numFmtId="19">
      <nc r="L272">
        <v>46211.5</v>
      </nc>
      <ndxf>
        <numFmt numFmtId="164" formatCode="mm\-dd\-yyyy"/>
      </ndxf>
    </rcc>
    <rcc rId="0" sId="1" dxf="1" numFmtId="19">
      <nc r="M272">
        <v>46212.423611111109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76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WS85/1</t>
        </is>
      </nc>
    </rcc>
    <rcc rId="0" sId="1">
      <nc r="F272" t="inlineStr">
        <is>
          <t>SMI1/73-0410R-DPP25</t>
        </is>
      </nc>
    </rcc>
    <rcc rId="0" sId="1">
      <nc r="G272" t="inlineStr">
        <is>
          <t>#10R Dermaplaning Blade -25 Pack</t>
        </is>
      </nc>
    </rcc>
    <rcc rId="0" sId="1">
      <nc r="H272">
        <v>5.68</v>
      </nc>
    </rcc>
    <rcc rId="0" sId="1">
      <nc r="I272">
        <v>5.68</v>
      </nc>
    </rcc>
    <rcc rId="0" sId="1">
      <nc r="J272">
        <v>852</v>
      </nc>
    </rcc>
    <rcc rId="0" sId="1">
      <nc r="K272">
        <v>0</v>
      </nc>
    </rcc>
    <rcc rId="0" sId="1" dxf="1" numFmtId="19">
      <nc r="L272">
        <v>46212.354166666664</v>
      </nc>
      <ndxf>
        <numFmt numFmtId="164" formatCode="mm\-dd\-yyyy"/>
      </ndxf>
    </rcc>
    <rcc rId="0" sId="1" dxf="1" numFmtId="19">
      <nc r="M272">
        <v>46212.611111111109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77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WS64/1</t>
        </is>
      </nc>
    </rcc>
    <rcc rId="0" sId="1">
      <nc r="F272" t="inlineStr">
        <is>
          <t>SMI1/73-0410R-DPP50</t>
        </is>
      </nc>
    </rcc>
    <rcc rId="0" sId="1">
      <nc r="G272" t="inlineStr">
        <is>
          <t>#10R Dermaplaning Blade -50 Pack</t>
        </is>
      </nc>
    </rcc>
    <rcc rId="0" sId="1">
      <nc r="H272">
        <v>5.68</v>
      </nc>
    </rcc>
    <rcc rId="0" sId="1">
      <nc r="I272">
        <v>5.68</v>
      </nc>
    </rcc>
    <rcc rId="0" sId="1">
      <nc r="J272">
        <v>426</v>
      </nc>
    </rcc>
    <rcc rId="0" sId="1">
      <nc r="K272">
        <v>0</v>
      </nc>
    </rcc>
    <rcc rId="0" sId="1" dxf="1" numFmtId="19">
      <nc r="L272">
        <v>46212.541666666664</v>
      </nc>
      <ndxf>
        <numFmt numFmtId="164" formatCode="mm\-dd\-yyyy"/>
      </ndxf>
    </rcc>
    <rcc rId="0" sId="1" dxf="1" numFmtId="19">
      <nc r="M272">
        <v>46213.465277777781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78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WS65/1</t>
        </is>
      </nc>
    </rcc>
    <rcc rId="0" sId="1">
      <nc r="F272" t="inlineStr">
        <is>
          <t>SMI1/73-0410R-DPP50</t>
        </is>
      </nc>
    </rcc>
    <rcc rId="0" sId="1">
      <nc r="G272" t="inlineStr">
        <is>
          <t>#10R Dermaplaning Blade -50 Pack</t>
        </is>
      </nc>
    </rcc>
    <rcc rId="0" sId="1">
      <nc r="H272">
        <v>5.68</v>
      </nc>
    </rcc>
    <rcc rId="0" sId="1">
      <nc r="I272">
        <v>5.68</v>
      </nc>
    </rcc>
    <rcc rId="0" sId="1">
      <nc r="J272">
        <v>426</v>
      </nc>
    </rcc>
    <rcc rId="0" sId="1">
      <nc r="K272">
        <v>0</v>
      </nc>
    </rcc>
    <rcc rId="0" sId="1" dxf="1" numFmtId="19">
      <nc r="L272">
        <v>46213.395833333336</v>
      </nc>
      <ndxf>
        <numFmt numFmtId="164" formatCode="mm\-dd\-yyyy"/>
      </ndxf>
    </rcc>
    <rcc rId="0" sId="1" dxf="1" numFmtId="19">
      <nc r="M272">
        <v>46216.319444444445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79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WS66/1</t>
        </is>
      </nc>
    </rcc>
    <rcc rId="0" sId="1">
      <nc r="F272" t="inlineStr">
        <is>
          <t>SMI1/73-0410R-DPP50</t>
        </is>
      </nc>
    </rcc>
    <rcc rId="0" sId="1">
      <nc r="G272" t="inlineStr">
        <is>
          <t>#10R Dermaplaning Blade -50 Pack</t>
        </is>
      </nc>
    </rcc>
    <rcc rId="0" sId="1">
      <nc r="H272">
        <v>5.68</v>
      </nc>
    </rcc>
    <rcc rId="0" sId="1">
      <nc r="I272">
        <v>5.68</v>
      </nc>
    </rcc>
    <rcc rId="0" sId="1">
      <nc r="J272">
        <v>426</v>
      </nc>
    </rcc>
    <rcc rId="0" sId="1">
      <nc r="K272">
        <v>0</v>
      </nc>
    </rcc>
    <rcc rId="0" sId="1" dxf="1" numFmtId="19">
      <nc r="L272">
        <v>46213.583333333336</v>
      </nc>
      <ndxf>
        <numFmt numFmtId="164" formatCode="mm\-dd\-yyyy"/>
      </ndxf>
    </rcc>
    <rcc rId="0" sId="1" dxf="1" numFmtId="19">
      <nc r="M272">
        <v>46216.506944444445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80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WS67/1</t>
        </is>
      </nc>
    </rcc>
    <rcc rId="0" sId="1">
      <nc r="F272" t="inlineStr">
        <is>
          <t>SMI1/73-0410R-DPP50</t>
        </is>
      </nc>
    </rcc>
    <rcc rId="0" sId="1">
      <nc r="G272" t="inlineStr">
        <is>
          <t>#10R Dermaplaning Blade -50 Pack</t>
        </is>
      </nc>
    </rcc>
    <rcc rId="0" sId="1">
      <nc r="H272">
        <v>5.68</v>
      </nc>
    </rcc>
    <rcc rId="0" sId="1">
      <nc r="I272">
        <v>5.68</v>
      </nc>
    </rcc>
    <rcc rId="0" sId="1">
      <nc r="J272">
        <v>426</v>
      </nc>
    </rcc>
    <rcc rId="0" sId="1">
      <nc r="K272">
        <v>0</v>
      </nc>
    </rcc>
    <rcc rId="0" sId="1" dxf="1" numFmtId="19">
      <nc r="L272">
        <v>46216.4375</v>
      </nc>
      <ndxf>
        <numFmt numFmtId="164" formatCode="mm\-dd\-yyyy"/>
      </ndxf>
    </rcc>
    <rcc rId="0" sId="1" dxf="1" numFmtId="19">
      <nc r="M272">
        <v>46217.361111111109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81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WS40/1</t>
        </is>
      </nc>
    </rcc>
    <rcc rId="0" sId="1">
      <nc r="F272" t="inlineStr">
        <is>
          <t>SMI1/73-0410</t>
        </is>
      </nc>
    </rcc>
    <rcc rId="0" sId="1">
      <nc r="G272" t="inlineStr">
        <is>
          <t>#10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46217.291666666664</v>
      </nc>
      <ndxf>
        <numFmt numFmtId="164" formatCode="mm\-dd\-yyyy"/>
      </ndxf>
    </rcc>
    <rcc rId="0" sId="1" dxf="1" numFmtId="19">
      <nc r="M272">
        <v>46217.548611111109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82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WN39/1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46217.479166666664</v>
      </nc>
      <ndxf>
        <numFmt numFmtId="164" formatCode="mm\-dd\-yyyy"/>
      </ndxf>
    </rcc>
    <rcc rId="0" sId="1" dxf="1" numFmtId="19">
      <nc r="M272">
        <v>46218.402777777781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83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WN40/1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46218.333333333336</v>
      </nc>
      <ndxf>
        <numFmt numFmtId="164" formatCode="mm\-dd\-yyyy"/>
      </ndxf>
    </rcc>
    <rcc rId="0" sId="1" dxf="1" numFmtId="19">
      <nc r="M272">
        <v>46218.590277777781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84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WN41/1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46218.520833333336</v>
      </nc>
      <ndxf>
        <numFmt numFmtId="164" formatCode="mm\-dd\-yyyy"/>
      </ndxf>
    </rcc>
    <rcc rId="0" sId="1" dxf="1" numFmtId="19">
      <nc r="M272">
        <v>46219.444444444445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85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WN42/1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46219.375</v>
      </nc>
      <ndxf>
        <numFmt numFmtId="164" formatCode="mm\-dd\-yyyy"/>
      </ndxf>
    </rcc>
    <rcc rId="0" sId="1" dxf="1" numFmtId="19">
      <nc r="M272">
        <v>46220.298611111109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86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WN43/1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46219.5625</v>
      </nc>
      <ndxf>
        <numFmt numFmtId="164" formatCode="mm\-dd\-yyyy"/>
      </ndxf>
    </rcc>
    <rcc rId="0" sId="1" dxf="1" numFmtId="19">
      <nc r="M272">
        <v>46220.486111111109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87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WR48/1</t>
        </is>
      </nc>
    </rcc>
    <rcc rId="0" sId="1">
      <nc r="F272" t="inlineStr">
        <is>
          <t>SMI1/73-0420</t>
        </is>
      </nc>
    </rcc>
    <rcc rId="0" sId="1">
      <nc r="G272" t="inlineStr">
        <is>
          <t>#20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46220.416666666664</v>
      </nc>
      <ndxf>
        <numFmt numFmtId="164" formatCode="mm\-dd\-yyyy"/>
      </ndxf>
    </rcc>
    <rcc rId="0" sId="1" dxf="1" numFmtId="19">
      <nc r="M272">
        <v>46223.340277777781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88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2</v>
      </nc>
    </rcc>
    <rcc rId="0" sId="1">
      <nc r="E272" t="inlineStr">
        <is>
          <t>WN05/1</t>
        </is>
      </nc>
    </rcc>
    <rcc rId="0" sId="1">
      <nc r="F272" t="inlineStr">
        <is>
          <t>SMI1/73-0022</t>
        </is>
      </nc>
    </rcc>
    <rcc rId="0" sId="1">
      <nc r="G272" t="inlineStr">
        <is>
          <t>#22 SS Blade Sterile</t>
        </is>
      </nc>
    </rcc>
    <rcc rId="0" sId="1">
      <nc r="H272">
        <v>1.6</v>
      </nc>
    </rcc>
    <rcc rId="0" sId="1">
      <nc r="I272">
        <v>0.8</v>
      </nc>
    </rcc>
    <rcc rId="0" sId="1">
      <nc r="J272">
        <v>20</v>
      </nc>
    </rcc>
    <rcc rId="0" sId="1">
      <nc r="K272">
        <v>0</v>
      </nc>
    </rcc>
    <rcc rId="0" sId="1" dxf="1" numFmtId="19">
      <nc r="L272">
        <v>46220.465277777781</v>
      </nc>
      <ndxf>
        <numFmt numFmtId="164" formatCode="mm\-dd\-yyyy"/>
      </ndxf>
    </rcc>
    <rcc rId="0" sId="1" dxf="1" numFmtId="19">
      <nc r="M272">
        <v>46220.513888888891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89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WN66/1</t>
        </is>
      </nc>
    </rcc>
    <rcc rId="0" sId="1">
      <nc r="F272" t="inlineStr">
        <is>
          <t>SMI1/73-0010</t>
        </is>
      </nc>
    </rcc>
    <rcc rId="0" sId="1">
      <nc r="G272" t="inlineStr">
        <is>
          <t>#10 SS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144</v>
      </nc>
    </rcc>
    <rcc rId="0" sId="1">
      <nc r="K272">
        <v>0</v>
      </nc>
    </rcc>
    <rcc rId="0" sId="1" dxf="1" numFmtId="19">
      <nc r="L272">
        <v>46223.319444444445</v>
      </nc>
      <ndxf>
        <numFmt numFmtId="164" formatCode="mm\-dd\-yyyy"/>
      </ndxf>
    </rcc>
    <rcc rId="0" sId="1" dxf="1" numFmtId="19">
      <nc r="M272">
        <v>46223.576388888891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90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WN44/1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46223.506944444445</v>
      </nc>
      <ndxf>
        <numFmt numFmtId="164" formatCode="mm\-dd\-yyyy"/>
      </ndxf>
    </rcc>
    <rcc rId="0" sId="1" dxf="1" numFmtId="19">
      <nc r="M272">
        <v>46224.430555555555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91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WN45/1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46224.361111111109</v>
      </nc>
      <ndxf>
        <numFmt numFmtId="164" formatCode="mm\-dd\-yyyy"/>
      </ndxf>
    </rcc>
    <rcc rId="0" sId="1" dxf="1" numFmtId="19">
      <nc r="M272">
        <v>46224.618055555555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92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WN46/1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46224.548611111109</v>
      </nc>
      <ndxf>
        <numFmt numFmtId="164" formatCode="mm\-dd\-yyyy"/>
      </ndxf>
    </rcc>
    <rcc rId="0" sId="1" dxf="1" numFmtId="19">
      <nc r="M272">
        <v>46225.472222222219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93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WN47/1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46225.402777777781</v>
      </nc>
      <ndxf>
        <numFmt numFmtId="164" formatCode="mm\-dd\-yyyy"/>
      </ndxf>
    </rcc>
    <rcc rId="0" sId="1" dxf="1" numFmtId="19">
      <nc r="M272">
        <v>46226.326388888891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94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WN48/1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46225.590277777781</v>
      </nc>
      <ndxf>
        <numFmt numFmtId="164" formatCode="mm\-dd\-yyyy"/>
      </ndxf>
    </rcc>
    <rcc rId="0" sId="1" dxf="1" numFmtId="19">
      <nc r="M272">
        <v>46226.513888888891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95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WN49/1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46226.444444444445</v>
      </nc>
      <ndxf>
        <numFmt numFmtId="164" formatCode="mm\-dd\-yyyy"/>
      </ndxf>
    </rcc>
    <rcc rId="0" sId="1" dxf="1" numFmtId="19">
      <nc r="M272">
        <v>46227.368055555555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96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WN50/1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46227.298611111109</v>
      </nc>
      <ndxf>
        <numFmt numFmtId="164" formatCode="mm\-dd\-yyyy"/>
      </ndxf>
    </rcc>
    <rcc rId="0" sId="1" dxf="1" numFmtId="19">
      <nc r="M272">
        <v>46227.555555555555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97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WN51/1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46227.486111111109</v>
      </nc>
      <ndxf>
        <numFmt numFmtId="164" formatCode="mm\-dd\-yyyy"/>
      </ndxf>
    </rcc>
    <rcc rId="0" sId="1" dxf="1" numFmtId="19">
      <nc r="M272">
        <v>46230.409722222219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98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WN52/1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46230.340277777781</v>
      </nc>
      <ndxf>
        <numFmt numFmtId="164" formatCode="mm\-dd\-yyyy"/>
      </ndxf>
    </rcc>
    <rcc rId="0" sId="1" dxf="1" numFmtId="19">
      <nc r="M272">
        <v>46230.597222222219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799" sId="1" ref="A272:XFD272" action="deleteRow">
    <rfmt sheetId="1" xfDxf="1" sqref="A272:XFD272" start="0" length="0"/>
    <rcc rId="0" sId="1">
      <nc r="A272" t="inlineStr">
        <is>
          <t>Zone 1</t>
        </is>
      </nc>
    </rcc>
    <rcc rId="0" sId="1">
      <nc r="B272" t="inlineStr">
        <is>
          <t>PERS PACK</t>
        </is>
      </nc>
    </rcc>
    <rcc rId="0" sId="1">
      <nc r="C272">
        <v>1</v>
      </nc>
    </rcc>
    <rcc rId="0" sId="1">
      <nc r="E272" t="inlineStr">
        <is>
          <t>WN53/1</t>
        </is>
      </nc>
    </rcc>
    <rcc rId="0" sId="1">
      <nc r="F272" t="inlineStr">
        <is>
          <t>SMI1/73-0415</t>
        </is>
      </nc>
    </rcc>
    <rcc rId="0" sId="1">
      <nc r="G272" t="inlineStr">
        <is>
          <t>#15 Polymer Coated Blade Sterile</t>
        </is>
      </nc>
    </rcc>
    <rcc rId="0" sId="1">
      <nc r="H272">
        <v>5.76</v>
      </nc>
    </rcc>
    <rcc rId="0" sId="1">
      <nc r="I272">
        <v>5.76</v>
      </nc>
    </rcc>
    <rcc rId="0" sId="1">
      <nc r="J272">
        <v>72</v>
      </nc>
    </rcc>
    <rcc rId="0" sId="1">
      <nc r="K272">
        <v>0</v>
      </nc>
    </rcc>
    <rcc rId="0" sId="1" dxf="1" numFmtId="19">
      <nc r="L272">
        <v>46230.527777777781</v>
      </nc>
      <ndxf>
        <numFmt numFmtId="164" formatCode="mm\-dd\-yyyy"/>
      </ndxf>
    </rcc>
    <rcc rId="0" sId="1" dxf="1" numFmtId="19">
      <nc r="M272">
        <v>46231.451388888891</v>
      </nc>
      <ndxf>
        <numFmt numFmtId="164" formatCode="mm\-dd\-yyyy"/>
      </ndxf>
    </rcc>
    <rcc rId="0" sId="1">
      <nc r="AA272" t="inlineStr">
        <is>
          <t>1</t>
        </is>
      </nc>
    </rcc>
    <rcc rId="0" sId="1">
      <nc r="AB272" t="inlineStr">
        <is>
          <t>0</t>
        </is>
      </nc>
    </rcc>
  </rrc>
  <rrc rId="800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WS48-9/1</t>
        </is>
      </nc>
    </rcc>
    <rcc rId="0" sId="1">
      <nc r="F234" t="inlineStr">
        <is>
          <t>SMI1/73-0410R-DPP50</t>
        </is>
      </nc>
    </rcc>
    <rcc rId="0" sId="1">
      <nc r="G234" t="inlineStr">
        <is>
          <t>#10R Dermaplaning Blade -50 Pack</t>
        </is>
      </nc>
    </rcc>
    <rcc rId="0" sId="1">
      <nc r="H234">
        <v>7.88</v>
      </nc>
    </rcc>
    <rcc rId="0" sId="1">
      <nc r="I234">
        <v>2.98</v>
      </nc>
    </rcc>
    <rcc rId="0" sId="1">
      <nc r="J234">
        <v>21300</v>
      </nc>
    </rcc>
    <rcc rId="0" sId="1">
      <nc r="K234">
        <v>5210</v>
      </nc>
    </rcc>
    <rcc rId="0" sId="1" dxf="1" numFmtId="19">
      <nc r="L234">
        <v>46209.291666666664</v>
      </nc>
      <ndxf>
        <numFmt numFmtId="164" formatCode="mm\-dd\-yyyy"/>
      </ndxf>
    </rcc>
    <rcc rId="0" sId="1" dxf="1" numFmtId="19">
      <nc r="M234">
        <v>46209.409722222219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01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WS46-9/1</t>
        </is>
      </nc>
    </rcc>
    <rcc rId="0" sId="1">
      <nc r="F234" t="inlineStr">
        <is>
          <t>SMI1/73-0410R-DPP50</t>
        </is>
      </nc>
    </rcc>
    <rcc rId="0" sId="1">
      <nc r="G234" t="inlineStr">
        <is>
          <t>#10R Dermaplaning Blade -50 Pack</t>
        </is>
      </nc>
    </rcc>
    <rcc rId="0" sId="1">
      <nc r="H234">
        <v>7.88</v>
      </nc>
    </rcc>
    <rcc rId="0" sId="1">
      <nc r="I234">
        <v>3.94</v>
      </nc>
    </rcc>
    <rcc rId="0" sId="1">
      <nc r="J234">
        <v>21300</v>
      </nc>
    </rcc>
    <rcc rId="0" sId="1">
      <nc r="K234">
        <v>0</v>
      </nc>
    </rcc>
    <rcc rId="0" sId="1" dxf="1" numFmtId="19">
      <nc r="L234">
        <v>46209.416666666664</v>
      </nc>
      <ndxf>
        <numFmt numFmtId="164" formatCode="mm\-dd\-yyyy"/>
      </ndxf>
    </rcc>
    <rcc rId="0" sId="1" dxf="1" numFmtId="19">
      <nc r="M234">
        <v>46209.597222222219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02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WS61-9/1</t>
        </is>
      </nc>
    </rcc>
    <rcc rId="0" sId="1">
      <nc r="F234" t="inlineStr">
        <is>
          <t>SMI1/73-0410R-DPP50</t>
        </is>
      </nc>
    </rcc>
    <rcc rId="0" sId="1">
      <nc r="G234" t="inlineStr">
        <is>
          <t>#10R Dermaplaning Blade -50 Pack</t>
        </is>
      </nc>
    </rcc>
    <rcc rId="0" sId="1">
      <nc r="H234">
        <v>7.88</v>
      </nc>
    </rcc>
    <rcc rId="0" sId="1">
      <nc r="I234">
        <v>3.94</v>
      </nc>
    </rcc>
    <rcc rId="0" sId="1">
      <nc r="J234">
        <v>21300</v>
      </nc>
    </rcc>
    <rcc rId="0" sId="1">
      <nc r="K234">
        <v>0</v>
      </nc>
    </rcc>
    <rcc rId="0" sId="1" dxf="1" numFmtId="19">
      <nc r="L234">
        <v>46209.604166666664</v>
      </nc>
      <ndxf>
        <numFmt numFmtId="164" formatCode="mm\-dd\-yyyy"/>
      </ndxf>
    </rcc>
    <rcc rId="0" sId="1" dxf="1" numFmtId="19">
      <nc r="M234">
        <v>46210.451388888891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03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WS62-9/1</t>
        </is>
      </nc>
    </rcc>
    <rcc rId="0" sId="1">
      <nc r="F234" t="inlineStr">
        <is>
          <t>SMI1/73-0410R-DPP50</t>
        </is>
      </nc>
    </rcc>
    <rcc rId="0" sId="1">
      <nc r="G234" t="inlineStr">
        <is>
          <t>#10R Dermaplaning Blade -50 Pack</t>
        </is>
      </nc>
    </rcc>
    <rcc rId="0" sId="1">
      <nc r="H234">
        <v>7.88</v>
      </nc>
    </rcc>
    <rcc rId="0" sId="1">
      <nc r="I234">
        <v>3.94</v>
      </nc>
    </rcc>
    <rcc rId="0" sId="1">
      <nc r="J234">
        <v>21300</v>
      </nc>
    </rcc>
    <rcc rId="0" sId="1">
      <nc r="K234">
        <v>0</v>
      </nc>
    </rcc>
    <rcc rId="0" sId="1" dxf="1" numFmtId="19">
      <nc r="L234">
        <v>46210.458333333336</v>
      </nc>
      <ndxf>
        <numFmt numFmtId="164" formatCode="mm\-dd\-yyyy"/>
      </ndxf>
    </rcc>
    <rcc rId="0" sId="1" dxf="1" numFmtId="19">
      <nc r="M234">
        <v>46211.305555555555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04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WS63-9/1</t>
        </is>
      </nc>
    </rcc>
    <rcc rId="0" sId="1">
      <nc r="F234" t="inlineStr">
        <is>
          <t>SMI1/73-0410R-DPP50</t>
        </is>
      </nc>
    </rcc>
    <rcc rId="0" sId="1">
      <nc r="G234" t="inlineStr">
        <is>
          <t>#10R Dermaplaning Blade -50 Pack</t>
        </is>
      </nc>
    </rcc>
    <rcc rId="0" sId="1">
      <nc r="H234">
        <v>7.88</v>
      </nc>
    </rcc>
    <rcc rId="0" sId="1">
      <nc r="I234">
        <v>3.94</v>
      </nc>
    </rcc>
    <rcc rId="0" sId="1">
      <nc r="J234">
        <v>21300</v>
      </nc>
    </rcc>
    <rcc rId="0" sId="1">
      <nc r="K234">
        <v>0</v>
      </nc>
    </rcc>
    <rcc rId="0" sId="1" dxf="1" numFmtId="19">
      <nc r="L234">
        <v>46211.3125</v>
      </nc>
      <ndxf>
        <numFmt numFmtId="164" formatCode="mm\-dd\-yyyy"/>
      </ndxf>
    </rcc>
    <rcc rId="0" sId="1" dxf="1" numFmtId="19">
      <nc r="M234">
        <v>46211.493055555555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05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WS85-9/1</t>
        </is>
      </nc>
    </rcc>
    <rcc rId="0" sId="1">
      <nc r="F234" t="inlineStr">
        <is>
          <t>SMI1/73-0410R-DPP25</t>
        </is>
      </nc>
    </rcc>
    <rcc rId="0" sId="1">
      <nc r="G234" t="inlineStr">
        <is>
          <t>#10R Dermaplaning Blade -25 Pack</t>
        </is>
      </nc>
    </rcc>
    <rcc rId="0" sId="1">
      <nc r="H234">
        <v>7.88</v>
      </nc>
    </rcc>
    <rcc rId="0" sId="1">
      <nc r="I234">
        <v>3.94</v>
      </nc>
    </rcc>
    <rcc rId="0" sId="1">
      <nc r="J234">
        <v>21300</v>
      </nc>
    </rcc>
    <rcc rId="0" sId="1">
      <nc r="K234">
        <v>0</v>
      </nc>
    </rcc>
    <rcc rId="0" sId="1" dxf="1" numFmtId="19">
      <nc r="L234">
        <v>46211.5</v>
      </nc>
      <ndxf>
        <numFmt numFmtId="164" formatCode="mm\-dd\-yyyy"/>
      </ndxf>
    </rcc>
    <rcc rId="0" sId="1" dxf="1" numFmtId="19">
      <nc r="M234">
        <v>46212.347222222219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06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WS64-9/1</t>
        </is>
      </nc>
    </rcc>
    <rcc rId="0" sId="1">
      <nc r="F234" t="inlineStr">
        <is>
          <t>SMI1/73-0410R-DPP50</t>
        </is>
      </nc>
    </rcc>
    <rcc rId="0" sId="1">
      <nc r="G234" t="inlineStr">
        <is>
          <t>#10R Dermaplaning Blade -50 Pack</t>
        </is>
      </nc>
    </rcc>
    <rcc rId="0" sId="1">
      <nc r="H234">
        <v>7.88</v>
      </nc>
    </rcc>
    <rcc rId="0" sId="1">
      <nc r="I234">
        <v>3.94</v>
      </nc>
    </rcc>
    <rcc rId="0" sId="1">
      <nc r="J234">
        <v>21300</v>
      </nc>
    </rcc>
    <rcc rId="0" sId="1">
      <nc r="K234">
        <v>0</v>
      </nc>
    </rcc>
    <rcc rId="0" sId="1" dxf="1" numFmtId="19">
      <nc r="L234">
        <v>46212.354166666664</v>
      </nc>
      <ndxf>
        <numFmt numFmtId="164" formatCode="mm\-dd\-yyyy"/>
      </ndxf>
    </rcc>
    <rcc rId="0" sId="1" dxf="1" numFmtId="19">
      <nc r="M234">
        <v>46212.534722222219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07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WS65-9/1</t>
        </is>
      </nc>
    </rcc>
    <rcc rId="0" sId="1">
      <nc r="F234" t="inlineStr">
        <is>
          <t>SMI1/73-0410R-DPP50</t>
        </is>
      </nc>
    </rcc>
    <rcc rId="0" sId="1">
      <nc r="G234" t="inlineStr">
        <is>
          <t>#10R Dermaplaning Blade -50 Pack</t>
        </is>
      </nc>
    </rcc>
    <rcc rId="0" sId="1">
      <nc r="H234">
        <v>7.88</v>
      </nc>
    </rcc>
    <rcc rId="0" sId="1">
      <nc r="I234">
        <v>3.94</v>
      </nc>
    </rcc>
    <rcc rId="0" sId="1">
      <nc r="J234">
        <v>21300</v>
      </nc>
    </rcc>
    <rcc rId="0" sId="1">
      <nc r="K234">
        <v>0</v>
      </nc>
    </rcc>
    <rcc rId="0" sId="1" dxf="1" numFmtId="19">
      <nc r="L234">
        <v>46212.541666666664</v>
      </nc>
      <ndxf>
        <numFmt numFmtId="164" formatCode="mm\-dd\-yyyy"/>
      </ndxf>
    </rcc>
    <rcc rId="0" sId="1" dxf="1" numFmtId="19">
      <nc r="M234">
        <v>46213.388888888891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08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WS66-9/1</t>
        </is>
      </nc>
    </rcc>
    <rcc rId="0" sId="1">
      <nc r="F234" t="inlineStr">
        <is>
          <t>SMI1/73-0410R-DPP50</t>
        </is>
      </nc>
    </rcc>
    <rcc rId="0" sId="1">
      <nc r="G234" t="inlineStr">
        <is>
          <t>#10R Dermaplaning Blade -50 Pack</t>
        </is>
      </nc>
    </rcc>
    <rcc rId="0" sId="1">
      <nc r="H234">
        <v>7.88</v>
      </nc>
    </rcc>
    <rcc rId="0" sId="1">
      <nc r="I234">
        <v>3.94</v>
      </nc>
    </rcc>
    <rcc rId="0" sId="1">
      <nc r="J234">
        <v>21300</v>
      </nc>
    </rcc>
    <rcc rId="0" sId="1">
      <nc r="K234">
        <v>0</v>
      </nc>
    </rcc>
    <rcc rId="0" sId="1" dxf="1" numFmtId="19">
      <nc r="L234">
        <v>46213.395833333336</v>
      </nc>
      <ndxf>
        <numFmt numFmtId="164" formatCode="mm\-dd\-yyyy"/>
      </ndxf>
    </rcc>
    <rcc rId="0" sId="1" dxf="1" numFmtId="19">
      <nc r="M234">
        <v>46213.576388888891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09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WS67-9/1</t>
        </is>
      </nc>
    </rcc>
    <rcc rId="0" sId="1">
      <nc r="F234" t="inlineStr">
        <is>
          <t>SMI1/73-0410R-DPP50</t>
        </is>
      </nc>
    </rcc>
    <rcc rId="0" sId="1">
      <nc r="G234" t="inlineStr">
        <is>
          <t>#10R Dermaplaning Blade -50 Pack</t>
        </is>
      </nc>
    </rcc>
    <rcc rId="0" sId="1">
      <nc r="H234">
        <v>7.88</v>
      </nc>
    </rcc>
    <rcc rId="0" sId="1">
      <nc r="I234">
        <v>3.94</v>
      </nc>
    </rcc>
    <rcc rId="0" sId="1">
      <nc r="J234">
        <v>21300</v>
      </nc>
    </rcc>
    <rcc rId="0" sId="1">
      <nc r="K234">
        <v>0</v>
      </nc>
    </rcc>
    <rcc rId="0" sId="1" dxf="1" numFmtId="19">
      <nc r="L234">
        <v>46213.583333333336</v>
      </nc>
      <ndxf>
        <numFmt numFmtId="164" formatCode="mm\-dd\-yyyy"/>
      </ndxf>
    </rcc>
    <rcc rId="0" sId="1" dxf="1" numFmtId="19">
      <nc r="M234">
        <v>46216.430555555555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10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WS40-9/1</t>
        </is>
      </nc>
    </rcc>
    <rcc rId="0" sId="1">
      <nc r="F234" t="inlineStr">
        <is>
          <t>SMI1/73-0410</t>
        </is>
      </nc>
    </rcc>
    <rcc rId="0" sId="1">
      <nc r="G234" t="inlineStr">
        <is>
          <t>#10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46216.4375</v>
      </nc>
      <ndxf>
        <numFmt numFmtId="164" formatCode="mm\-dd\-yyyy"/>
      </ndxf>
    </rcc>
    <rcc rId="0" sId="1" dxf="1" numFmtId="19">
      <nc r="M234">
        <v>46216.618055555555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11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WN39-11/1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46217.291666666664</v>
      </nc>
      <ndxf>
        <numFmt numFmtId="164" formatCode="mm\-dd\-yyyy"/>
      </ndxf>
    </rcc>
    <rcc rId="0" sId="1" dxf="1" numFmtId="19">
      <nc r="M234">
        <v>46217.472222222219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12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WN40-11/1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46217.479166666664</v>
      </nc>
      <ndxf>
        <numFmt numFmtId="164" formatCode="mm\-dd\-yyyy"/>
      </ndxf>
    </rcc>
    <rcc rId="0" sId="1" dxf="1" numFmtId="19">
      <nc r="M234">
        <v>46218.326388888891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13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WN41-11/1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46218.333333333336</v>
      </nc>
      <ndxf>
        <numFmt numFmtId="164" formatCode="mm\-dd\-yyyy"/>
      </ndxf>
    </rcc>
    <rcc rId="0" sId="1" dxf="1" numFmtId="19">
      <nc r="M234">
        <v>46218.513888888891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14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WN42-11/1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46218.520833333336</v>
      </nc>
      <ndxf>
        <numFmt numFmtId="164" formatCode="mm\-dd\-yyyy"/>
      </ndxf>
    </rcc>
    <rcc rId="0" sId="1" dxf="1" numFmtId="19">
      <nc r="M234">
        <v>46219.368055555555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15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WN43-11/1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46219.375</v>
      </nc>
      <ndxf>
        <numFmt numFmtId="164" formatCode="mm\-dd\-yyyy"/>
      </ndxf>
    </rcc>
    <rcc rId="0" sId="1" dxf="1" numFmtId="19">
      <nc r="M234">
        <v>46219.555555555555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16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WR48-9/1</t>
        </is>
      </nc>
    </rcc>
    <rcc rId="0" sId="1">
      <nc r="F234" t="inlineStr">
        <is>
          <t>SMI1/73-0420</t>
        </is>
      </nc>
    </rcc>
    <rcc rId="0" sId="1">
      <nc r="G234" t="inlineStr">
        <is>
          <t>#20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46219.5625</v>
      </nc>
      <ndxf>
        <numFmt numFmtId="164" formatCode="mm\-dd\-yyyy"/>
      </ndxf>
    </rcc>
    <rcc rId="0" sId="1" dxf="1" numFmtId="19">
      <nc r="M234">
        <v>46220.409722222219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9</t>
        </is>
      </nc>
    </rcc>
  </rrc>
  <rrc rId="817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WN05-6/1</t>
        </is>
      </nc>
    </rcc>
    <rcc rId="0" sId="1">
      <nc r="F234" t="inlineStr">
        <is>
          <t>SMI1/73-0022</t>
        </is>
      </nc>
    </rcc>
    <rcc rId="0" sId="1">
      <nc r="G234" t="inlineStr">
        <is>
          <t>#22 SS Blade Sterile</t>
        </is>
      </nc>
    </rcc>
    <rcc rId="0" sId="1">
      <nc r="H234">
        <v>1.1200000000000001</v>
      </nc>
    </rcc>
    <rcc rId="0" sId="1">
      <nc r="I234">
        <v>0.56000000000000005</v>
      </nc>
    </rcc>
    <rcc rId="0" sId="1">
      <nc r="J234">
        <v>3000</v>
      </nc>
    </rcc>
    <rcc rId="0" sId="1">
      <nc r="K234">
        <v>0</v>
      </nc>
    </rcc>
    <rcc rId="0" sId="1" dxf="1" numFmtId="19">
      <nc r="L234">
        <v>46220.416666666664</v>
      </nc>
      <ndxf>
        <numFmt numFmtId="164" formatCode="mm\-dd\-yyyy"/>
      </ndxf>
    </rcc>
    <rcc rId="0" sId="1" dxf="1" numFmtId="19">
      <nc r="M234">
        <v>46220.458333333336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6</t>
        </is>
      </nc>
    </rcc>
  </rrc>
  <rrc rId="818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WN66-3/1</t>
        </is>
      </nc>
    </rcc>
    <rcc rId="0" sId="1">
      <nc r="F234" t="inlineStr">
        <is>
          <t>SMI1/73-0010</t>
        </is>
      </nc>
    </rcc>
    <rcc rId="0" sId="1">
      <nc r="G234" t="inlineStr">
        <is>
          <t>#10 SS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46220.465277777781</v>
      </nc>
      <ndxf>
        <numFmt numFmtId="164" formatCode="mm\-dd\-yyyy"/>
      </ndxf>
    </rcc>
    <rcc rId="0" sId="1" dxf="1" numFmtId="19">
      <nc r="M234">
        <v>46223.3125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3</t>
        </is>
      </nc>
    </rcc>
  </rrc>
  <rrc rId="819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WN44-11/1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46223.319444444445</v>
      </nc>
      <ndxf>
        <numFmt numFmtId="164" formatCode="mm\-dd\-yyyy"/>
      </ndxf>
    </rcc>
    <rcc rId="0" sId="1" dxf="1" numFmtId="19">
      <nc r="M234">
        <v>46223.5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20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WN45-11/1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46223.506944444445</v>
      </nc>
      <ndxf>
        <numFmt numFmtId="164" formatCode="mm\-dd\-yyyy"/>
      </ndxf>
    </rcc>
    <rcc rId="0" sId="1" dxf="1" numFmtId="19">
      <nc r="M234">
        <v>46224.354166666664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21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WN46-11/1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46224.361111111109</v>
      </nc>
      <ndxf>
        <numFmt numFmtId="164" formatCode="mm\-dd\-yyyy"/>
      </ndxf>
    </rcc>
    <rcc rId="0" sId="1" dxf="1" numFmtId="19">
      <nc r="M234">
        <v>46224.541666666664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22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WN47-11/1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46224.548611111109</v>
      </nc>
      <ndxf>
        <numFmt numFmtId="164" formatCode="mm\-dd\-yyyy"/>
      </ndxf>
    </rcc>
    <rcc rId="0" sId="1" dxf="1" numFmtId="19">
      <nc r="M234">
        <v>46225.395833333336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23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WN48-11/1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46225.402777777781</v>
      </nc>
      <ndxf>
        <numFmt numFmtId="164" formatCode="mm\-dd\-yyyy"/>
      </ndxf>
    </rcc>
    <rcc rId="0" sId="1" dxf="1" numFmtId="19">
      <nc r="M234">
        <v>46225.583333333336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24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WN49-11/1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46225.590277777781</v>
      </nc>
      <ndxf>
        <numFmt numFmtId="164" formatCode="mm\-dd\-yyyy"/>
      </ndxf>
    </rcc>
    <rcc rId="0" sId="1" dxf="1" numFmtId="19">
      <nc r="M234">
        <v>46226.4375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25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WN50-11/1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46226.444444444445</v>
      </nc>
      <ndxf>
        <numFmt numFmtId="164" formatCode="mm\-dd\-yyyy"/>
      </ndxf>
    </rcc>
    <rcc rId="0" sId="1" dxf="1" numFmtId="19">
      <nc r="M234">
        <v>46227.291666666664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26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WN51-11/1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46227.298611111109</v>
      </nc>
      <ndxf>
        <numFmt numFmtId="164" formatCode="mm\-dd\-yyyy"/>
      </ndxf>
    </rcc>
    <rcc rId="0" sId="1" dxf="1" numFmtId="19">
      <nc r="M234">
        <v>46227.479166666664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27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WN52-11/1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46227.486111111109</v>
      </nc>
      <ndxf>
        <numFmt numFmtId="164" formatCode="mm\-dd\-yyyy"/>
      </ndxf>
    </rcc>
    <rcc rId="0" sId="1" dxf="1" numFmtId="19">
      <nc r="M234">
        <v>46230.333333333336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28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WN53-11/1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46230.340277777781</v>
      </nc>
      <ndxf>
        <numFmt numFmtId="164" formatCode="mm\-dd\-yyyy"/>
      </ndxf>
    </rcc>
    <rcc rId="0" sId="1" dxf="1" numFmtId="19">
      <nc r="M234">
        <v>46230.520833333336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rc rId="829" sId="1" ref="A234:XFD234" action="deleteRow">
    <rfmt sheetId="1" xfDxf="1" sqref="A234:XFD234" start="0" length="0"/>
    <rcc rId="0" sId="1">
      <nc r="A234" t="inlineStr">
        <is>
          <t>Zone 1</t>
        </is>
      </nc>
    </rcc>
    <rcc rId="0" sId="1">
      <nc r="B234" t="inlineStr">
        <is>
          <t>Ivers Lee</t>
        </is>
      </nc>
    </rcc>
    <rcc rId="0" sId="1">
      <nc r="C234">
        <v>2</v>
      </nc>
    </rcc>
    <rcc rId="0" sId="1">
      <nc r="E234" t="inlineStr">
        <is>
          <t>WN54-11/1</t>
        </is>
      </nc>
    </rcc>
    <rcc rId="0" sId="1">
      <nc r="F234" t="inlineStr">
        <is>
          <t>SMI1/73-0415</t>
        </is>
      </nc>
    </rcc>
    <rcc rId="0" sId="1">
      <nc r="G234" t="inlineStr">
        <is>
          <t>#15 Polymer Coated Blade Sterile</t>
        </is>
      </nc>
    </rcc>
    <rcc rId="0" sId="1">
      <nc r="H234">
        <v>8</v>
      </nc>
    </rcc>
    <rcc rId="0" sId="1">
      <nc r="I234">
        <v>4</v>
      </nc>
    </rcc>
    <rcc rId="0" sId="1">
      <nc r="J234">
        <v>21600</v>
      </nc>
    </rcc>
    <rcc rId="0" sId="1">
      <nc r="K234">
        <v>0</v>
      </nc>
    </rcc>
    <rcc rId="0" sId="1" dxf="1" numFmtId="19">
      <nc r="L234">
        <v>46230.527777777781</v>
      </nc>
      <ndxf>
        <numFmt numFmtId="164" formatCode="mm\-dd\-yyyy"/>
      </ndxf>
    </rcc>
    <rcc rId="0" sId="1" dxf="1" numFmtId="19">
      <nc r="M234">
        <v>46231.375</v>
      </nc>
      <ndxf>
        <numFmt numFmtId="164" formatCode="mm\-dd\-yyyy"/>
      </ndxf>
    </rcc>
    <rcc rId="0" sId="1">
      <nc r="AA234" t="inlineStr">
        <is>
          <t>1</t>
        </is>
      </nc>
    </rcc>
    <rcc rId="0" sId="1">
      <nc r="AB234" t="inlineStr">
        <is>
          <t>11</t>
        </is>
      </nc>
    </rcc>
  </rrc>
  <rcc rId="830" sId="1">
    <oc r="A376" t="inlineStr">
      <is>
        <t>Zone 3</t>
      </is>
    </oc>
    <nc r="A376"/>
  </rcc>
  <rcc rId="831" sId="1">
    <oc r="B376" t="inlineStr">
      <is>
        <t>FLEX Bag Carton</t>
      </is>
    </oc>
    <nc r="B376"/>
  </rcc>
  <rcc rId="832" sId="1">
    <oc r="C376">
      <v>6</v>
    </oc>
    <nc r="C376"/>
  </rcc>
  <rcc rId="833" sId="1">
    <oc r="E376" t="inlineStr">
      <is>
        <t>W1022180/1</t>
      </is>
    </oc>
    <nc r="E376"/>
  </rcc>
  <rcc rId="834" sId="1">
    <oc r="F376" t="inlineStr">
      <is>
        <t>FLX1/10128</t>
      </is>
    </oc>
    <nc r="F376"/>
  </rcc>
  <rcc rId="835" sId="1">
    <oc r="G376" t="inlineStr">
      <is>
        <t>FLEX Plant + Disc 12 Count Bag</t>
      </is>
    </oc>
    <nc r="G376"/>
  </rcc>
  <rcc rId="836" sId="1">
    <oc r="H376">
      <v>96</v>
    </oc>
    <nc r="H376"/>
  </rcc>
  <rcc rId="837" sId="1">
    <oc r="I376">
      <v>16</v>
    </oc>
    <nc r="I376"/>
  </rcc>
  <rcc rId="838" sId="1">
    <oc r="J376">
      <v>480</v>
    </oc>
    <nc r="J376"/>
  </rcc>
  <rcc rId="839" sId="1">
    <oc r="K376">
      <v>0</v>
    </oc>
    <nc r="K376"/>
  </rcc>
  <rcc rId="840" sId="1" numFmtId="19">
    <oc r="L376">
      <v>46208.958333333336</v>
    </oc>
    <nc r="L376"/>
  </rcc>
  <rcc rId="841" sId="1" numFmtId="19">
    <oc r="M376">
      <v>46209.743055555555</v>
    </oc>
    <nc r="M376"/>
  </rcc>
  <rcc rId="842" sId="1">
    <oc r="O376" t="inlineStr">
      <is>
        <t>P</t>
      </is>
    </oc>
    <nc r="O376"/>
  </rcc>
  <rcc rId="843" sId="1">
    <oc r="AA376" t="inlineStr">
      <is>
        <t>1</t>
      </is>
    </oc>
    <nc r="AA376"/>
  </rcc>
  <rcc rId="844" sId="1">
    <oc r="AB376" t="inlineStr">
      <is>
        <t>0</t>
      </is>
    </oc>
    <nc r="AB376"/>
  </rcc>
  <rcc rId="845" sId="1">
    <oc r="A377" t="inlineStr">
      <is>
        <t>Zone 3</t>
      </is>
    </oc>
    <nc r="A377"/>
  </rcc>
  <rcc rId="846" sId="1">
    <oc r="B377" t="inlineStr">
      <is>
        <t>FLEX Bag Carton</t>
      </is>
    </oc>
    <nc r="B377"/>
  </rcc>
  <rcc rId="847" sId="1">
    <oc r="C377">
      <v>6</v>
    </oc>
    <nc r="C377"/>
  </rcc>
  <rcc rId="848" sId="1">
    <oc r="E377" t="inlineStr">
      <is>
        <t>W1022179/1</t>
      </is>
    </oc>
    <nc r="E377"/>
  </rcc>
  <rcc rId="849" sId="1">
    <oc r="F377" t="inlineStr">
      <is>
        <t>FLX1/10255</t>
      </is>
    </oc>
    <nc r="F377"/>
  </rcc>
  <rcc rId="850" sId="1">
    <oc r="G377" t="inlineStr">
      <is>
        <t>FLEX Assembly 6 Count Box</t>
      </is>
    </oc>
    <nc r="G377"/>
  </rcc>
  <rcc rId="851" sId="1">
    <oc r="H377">
      <v>612</v>
    </oc>
    <nc r="H377"/>
  </rcc>
  <rcc rId="852" sId="1">
    <oc r="I377">
      <v>102</v>
    </oc>
    <nc r="I377"/>
  </rcc>
  <rcc rId="853" sId="1">
    <oc r="J377">
      <v>816</v>
    </oc>
    <nc r="J377"/>
  </rcc>
  <rcc rId="854" sId="1">
    <oc r="K377">
      <v>0</v>
    </oc>
    <nc r="K377"/>
  </rcc>
  <rcc rId="855" sId="1" numFmtId="19">
    <oc r="L377">
      <v>46209.75</v>
    </oc>
    <nc r="L377"/>
  </rcc>
  <rcc rId="856" sId="1" numFmtId="19">
    <oc r="M377">
      <v>46216.118055555555</v>
    </oc>
    <nc r="M377"/>
  </rcc>
  <rcc rId="857" sId="1">
    <oc r="O377" t="inlineStr">
      <is>
        <t>P</t>
      </is>
    </oc>
    <nc r="O377"/>
  </rcc>
  <rcc rId="858" sId="1">
    <oc r="AA377" t="inlineStr">
      <is>
        <t>1</t>
      </is>
    </oc>
    <nc r="AA377"/>
  </rcc>
  <rcc rId="859" sId="1">
    <oc r="AB377" t="inlineStr">
      <is>
        <t>0</t>
      </is>
    </oc>
    <nc r="AB377"/>
  </rcc>
  <rcc rId="860" sId="1">
    <oc r="A378" t="inlineStr">
      <is>
        <t>Zone 3</t>
      </is>
    </oc>
    <nc r="A378"/>
  </rcc>
  <rcc rId="861" sId="1">
    <oc r="B378" t="inlineStr">
      <is>
        <t>FLEX Bag Carton</t>
      </is>
    </oc>
    <nc r="B378"/>
  </rcc>
  <rcc rId="862" sId="1">
    <oc r="C378">
      <v>6</v>
    </oc>
    <nc r="C378"/>
  </rcc>
  <rcc rId="863" sId="1">
    <oc r="E378" t="inlineStr">
      <is>
        <t>W1022146/1</t>
      </is>
    </oc>
    <nc r="E378"/>
  </rcc>
  <rcc rId="864" sId="1">
    <oc r="F378" t="inlineStr">
      <is>
        <t>FLX1/10260</t>
      </is>
    </oc>
    <nc r="F378"/>
  </rcc>
  <rcc rId="865" sId="1">
    <oc r="G378" t="inlineStr">
      <is>
        <t>FLEX Assembly 24 Count Box</t>
      </is>
    </oc>
    <nc r="G378"/>
  </rcc>
  <rcc rId="866" sId="1">
    <oc r="H378">
      <v>830.1</v>
    </oc>
    <nc r="H378"/>
  </rcc>
  <rcc rId="867" sId="1">
    <oc r="I378">
      <v>138.35</v>
    </oc>
    <nc r="I378"/>
  </rcc>
  <rcc rId="868" sId="1">
    <oc r="J378">
      <v>2352</v>
    </oc>
    <nc r="J378"/>
  </rcc>
  <rcc rId="869" sId="1">
    <oc r="K378">
      <v>0</v>
    </oc>
    <nc r="K378"/>
  </rcc>
  <rcc rId="870" sId="1" numFmtId="19">
    <oc r="L378">
      <v>46216.125</v>
    </oc>
    <nc r="L378"/>
  </rcc>
  <rcc rId="871" sId="1" numFmtId="19">
    <oc r="M378">
      <v>46224.013888888891</v>
    </oc>
    <nc r="M378"/>
  </rcc>
  <rcc rId="872" sId="1">
    <oc r="AA378" t="inlineStr">
      <is>
        <t>1</t>
      </is>
    </oc>
    <nc r="AA378"/>
  </rcc>
  <rcc rId="873" sId="1">
    <oc r="AB378" t="inlineStr">
      <is>
        <t>0</t>
      </is>
    </oc>
    <nc r="AB378"/>
  </rcc>
  <rcc rId="874" sId="1">
    <oc r="A379" t="inlineStr">
      <is>
        <t>Zone 3</t>
      </is>
    </oc>
    <nc r="A379"/>
  </rcc>
  <rcc rId="875" sId="1">
    <oc r="B379" t="inlineStr">
      <is>
        <t>FLEX Bag Carton</t>
      </is>
    </oc>
    <nc r="B379"/>
  </rcc>
  <rcc rId="876" sId="1">
    <oc r="C379">
      <v>6</v>
    </oc>
    <nc r="C379"/>
  </rcc>
  <rcc rId="877" sId="1">
    <oc r="E379" t="inlineStr">
      <is>
        <t>W1030156/1</t>
      </is>
    </oc>
    <nc r="E379"/>
  </rcc>
  <rcc rId="878" sId="1">
    <oc r="F379" t="inlineStr">
      <is>
        <t>FLX1/10100</t>
      </is>
    </oc>
    <nc r="F379"/>
  </rcc>
  <rcc rId="879" sId="1">
    <oc r="G379" t="inlineStr">
      <is>
        <t>Flex Cup Size 1 Canadian</t>
      </is>
    </oc>
    <nc r="G379"/>
  </rcc>
  <rcc rId="880" sId="1">
    <oc r="H379">
      <v>31.02</v>
    </oc>
    <nc r="H379"/>
  </rcc>
  <rcc rId="881" sId="1">
    <oc r="I379">
      <v>5.17</v>
    </oc>
    <nc r="I379"/>
  </rcc>
  <rcc rId="882" sId="1">
    <oc r="J379">
      <v>62</v>
    </oc>
    <nc r="J379"/>
  </rcc>
  <rcc rId="883" sId="1">
    <oc r="K379">
      <v>0</v>
    </oc>
    <nc r="K379"/>
  </rcc>
  <rcc rId="884" sId="1" numFmtId="19">
    <oc r="L379">
      <v>46224.020833333336</v>
    </oc>
    <nc r="L379"/>
  </rcc>
  <rcc rId="885" sId="1" numFmtId="19">
    <oc r="M379">
      <v>46224.354166666664</v>
    </oc>
    <nc r="M379"/>
  </rcc>
  <rcc rId="886" sId="1">
    <oc r="AA379" t="inlineStr">
      <is>
        <t>1</t>
      </is>
    </oc>
    <nc r="AA379"/>
  </rcc>
  <rcc rId="887" sId="1">
    <oc r="AB379" t="inlineStr">
      <is>
        <t>0</t>
      </is>
    </oc>
    <nc r="AB379"/>
  </rcc>
  <rcc rId="888" sId="1">
    <oc r="A380" t="inlineStr">
      <is>
        <t>Zone 3</t>
      </is>
    </oc>
    <nc r="A380"/>
  </rcc>
  <rcc rId="889" sId="1">
    <oc r="B380" t="inlineStr">
      <is>
        <t>Flex Line 3</t>
      </is>
    </oc>
    <nc r="B380"/>
  </rcc>
  <rcc rId="890" sId="1">
    <oc r="C380">
      <v>3</v>
    </oc>
    <nc r="C380"/>
  </rcc>
  <rcc rId="891" sId="1">
    <oc r="E380" t="inlineStr">
      <is>
        <t>W1025336/1</t>
      </is>
    </oc>
    <nc r="E380"/>
  </rcc>
  <rcc rId="892" sId="1">
    <oc r="F380" t="inlineStr">
      <is>
        <t>INS1/00002</t>
      </is>
    </oc>
    <nc r="F380"/>
  </rcc>
  <rcc rId="893" sId="1">
    <oc r="G380" t="inlineStr">
      <is>
        <t>Softdisc Bulk (Purple Intimate Wrap)</t>
      </is>
    </oc>
    <nc r="G380"/>
  </rcc>
  <rcc rId="894" sId="1">
    <oc r="H380">
      <v>313.44</v>
    </oc>
    <nc r="H380"/>
  </rcc>
  <rcc rId="895" sId="1">
    <oc r="I380">
      <v>104.48</v>
    </oc>
    <nc r="I380"/>
  </rcc>
  <rcc rId="896" sId="1">
    <oc r="J380">
      <v>350</v>
    </oc>
    <nc r="J380"/>
  </rcc>
  <rcc rId="897" sId="1">
    <oc r="K380">
      <v>0</v>
    </oc>
    <nc r="K380"/>
  </rcc>
  <rcc rId="898" sId="1" numFmtId="19">
    <oc r="L380">
      <v>46209.625</v>
    </oc>
    <nc r="L380"/>
  </rcc>
  <rcc rId="899" sId="1" numFmtId="19">
    <oc r="M380">
      <v>46226.784722222219</v>
    </oc>
    <nc r="M380"/>
  </rcc>
  <rcc rId="900" sId="1">
    <oc r="O380" t="inlineStr">
      <is>
        <t>P</t>
      </is>
    </oc>
    <nc r="O380"/>
  </rcc>
  <rcc rId="901" sId="1">
    <oc r="AA380" t="inlineStr">
      <is>
        <t>1</t>
      </is>
    </oc>
    <nc r="AA380"/>
  </rcc>
  <rcc rId="902" sId="1">
    <oc r="AB380" t="inlineStr">
      <is>
        <t>0</t>
      </is>
    </oc>
    <nc r="AB380"/>
  </rcc>
  <rcc rId="903" sId="1">
    <oc r="A381" t="inlineStr">
      <is>
        <t>Zone 3</t>
      </is>
    </oc>
    <nc r="A381"/>
  </rcc>
  <rcc rId="904" sId="1">
    <oc r="B381" t="inlineStr">
      <is>
        <t>Flex Packaging</t>
      </is>
    </oc>
    <nc r="B381"/>
  </rcc>
  <rcc rId="905" sId="1">
    <oc r="C381">
      <v>6</v>
    </oc>
    <nc r="C381"/>
  </rcc>
  <rcc rId="906" sId="1">
    <oc r="E381" t="inlineStr">
      <is>
        <t>W1022159/1</t>
      </is>
    </oc>
    <nc r="E381"/>
  </rcc>
  <rcc rId="907" sId="1">
    <oc r="F381" t="inlineStr">
      <is>
        <t>FLX1/10056WM</t>
      </is>
    </oc>
    <nc r="F381"/>
  </rcc>
  <rcc rId="908" sId="1">
    <oc r="G381" t="inlineStr">
      <is>
        <t>FLEX 12 CT Vertical Walmart (12/18)</t>
      </is>
    </oc>
    <nc r="G381"/>
  </rcc>
  <rcc rId="909" sId="1">
    <oc r="H381">
      <v>92.16</v>
    </oc>
    <nc r="H381"/>
  </rcc>
  <rcc rId="910" sId="1">
    <oc r="I381">
      <v>15.36</v>
    </oc>
    <nc r="I381"/>
  </rcc>
  <rcc rId="911" sId="1">
    <oc r="J381">
      <v>384</v>
    </oc>
    <nc r="J381"/>
  </rcc>
  <rcc rId="912" sId="1">
    <oc r="K381">
      <v>0</v>
    </oc>
    <nc r="K381"/>
  </rcc>
  <rcc rId="913" sId="1" numFmtId="19">
    <oc r="L381">
      <v>46208.958333333336</v>
    </oc>
    <nc r="L381"/>
  </rcc>
  <rcc rId="914" sId="1" numFmtId="19">
    <oc r="M381">
      <v>46210.055555555555</v>
    </oc>
    <nc r="M381"/>
  </rcc>
  <rcc rId="915" sId="1">
    <oc r="O381" t="inlineStr">
      <is>
        <t>P</t>
      </is>
    </oc>
    <nc r="O381"/>
  </rcc>
  <rcc rId="916" sId="1">
    <oc r="AA381" t="inlineStr">
      <is>
        <t>1</t>
      </is>
    </oc>
    <nc r="AA381"/>
  </rcc>
  <rcc rId="917" sId="1">
    <oc r="AB381" t="inlineStr">
      <is>
        <t>0</t>
      </is>
    </oc>
    <nc r="AB381"/>
  </rcc>
  <rcc rId="918" sId="1">
    <oc r="A382" t="inlineStr">
      <is>
        <t>Zone 3</t>
      </is>
    </oc>
    <nc r="A382"/>
  </rcc>
  <rcc rId="919" sId="1">
    <oc r="B382" t="inlineStr">
      <is>
        <t>Flex Packaging</t>
      </is>
    </oc>
    <nc r="B382"/>
  </rcc>
  <rcc rId="920" sId="1">
    <oc r="C382">
      <v>6</v>
    </oc>
    <nc r="C382"/>
  </rcc>
  <rcc rId="921" sId="1">
    <oc r="E382" t="inlineStr">
      <is>
        <t>W1020826/1</t>
      </is>
    </oc>
    <nc r="E382"/>
  </rcc>
  <rcc rId="922" sId="1">
    <oc r="F382" t="inlineStr">
      <is>
        <t>FLX1/10016</t>
      </is>
    </oc>
    <nc r="F382"/>
  </rcc>
  <rcc rId="923" sId="1">
    <oc r="G382" t="inlineStr">
      <is>
        <t>Softdisc 14 Count Canadian (18/14)</t>
      </is>
    </oc>
    <nc r="G382"/>
  </rcc>
  <rcc rId="924" sId="1">
    <oc r="H382">
      <v>69.12</v>
    </oc>
    <nc r="H382"/>
  </rcc>
  <rcc rId="925" sId="1">
    <oc r="I382">
      <v>11.52</v>
    </oc>
    <nc r="I382"/>
  </rcc>
  <rcc rId="926" sId="1">
    <oc r="J382">
      <v>288</v>
    </oc>
    <nc r="J382"/>
  </rcc>
  <rcc rId="927" sId="1">
    <oc r="K382">
      <v>0</v>
    </oc>
    <nc r="K382"/>
  </rcc>
  <rcc rId="928" sId="1" numFmtId="19">
    <oc r="L382">
      <v>46210.0625</v>
    </oc>
    <nc r="L382"/>
  </rcc>
  <rcc rId="929" sId="1" numFmtId="19">
    <oc r="M382">
      <v>46211</v>
    </oc>
    <nc r="M382"/>
  </rcc>
  <rcc rId="930" sId="1">
    <oc r="AA382" t="inlineStr">
      <is>
        <t>1</t>
      </is>
    </oc>
    <nc r="AA382"/>
  </rcc>
  <rcc rId="931" sId="1">
    <oc r="AB382" t="inlineStr">
      <is>
        <t>0</t>
      </is>
    </oc>
    <nc r="AB382"/>
  </rcc>
  <rcc rId="932" sId="1">
    <oc r="A383" t="inlineStr">
      <is>
        <t>Zone 3</t>
      </is>
    </oc>
    <nc r="A383"/>
  </rcc>
  <rcc rId="933" sId="1">
    <oc r="B383" t="inlineStr">
      <is>
        <t>Flex Packaging</t>
      </is>
    </oc>
    <nc r="B383"/>
  </rcc>
  <rcc rId="934" sId="1">
    <oc r="C383">
      <v>6</v>
    </oc>
    <nc r="C383"/>
  </rcc>
  <rcc rId="935" sId="1">
    <oc r="E383" t="inlineStr">
      <is>
        <t>W1030060/1</t>
      </is>
    </oc>
    <nc r="E383"/>
  </rcc>
  <rcc rId="936" sId="1">
    <oc r="F383" t="inlineStr">
      <is>
        <t>FLX1/10122WM</t>
      </is>
    </oc>
    <nc r="F383"/>
  </rcc>
  <rcc rId="937" sId="1">
    <oc r="G383" t="inlineStr">
      <is>
        <t>Flex Reusable Disc Walmart (1/18)</t>
      </is>
    </oc>
    <nc r="G383"/>
  </rcc>
  <rcc rId="938" sId="1">
    <oc r="H383">
      <v>70.8</v>
    </oc>
    <nc r="H383"/>
  </rcc>
  <rcc rId="939" sId="1">
    <oc r="I383">
      <v>11.8</v>
    </oc>
    <nc r="I383"/>
  </rcc>
  <rcc rId="940" sId="1">
    <oc r="J383">
      <v>295</v>
    </oc>
    <nc r="J383"/>
  </rcc>
  <rcc rId="941" sId="1">
    <oc r="K383">
      <v>0</v>
    </oc>
    <nc r="K383"/>
  </rcc>
  <rcc rId="942" sId="1" numFmtId="19">
    <oc r="L383">
      <v>46211.006944444445</v>
    </oc>
    <nc r="L383"/>
  </rcc>
  <rcc rId="943" sId="1" numFmtId="19">
    <oc r="M383">
      <v>46211.618055555555</v>
    </oc>
    <nc r="M383"/>
  </rcc>
  <rcc rId="944" sId="1">
    <oc r="O383" t="inlineStr">
      <is>
        <t>P</t>
      </is>
    </oc>
    <nc r="O383"/>
  </rcc>
  <rcc rId="945" sId="1">
    <oc r="AA383" t="inlineStr">
      <is>
        <t>1</t>
      </is>
    </oc>
    <nc r="AA383"/>
  </rcc>
  <rcc rId="946" sId="1">
    <oc r="AB383" t="inlineStr">
      <is>
        <t>0</t>
      </is>
    </oc>
    <nc r="AB383"/>
  </rcc>
  <rcc rId="947" sId="1">
    <oc r="A384" t="inlineStr">
      <is>
        <t>Zone 3</t>
      </is>
    </oc>
    <nc r="A384"/>
  </rcc>
  <rcc rId="948" sId="1">
    <oc r="B384" t="inlineStr">
      <is>
        <t>Flex Packaging</t>
      </is>
    </oc>
    <nc r="B384"/>
  </rcc>
  <rcc rId="949" sId="1">
    <oc r="C384">
      <v>6</v>
    </oc>
    <nc r="C384"/>
  </rcc>
  <rcc rId="950" sId="1">
    <oc r="E384" t="inlineStr">
      <is>
        <t>W1022152/1</t>
      </is>
    </oc>
    <nc r="E384"/>
  </rcc>
  <rcc rId="951" sId="1">
    <oc r="F384" t="inlineStr">
      <is>
        <t>INS1/00160</t>
      </is>
    </oc>
    <nc r="F384"/>
  </rcc>
  <rcc rId="952" sId="1">
    <oc r="G384" t="inlineStr">
      <is>
        <t>Softdisc 14 Count (18/14)</t>
      </is>
    </oc>
    <nc r="G384"/>
  </rcc>
  <rcc rId="953" sId="1">
    <oc r="H384">
      <v>218.88</v>
    </oc>
    <nc r="H384"/>
  </rcc>
  <rcc rId="954" sId="1">
    <oc r="I384">
      <v>36.479999999999997</v>
    </oc>
    <nc r="I384"/>
  </rcc>
  <rcc rId="955" sId="1">
    <oc r="J384">
      <v>912</v>
    </oc>
    <nc r="J384"/>
  </rcc>
  <rcc rId="956" sId="1">
    <oc r="K384">
      <v>0</v>
    </oc>
    <nc r="K384"/>
  </rcc>
  <rcc rId="957" sId="1" numFmtId="19">
    <oc r="L384">
      <v>46211.958333333336</v>
    </oc>
    <nc r="L384"/>
  </rcc>
  <rcc rId="958" sId="1" numFmtId="19">
    <oc r="M384">
      <v>46213.638888888891</v>
    </oc>
    <nc r="M384"/>
  </rcc>
  <rcc rId="959" sId="1">
    <oc r="AA384" t="inlineStr">
      <is>
        <t>1</t>
      </is>
    </oc>
    <nc r="AA384"/>
  </rcc>
  <rcc rId="960" sId="1">
    <oc r="AB384" t="inlineStr">
      <is>
        <t>0</t>
      </is>
    </oc>
    <nc r="AB384"/>
  </rcc>
  <rcc rId="961" sId="1">
    <oc r="A385" t="inlineStr">
      <is>
        <t>Zone 3</t>
      </is>
    </oc>
    <nc r="A385"/>
  </rcc>
  <rcc rId="962" sId="1">
    <oc r="B385" t="inlineStr">
      <is>
        <t>Flex Packaging</t>
      </is>
    </oc>
    <nc r="B385"/>
  </rcc>
  <rcc rId="963" sId="1">
    <oc r="C385">
      <v>6</v>
    </oc>
    <nc r="C385"/>
  </rcc>
  <rcc rId="964" sId="1">
    <oc r="E385" t="inlineStr">
      <is>
        <t>W1019369/1</t>
      </is>
    </oc>
    <nc r="E385"/>
  </rcc>
  <rcc rId="965" sId="1">
    <oc r="F385" t="inlineStr">
      <is>
        <t>FLX1/10099</t>
      </is>
    </oc>
    <nc r="F385"/>
  </rcc>
  <rcc rId="966" sId="1">
    <oc r="G385" t="inlineStr">
      <is>
        <t>Flex Disc 12 Count Canadian</t>
      </is>
    </oc>
    <nc r="G385"/>
  </rcc>
  <rcc rId="967" sId="1">
    <oc r="H385">
      <v>69.12</v>
    </oc>
    <nc r="H385"/>
  </rcc>
  <rcc rId="968" sId="1">
    <oc r="I385">
      <v>11.52</v>
    </oc>
    <nc r="I385"/>
  </rcc>
  <rcc rId="969" sId="1">
    <oc r="J385">
      <v>288</v>
    </oc>
    <nc r="J385"/>
  </rcc>
  <rcc rId="970" sId="1">
    <oc r="K385">
      <v>0</v>
    </oc>
    <nc r="K385"/>
  </rcc>
  <rcc rId="971" sId="1" numFmtId="19">
    <oc r="L385">
      <v>46213.645833333336</v>
    </oc>
    <nc r="L385"/>
  </rcc>
  <rcc rId="972" sId="1" numFmtId="19">
    <oc r="M385">
      <v>46216.541666666664</v>
    </oc>
    <nc r="M385"/>
  </rcc>
  <rcc rId="973" sId="1">
    <oc r="AA385" t="inlineStr">
      <is>
        <t>1</t>
      </is>
    </oc>
    <nc r="AA385"/>
  </rcc>
  <rcc rId="974" sId="1">
    <oc r="AB385" t="inlineStr">
      <is>
        <t>0</t>
      </is>
    </oc>
    <nc r="AB385"/>
  </rcc>
  <rcc rId="975" sId="1">
    <oc r="A386" t="inlineStr">
      <is>
        <t>Zone 3</t>
      </is>
    </oc>
    <nc r="A386"/>
  </rcc>
  <rcc rId="976" sId="1">
    <oc r="B386" t="inlineStr">
      <is>
        <t>Flex Packaging</t>
      </is>
    </oc>
    <nc r="B386"/>
  </rcc>
  <rcc rId="977" sId="1">
    <oc r="C386">
      <v>6</v>
    </oc>
    <nc r="C386"/>
  </rcc>
  <rcc rId="978" sId="1">
    <oc r="E386" t="inlineStr">
      <is>
        <t>W1022194/1</t>
      </is>
    </oc>
    <nc r="E386"/>
  </rcc>
  <rcc rId="979" sId="1">
    <oc r="F386" t="inlineStr">
      <is>
        <t>FLX1/10122</t>
      </is>
    </oc>
    <nc r="F386"/>
  </rcc>
  <rcc rId="980" sId="1">
    <oc r="G386" t="inlineStr">
      <is>
        <t>Flex Reusable Disc</t>
      </is>
    </oc>
    <nc r="G386"/>
  </rcc>
  <rcc rId="981" sId="1">
    <oc r="H386">
      <v>34.56</v>
    </oc>
    <nc r="H386"/>
  </rcc>
  <rcc rId="982" sId="1">
    <oc r="I386">
      <v>5.76</v>
    </oc>
    <nc r="I386"/>
  </rcc>
  <rcc rId="983" sId="1">
    <oc r="J386">
      <v>144</v>
    </oc>
    <nc r="J386"/>
  </rcc>
  <rcc rId="984" sId="1">
    <oc r="K386">
      <v>0</v>
    </oc>
    <nc r="K386"/>
  </rcc>
  <rcc rId="985" sId="1" numFmtId="19">
    <oc r="L386">
      <v>46216.548611111109</v>
    </oc>
    <nc r="L386"/>
  </rcc>
  <rcc rId="986" sId="1" numFmtId="19">
    <oc r="M386">
      <v>46217.243055555555</v>
    </oc>
    <nc r="M386"/>
  </rcc>
  <rcc rId="987" sId="1">
    <oc r="AA386" t="inlineStr">
      <is>
        <t>1</t>
      </is>
    </oc>
    <nc r="AA386"/>
  </rcc>
  <rcc rId="988" sId="1">
    <oc r="AB386" t="inlineStr">
      <is>
        <t>0</t>
      </is>
    </oc>
    <nc r="AB386"/>
  </rcc>
  <rcc rId="989" sId="1">
    <oc r="A387" t="inlineStr">
      <is>
        <t>Zone 3</t>
      </is>
    </oc>
    <nc r="A387"/>
  </rcc>
  <rcc rId="990" sId="1">
    <oc r="B387" t="inlineStr">
      <is>
        <t>Flex Packaging</t>
      </is>
    </oc>
    <nc r="B387"/>
  </rcc>
  <rcc rId="991" sId="1">
    <oc r="C387">
      <v>6</v>
    </oc>
    <nc r="C387"/>
  </rcc>
  <rcc rId="992" sId="1">
    <oc r="E387" t="inlineStr">
      <is>
        <t>W1019291/1</t>
      </is>
    </oc>
    <nc r="E387"/>
  </rcc>
  <rcc rId="993" sId="1">
    <oc r="F387" t="inlineStr">
      <is>
        <t>FLX1/10122WM</t>
      </is>
    </oc>
    <nc r="F387"/>
  </rcc>
  <rcc rId="994" sId="1">
    <oc r="G387" t="inlineStr">
      <is>
        <t>Flex Reusable Disc Walmart (1/18)</t>
      </is>
    </oc>
    <nc r="G387"/>
  </rcc>
  <rcc rId="995" sId="1">
    <oc r="H387">
      <v>80.64</v>
    </oc>
    <nc r="H387"/>
  </rcc>
  <rcc rId="996" sId="1">
    <oc r="I387">
      <v>13.44</v>
    </oc>
    <nc r="I387"/>
  </rcc>
  <rcc rId="997" sId="1">
    <oc r="J387">
      <v>336</v>
    </oc>
    <nc r="J387"/>
  </rcc>
  <rcc rId="998" sId="1">
    <oc r="K387">
      <v>0</v>
    </oc>
    <nc r="K387"/>
  </rcc>
  <rcc rId="999" sId="1" numFmtId="19">
    <oc r="L387">
      <v>46217.25</v>
    </oc>
    <nc r="L387"/>
  </rcc>
  <rcc rId="1000" sId="1" numFmtId="19">
    <oc r="M387">
      <v>46218.263888888891</v>
    </oc>
    <nc r="M387"/>
  </rcc>
  <rcc rId="1001" sId="1">
    <oc r="AA387" t="inlineStr">
      <is>
        <t>1</t>
      </is>
    </oc>
    <nc r="AA387"/>
  </rcc>
  <rcc rId="1002" sId="1">
    <oc r="AB387" t="inlineStr">
      <is>
        <t>0</t>
      </is>
    </oc>
    <nc r="AB387"/>
  </rcc>
  <rfmt sheetId="1" sqref="A380:XFD380" start="0" length="0">
    <dxf>
      <border>
        <bottom/>
      </border>
    </dxf>
  </rfmt>
  <rm rId="1003" sheetId="1" source="A380:XFD380" destination="A381:XFD381" sourceSheetId="1">
    <rfmt sheetId="1" xfDxf="1" sqref="A381:XFD381" start="0" length="0"/>
    <rfmt sheetId="1" sqref="L381" start="0" length="0">
      <dxf>
        <numFmt numFmtId="164" formatCode="mm\-dd\-yyyy"/>
      </dxf>
    </rfmt>
    <rfmt sheetId="1" sqref="M381" start="0" length="0">
      <dxf>
        <numFmt numFmtId="164" formatCode="mm\-dd\-yyyy"/>
      </dxf>
    </rfmt>
  </rm>
  <rrc rId="1004" sId="1" ref="A376:XFD422" action="insertRow"/>
  <rcc rId="1005" sId="1" odxf="1" dxf="1">
    <nc r="A376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006" sId="1" odxf="1" dxf="1">
    <nc r="B376" t="inlineStr">
      <is>
        <t>FLEX Bag Carton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007" sId="1" odxf="1" dxf="1">
    <nc r="C376">
      <v>6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D376" start="0" length="0">
    <dxf>
      <fill>
        <patternFill patternType="solid">
          <bgColor rgb="FFFFFF00"/>
        </patternFill>
      </fill>
    </dxf>
  </rfmt>
  <rcc rId="1008" sId="1" odxf="1" dxf="1">
    <nc r="E376" t="inlineStr">
      <is>
        <t>W1022143/1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009" sId="1" odxf="1" dxf="1">
    <nc r="F376" t="inlineStr">
      <is>
        <t>FLX1/10119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010" sId="1" odxf="1" dxf="1">
    <nc r="G376" t="inlineStr">
      <is>
        <t>Soft Disc 24 Count Disc US Retail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011" sId="1" odxf="1" dxf="1">
    <nc r="H376">
      <v>318.3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012" sId="1" odxf="1" dxf="1">
    <nc r="I376">
      <v>53.05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013" sId="1" odxf="1" dxf="1">
    <nc r="J376">
      <v>1008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014" sId="1" odxf="1" dxf="1">
    <nc r="K376">
      <v>0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015" sId="1" odxf="1" dxf="1" numFmtId="19">
    <nc r="L376">
      <v>46210.368055555555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016" sId="1" odxf="1" dxf="1" numFmtId="19">
    <nc r="M376">
      <v>46212.701388888891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N376" start="0" length="0">
    <dxf>
      <fill>
        <patternFill patternType="solid">
          <bgColor rgb="FFFFFF00"/>
        </patternFill>
      </fill>
    </dxf>
  </rfmt>
  <rcc rId="1017" sId="1" odxf="1" dxf="1">
    <nc r="O376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P376" start="0" length="0">
    <dxf>
      <fill>
        <patternFill patternType="solid">
          <bgColor rgb="FFFFFF00"/>
        </patternFill>
      </fill>
    </dxf>
  </rfmt>
  <rfmt sheetId="1" sqref="Q376" start="0" length="0">
    <dxf>
      <fill>
        <patternFill patternType="solid">
          <bgColor rgb="FFFFFF00"/>
        </patternFill>
      </fill>
    </dxf>
  </rfmt>
  <rfmt sheetId="1" sqref="R376" start="0" length="0">
    <dxf>
      <fill>
        <patternFill patternType="solid">
          <bgColor rgb="FFFFFF00"/>
        </patternFill>
      </fill>
    </dxf>
  </rfmt>
  <rfmt sheetId="1" sqref="S376" start="0" length="0">
    <dxf>
      <fill>
        <patternFill patternType="solid">
          <bgColor rgb="FFFFFF00"/>
        </patternFill>
      </fill>
    </dxf>
  </rfmt>
  <rfmt sheetId="1" sqref="T376" start="0" length="0">
    <dxf>
      <fill>
        <patternFill patternType="solid">
          <bgColor rgb="FFFFFF00"/>
        </patternFill>
      </fill>
    </dxf>
  </rfmt>
  <rfmt sheetId="1" sqref="U376" start="0" length="0">
    <dxf>
      <fill>
        <patternFill patternType="solid">
          <bgColor rgb="FFFFFF00"/>
        </patternFill>
      </fill>
    </dxf>
  </rfmt>
  <rfmt sheetId="1" sqref="V376" start="0" length="0">
    <dxf>
      <fill>
        <patternFill patternType="solid">
          <bgColor rgb="FFFFFF00"/>
        </patternFill>
      </fill>
    </dxf>
  </rfmt>
  <rfmt sheetId="1" sqref="W376" start="0" length="0">
    <dxf>
      <fill>
        <patternFill patternType="solid">
          <bgColor rgb="FFFFFF00"/>
        </patternFill>
      </fill>
    </dxf>
  </rfmt>
  <rfmt sheetId="1" sqref="X376" start="0" length="0">
    <dxf>
      <fill>
        <patternFill patternType="solid">
          <bgColor rgb="FFFFFF00"/>
        </patternFill>
      </fill>
    </dxf>
  </rfmt>
  <rfmt sheetId="1" sqref="Y376" start="0" length="0">
    <dxf>
      <fill>
        <patternFill patternType="solid">
          <bgColor rgb="FFFFFF00"/>
        </patternFill>
      </fill>
    </dxf>
  </rfmt>
  <rfmt sheetId="1" sqref="Z376" start="0" length="0">
    <dxf>
      <fill>
        <patternFill patternType="solid">
          <bgColor rgb="FFFFFF00"/>
        </patternFill>
      </fill>
    </dxf>
  </rfmt>
  <rcc rId="1018" sId="1" odxf="1" dxf="1">
    <nc r="AA376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019" sId="1" odxf="1" dxf="1">
    <nc r="AB376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A376:XFD376" start="0" length="0">
    <dxf>
      <fill>
        <patternFill patternType="solid">
          <bgColor rgb="FFFFFF00"/>
        </patternFill>
      </fill>
    </dxf>
  </rfmt>
  <rcc rId="1020" sId="1" odxf="1" dxf="1">
    <nc r="A377" t="inlineStr">
      <is>
        <t>Zone 3</t>
      </is>
    </nc>
    <odxf/>
    <ndxf/>
  </rcc>
  <rcc rId="1021" sId="1" odxf="1" dxf="1">
    <nc r="B377" t="inlineStr">
      <is>
        <t>FLEX Bag Carton</t>
      </is>
    </nc>
    <odxf/>
    <ndxf/>
  </rcc>
  <rcc rId="1022" sId="1" odxf="1" dxf="1">
    <nc r="C377">
      <v>6</v>
    </nc>
    <odxf/>
    <ndxf/>
  </rcc>
  <rfmt sheetId="1" sqref="D377" start="0" length="0">
    <dxf/>
  </rfmt>
  <rcc rId="1023" sId="1" odxf="1" dxf="1">
    <nc r="E377" t="inlineStr">
      <is>
        <t>W1022180/1</t>
      </is>
    </nc>
    <odxf/>
    <ndxf/>
  </rcc>
  <rcc rId="1024" sId="1" odxf="1" dxf="1">
    <nc r="F377" t="inlineStr">
      <is>
        <t>FLX1/10128</t>
      </is>
    </nc>
    <odxf/>
    <ndxf/>
  </rcc>
  <rcc rId="1025" sId="1" odxf="1" dxf="1">
    <nc r="G377" t="inlineStr">
      <is>
        <t>FLEX Plant + Disc 12 Count Bag</t>
      </is>
    </nc>
    <odxf/>
    <ndxf/>
  </rcc>
  <rcc rId="1026" sId="1" odxf="1" dxf="1">
    <nc r="H377">
      <v>96</v>
    </nc>
    <odxf/>
    <ndxf/>
  </rcc>
  <rcc rId="1027" sId="1" odxf="1" dxf="1">
    <nc r="I377">
      <v>16</v>
    </nc>
    <odxf/>
    <ndxf/>
  </rcc>
  <rcc rId="1028" sId="1" odxf="1" dxf="1">
    <nc r="J377">
      <v>480</v>
    </nc>
    <odxf/>
    <ndxf/>
  </rcc>
  <rcc rId="1029" sId="1" odxf="1" dxf="1">
    <nc r="K377">
      <v>0</v>
    </nc>
    <odxf/>
    <ndxf/>
  </rcc>
  <rcc rId="1030" sId="1" odxf="1" dxf="1" numFmtId="19">
    <nc r="L377">
      <v>46212.708333333336</v>
    </nc>
    <odxf/>
    <ndxf/>
  </rcc>
  <rcc rId="1031" sId="1" odxf="1" dxf="1" numFmtId="19">
    <nc r="M377">
      <v>46213.493055555555</v>
    </nc>
    <odxf/>
    <ndxf/>
  </rcc>
  <rfmt sheetId="1" sqref="N377" start="0" length="0">
    <dxf/>
  </rfmt>
  <rcc rId="1032" sId="1" odxf="1" dxf="1">
    <nc r="O377" t="inlineStr">
      <is>
        <t>P</t>
      </is>
    </nc>
    <odxf/>
    <ndxf/>
  </rcc>
  <rfmt sheetId="1" sqref="P377" start="0" length="0">
    <dxf/>
  </rfmt>
  <rfmt sheetId="1" sqref="Q377" start="0" length="0">
    <dxf/>
  </rfmt>
  <rfmt sheetId="1" sqref="R377" start="0" length="0">
    <dxf/>
  </rfmt>
  <rfmt sheetId="1" sqref="S377" start="0" length="0">
    <dxf/>
  </rfmt>
  <rfmt sheetId="1" sqref="T377" start="0" length="0">
    <dxf/>
  </rfmt>
  <rfmt sheetId="1" sqref="U377" start="0" length="0">
    <dxf/>
  </rfmt>
  <rfmt sheetId="1" sqref="V377" start="0" length="0">
    <dxf/>
  </rfmt>
  <rfmt sheetId="1" sqref="W377" start="0" length="0">
    <dxf/>
  </rfmt>
  <rfmt sheetId="1" sqref="X377" start="0" length="0">
    <dxf/>
  </rfmt>
  <rfmt sheetId="1" sqref="Y377" start="0" length="0">
    <dxf/>
  </rfmt>
  <rfmt sheetId="1" sqref="Z377" start="0" length="0">
    <dxf/>
  </rfmt>
  <rcc rId="1033" sId="1" odxf="1" dxf="1">
    <nc r="AA377" t="inlineStr">
      <is>
        <t>1</t>
      </is>
    </nc>
    <odxf/>
    <ndxf/>
  </rcc>
  <rcc rId="1034" sId="1" odxf="1" dxf="1">
    <nc r="AB377" t="inlineStr">
      <is>
        <t>0</t>
      </is>
    </nc>
    <odxf/>
    <ndxf/>
  </rcc>
  <rfmt sheetId="1" sqref="A377:XFD377" start="0" length="0">
    <dxf/>
  </rfmt>
  <rcc rId="1035" sId="1" odxf="1" dxf="1">
    <nc r="A378" t="inlineStr">
      <is>
        <t>Zone 3</t>
      </is>
    </nc>
    <odxf/>
    <ndxf/>
  </rcc>
  <rcc rId="1036" sId="1" odxf="1" dxf="1">
    <nc r="B378" t="inlineStr">
      <is>
        <t>FLEX Bag Carton</t>
      </is>
    </nc>
    <odxf/>
    <ndxf/>
  </rcc>
  <rcc rId="1037" sId="1" odxf="1" dxf="1">
    <nc r="C378">
      <v>6</v>
    </nc>
    <odxf/>
    <ndxf/>
  </rcc>
  <rfmt sheetId="1" sqref="D378" start="0" length="0">
    <dxf/>
  </rfmt>
  <rcc rId="1038" sId="1" odxf="1" dxf="1">
    <nc r="E378" t="inlineStr">
      <is>
        <t>W1022179/1</t>
      </is>
    </nc>
    <odxf/>
    <ndxf/>
  </rcc>
  <rcc rId="1039" sId="1" odxf="1" dxf="1">
    <nc r="F378" t="inlineStr">
      <is>
        <t>FLX1/10255</t>
      </is>
    </nc>
    <odxf/>
    <ndxf/>
  </rcc>
  <rcc rId="1040" sId="1" odxf="1" dxf="1">
    <nc r="G378" t="inlineStr">
      <is>
        <t>FLEX Assembly 6 Count Box</t>
      </is>
    </nc>
    <odxf/>
    <ndxf/>
  </rcc>
  <rcc rId="1041" sId="1" odxf="1" dxf="1">
    <nc r="H378">
      <v>612</v>
    </nc>
    <odxf/>
    <ndxf/>
  </rcc>
  <rcc rId="1042" sId="1" odxf="1" dxf="1">
    <nc r="I378">
      <v>102</v>
    </nc>
    <odxf/>
    <ndxf/>
  </rcc>
  <rcc rId="1043" sId="1" odxf="1" dxf="1">
    <nc r="J378">
      <v>816</v>
    </nc>
    <odxf/>
    <ndxf/>
  </rcc>
  <rcc rId="1044" sId="1" odxf="1" dxf="1">
    <nc r="K378">
      <v>0</v>
    </nc>
    <odxf/>
    <ndxf/>
  </rcc>
  <rcc rId="1045" sId="1" odxf="1" dxf="1" numFmtId="19">
    <nc r="L378">
      <v>46213.5</v>
    </nc>
    <odxf/>
    <ndxf/>
  </rcc>
  <rcc rId="1046" sId="1" odxf="1" dxf="1" numFmtId="19">
    <nc r="M378">
      <v>46219.868055555555</v>
    </nc>
    <odxf/>
    <ndxf/>
  </rcc>
  <rfmt sheetId="1" sqref="N378" start="0" length="0">
    <dxf/>
  </rfmt>
  <rcc rId="1047" sId="1" odxf="1" dxf="1">
    <nc r="O378" t="inlineStr">
      <is>
        <t>P</t>
      </is>
    </nc>
    <odxf/>
    <ndxf/>
  </rcc>
  <rfmt sheetId="1" sqref="P378" start="0" length="0">
    <dxf/>
  </rfmt>
  <rfmt sheetId="1" sqref="Q378" start="0" length="0">
    <dxf/>
  </rfmt>
  <rfmt sheetId="1" sqref="R378" start="0" length="0">
    <dxf/>
  </rfmt>
  <rfmt sheetId="1" sqref="S378" start="0" length="0">
    <dxf/>
  </rfmt>
  <rfmt sheetId="1" sqref="T378" start="0" length="0">
    <dxf/>
  </rfmt>
  <rfmt sheetId="1" sqref="U378" start="0" length="0">
    <dxf/>
  </rfmt>
  <rfmt sheetId="1" sqref="V378" start="0" length="0">
    <dxf/>
  </rfmt>
  <rfmt sheetId="1" sqref="W378" start="0" length="0">
    <dxf/>
  </rfmt>
  <rfmt sheetId="1" sqref="X378" start="0" length="0">
    <dxf/>
  </rfmt>
  <rfmt sheetId="1" sqref="Y378" start="0" length="0">
    <dxf/>
  </rfmt>
  <rfmt sheetId="1" sqref="Z378" start="0" length="0">
    <dxf/>
  </rfmt>
  <rcc rId="1048" sId="1" odxf="1" dxf="1">
    <nc r="AA378" t="inlineStr">
      <is>
        <t>1</t>
      </is>
    </nc>
    <odxf/>
    <ndxf/>
  </rcc>
  <rcc rId="1049" sId="1" odxf="1" dxf="1">
    <nc r="AB378" t="inlineStr">
      <is>
        <t>0</t>
      </is>
    </nc>
    <odxf/>
    <ndxf/>
  </rcc>
  <rfmt sheetId="1" sqref="A378:XFD378" start="0" length="0">
    <dxf/>
  </rfmt>
  <rcc rId="1050" sId="1" odxf="1" dxf="1">
    <nc r="A379" t="inlineStr">
      <is>
        <t>Zone 3</t>
      </is>
    </nc>
    <odxf/>
    <ndxf/>
  </rcc>
  <rcc rId="1051" sId="1" odxf="1" dxf="1">
    <nc r="B379" t="inlineStr">
      <is>
        <t>FLEX Bag Carton</t>
      </is>
    </nc>
    <odxf/>
    <ndxf/>
  </rcc>
  <rcc rId="1052" sId="1" odxf="1" dxf="1">
    <nc r="C379">
      <v>6</v>
    </nc>
    <odxf/>
    <ndxf/>
  </rcc>
  <rfmt sheetId="1" sqref="D379" start="0" length="0">
    <dxf/>
  </rfmt>
  <rcc rId="1053" sId="1" odxf="1" dxf="1">
    <nc r="E379" t="inlineStr">
      <is>
        <t>W1022146/1</t>
      </is>
    </nc>
    <odxf/>
    <ndxf/>
  </rcc>
  <rcc rId="1054" sId="1" odxf="1" dxf="1">
    <nc r="F379" t="inlineStr">
      <is>
        <t>FLX1/10260</t>
      </is>
    </nc>
    <odxf/>
    <ndxf/>
  </rcc>
  <rcc rId="1055" sId="1" odxf="1" dxf="1">
    <nc r="G379" t="inlineStr">
      <is>
        <t>FLEX Assembly 24 Count Box</t>
      </is>
    </nc>
    <odxf/>
    <ndxf/>
  </rcc>
  <rcc rId="1056" sId="1" odxf="1" dxf="1">
    <nc r="H379">
      <v>830.1</v>
    </nc>
    <odxf/>
    <ndxf/>
  </rcc>
  <rcc rId="1057" sId="1" odxf="1" dxf="1">
    <nc r="I379">
      <v>138.35</v>
    </nc>
    <odxf/>
    <ndxf/>
  </rcc>
  <rcc rId="1058" sId="1" odxf="1" dxf="1">
    <nc r="J379">
      <v>2352</v>
    </nc>
    <odxf/>
    <ndxf/>
  </rcc>
  <rcc rId="1059" sId="1" odxf="1" dxf="1">
    <nc r="K379">
      <v>0</v>
    </nc>
    <odxf/>
    <ndxf/>
  </rcc>
  <rcc rId="1060" sId="1" odxf="1" dxf="1" numFmtId="19">
    <nc r="L379">
      <v>46219.875</v>
    </nc>
    <odxf/>
    <ndxf/>
  </rcc>
  <rcc rId="1061" sId="1" odxf="1" dxf="1" numFmtId="19">
    <nc r="M379">
      <v>46227.763888888891</v>
    </nc>
    <odxf/>
    <ndxf/>
  </rcc>
  <rfmt sheetId="1" sqref="N379" start="0" length="0">
    <dxf/>
  </rfmt>
  <rfmt sheetId="1" sqref="O379" start="0" length="0">
    <dxf/>
  </rfmt>
  <rfmt sheetId="1" sqref="P379" start="0" length="0">
    <dxf/>
  </rfmt>
  <rfmt sheetId="1" sqref="Q379" start="0" length="0">
    <dxf/>
  </rfmt>
  <rfmt sheetId="1" sqref="R379" start="0" length="0">
    <dxf/>
  </rfmt>
  <rfmt sheetId="1" sqref="S379" start="0" length="0">
    <dxf/>
  </rfmt>
  <rfmt sheetId="1" sqref="T379" start="0" length="0">
    <dxf/>
  </rfmt>
  <rfmt sheetId="1" sqref="U379" start="0" length="0">
    <dxf/>
  </rfmt>
  <rfmt sheetId="1" sqref="V379" start="0" length="0">
    <dxf/>
  </rfmt>
  <rfmt sheetId="1" sqref="W379" start="0" length="0">
    <dxf/>
  </rfmt>
  <rfmt sheetId="1" sqref="X379" start="0" length="0">
    <dxf/>
  </rfmt>
  <rfmt sheetId="1" sqref="Y379" start="0" length="0">
    <dxf/>
  </rfmt>
  <rfmt sheetId="1" sqref="Z379" start="0" length="0">
    <dxf/>
  </rfmt>
  <rcc rId="1062" sId="1" odxf="1" dxf="1">
    <nc r="AA379" t="inlineStr">
      <is>
        <t>1</t>
      </is>
    </nc>
    <odxf/>
    <ndxf/>
  </rcc>
  <rcc rId="1063" sId="1" odxf="1" dxf="1">
    <nc r="AB379" t="inlineStr">
      <is>
        <t>0</t>
      </is>
    </nc>
    <odxf/>
    <ndxf/>
  </rcc>
  <rfmt sheetId="1" sqref="A379:XFD379" start="0" length="0">
    <dxf/>
  </rfmt>
  <rcc rId="1064" sId="1" odxf="1" dxf="1">
    <nc r="A380" t="inlineStr">
      <is>
        <t>Zone 3</t>
      </is>
    </nc>
    <odxf/>
    <ndxf/>
  </rcc>
  <rcc rId="1065" sId="1" odxf="1" dxf="1">
    <nc r="B380" t="inlineStr">
      <is>
        <t>FLEX Bag Carton</t>
      </is>
    </nc>
    <odxf/>
    <ndxf/>
  </rcc>
  <rcc rId="1066" sId="1" odxf="1" dxf="1">
    <nc r="C380">
      <v>6</v>
    </nc>
    <odxf/>
    <ndxf/>
  </rcc>
  <rfmt sheetId="1" sqref="D380" start="0" length="0">
    <dxf/>
  </rfmt>
  <rcc rId="1067" sId="1" odxf="1" dxf="1">
    <nc r="E380" t="inlineStr">
      <is>
        <t>W1022144/1</t>
      </is>
    </nc>
    <odxf/>
    <ndxf/>
  </rcc>
  <rcc rId="1068" sId="1" odxf="1" dxf="1">
    <nc r="F380" t="inlineStr">
      <is>
        <t>FLX1/10119</t>
      </is>
    </nc>
    <odxf/>
    <ndxf/>
  </rcc>
  <rcc rId="1069" sId="1" odxf="1" dxf="1">
    <nc r="G380" t="inlineStr">
      <is>
        <t>Soft Disc 24 Count Disc US Retail</t>
      </is>
    </nc>
    <odxf/>
    <ndxf/>
  </rcc>
  <rcc rId="1070" sId="1" odxf="1" dxf="1">
    <nc r="H380">
      <v>197.04</v>
    </nc>
    <odxf/>
    <ndxf/>
  </rcc>
  <rcc rId="1071" sId="1" odxf="1" dxf="1">
    <nc r="I380">
      <v>32.840000000000003</v>
    </nc>
    <odxf/>
    <ndxf/>
  </rcc>
  <rcc rId="1072" sId="1" odxf="1" dxf="1">
    <nc r="J380">
      <v>624</v>
    </nc>
    <odxf/>
    <ndxf/>
  </rcc>
  <rcc rId="1073" sId="1" odxf="1" dxf="1">
    <nc r="K380">
      <v>0</v>
    </nc>
    <odxf/>
    <ndxf/>
  </rcc>
  <rcc rId="1074" sId="1" odxf="1" dxf="1" numFmtId="19">
    <nc r="L380">
      <v>46237.958333333336</v>
    </nc>
    <odxf/>
    <ndxf/>
  </rcc>
  <rcc rId="1075" sId="1" odxf="1" dxf="1" numFmtId="19">
    <nc r="M380">
      <v>46239.451388888891</v>
    </nc>
    <odxf/>
    <ndxf/>
  </rcc>
  <rfmt sheetId="1" sqref="N380" start="0" length="0">
    <dxf/>
  </rfmt>
  <rfmt sheetId="1" sqref="O380" start="0" length="0">
    <dxf/>
  </rfmt>
  <rfmt sheetId="1" sqref="P380" start="0" length="0">
    <dxf/>
  </rfmt>
  <rfmt sheetId="1" sqref="Q380" start="0" length="0">
    <dxf/>
  </rfmt>
  <rfmt sheetId="1" sqref="R380" start="0" length="0">
    <dxf/>
  </rfmt>
  <rfmt sheetId="1" sqref="S380" start="0" length="0">
    <dxf/>
  </rfmt>
  <rfmt sheetId="1" sqref="T380" start="0" length="0">
    <dxf/>
  </rfmt>
  <rfmt sheetId="1" sqref="U380" start="0" length="0">
    <dxf/>
  </rfmt>
  <rfmt sheetId="1" sqref="V380" start="0" length="0">
    <dxf/>
  </rfmt>
  <rfmt sheetId="1" sqref="W380" start="0" length="0">
    <dxf/>
  </rfmt>
  <rfmt sheetId="1" sqref="X380" start="0" length="0">
    <dxf/>
  </rfmt>
  <rfmt sheetId="1" sqref="Y380" start="0" length="0">
    <dxf/>
  </rfmt>
  <rfmt sheetId="1" sqref="Z380" start="0" length="0">
    <dxf/>
  </rfmt>
  <rcc rId="1076" sId="1" odxf="1" dxf="1">
    <nc r="AA380" t="inlineStr">
      <is>
        <t>1</t>
      </is>
    </nc>
    <odxf/>
    <ndxf/>
  </rcc>
  <rcc rId="1077" sId="1" odxf="1" dxf="1">
    <nc r="AB380" t="inlineStr">
      <is>
        <t>0</t>
      </is>
    </nc>
    <odxf/>
    <ndxf/>
  </rcc>
  <rfmt sheetId="1" sqref="A380:XFD380" start="0" length="0">
    <dxf/>
  </rfmt>
  <rcc rId="1078" sId="1" odxf="1" dxf="1">
    <nc r="A381" t="inlineStr">
      <is>
        <t>Zone 3</t>
      </is>
    </nc>
    <odxf/>
    <ndxf/>
  </rcc>
  <rcc rId="1079" sId="1" odxf="1" dxf="1">
    <nc r="B381" t="inlineStr">
      <is>
        <t>FLEX Bag Carton</t>
      </is>
    </nc>
    <odxf/>
    <ndxf/>
  </rcc>
  <rcc rId="1080" sId="1" odxf="1" dxf="1">
    <nc r="C381">
      <v>6</v>
    </nc>
    <odxf/>
    <ndxf/>
  </rcc>
  <rfmt sheetId="1" sqref="D381" start="0" length="0">
    <dxf/>
  </rfmt>
  <rcc rId="1081" sId="1" odxf="1" dxf="1">
    <nc r="E381" t="inlineStr">
      <is>
        <t>W1022201/1</t>
      </is>
    </nc>
    <odxf/>
    <ndxf/>
  </rcc>
  <rcc rId="1082" sId="1" odxf="1" dxf="1">
    <nc r="F381" t="inlineStr">
      <is>
        <t>FLX1/10043</t>
      </is>
    </nc>
    <odxf/>
    <ndxf/>
  </rcc>
  <rcc rId="1083" sId="1" odxf="1" dxf="1">
    <nc r="G381" t="inlineStr">
      <is>
        <t>Flex Cup Size 1 USA</t>
      </is>
    </nc>
    <odxf/>
    <ndxf/>
  </rcc>
  <rcc rId="1084" sId="1" odxf="1" dxf="1">
    <nc r="H381">
      <v>552</v>
    </nc>
    <odxf/>
    <ndxf/>
  </rcc>
  <rcc rId="1085" sId="1" odxf="1" dxf="1">
    <nc r="I381">
      <v>92</v>
    </nc>
    <odxf/>
    <ndxf/>
  </rcc>
  <rcc rId="1086" sId="1" odxf="1" dxf="1">
    <nc r="J381">
      <v>1104</v>
    </nc>
    <odxf/>
    <ndxf/>
  </rcc>
  <rcc rId="1087" sId="1" odxf="1" dxf="1">
    <nc r="K381">
      <v>0</v>
    </nc>
    <odxf/>
    <ndxf/>
  </rcc>
  <rcc rId="1088" sId="1" odxf="1" dxf="1" numFmtId="19">
    <nc r="L381">
      <v>46239.458333333336</v>
    </nc>
    <odxf/>
    <ndxf/>
  </rcc>
  <rcc rId="1089" sId="1" odxf="1" dxf="1" numFmtId="19">
    <nc r="M381">
      <v>46245.284722222219</v>
    </nc>
    <odxf/>
    <ndxf/>
  </rcc>
  <rfmt sheetId="1" sqref="N381" start="0" length="0">
    <dxf/>
  </rfmt>
  <rfmt sheetId="1" sqref="O381" start="0" length="0">
    <dxf/>
  </rfmt>
  <rfmt sheetId="1" sqref="P381" start="0" length="0">
    <dxf/>
  </rfmt>
  <rfmt sheetId="1" sqref="Q381" start="0" length="0">
    <dxf/>
  </rfmt>
  <rfmt sheetId="1" sqref="R381" start="0" length="0">
    <dxf/>
  </rfmt>
  <rfmt sheetId="1" sqref="S381" start="0" length="0">
    <dxf/>
  </rfmt>
  <rfmt sheetId="1" sqref="T381" start="0" length="0">
    <dxf/>
  </rfmt>
  <rfmt sheetId="1" sqref="U381" start="0" length="0">
    <dxf/>
  </rfmt>
  <rfmt sheetId="1" sqref="V381" start="0" length="0">
    <dxf/>
  </rfmt>
  <rfmt sheetId="1" sqref="W381" start="0" length="0">
    <dxf/>
  </rfmt>
  <rfmt sheetId="1" sqref="X381" start="0" length="0">
    <dxf/>
  </rfmt>
  <rfmt sheetId="1" sqref="Y381" start="0" length="0">
    <dxf/>
  </rfmt>
  <rfmt sheetId="1" sqref="Z381" start="0" length="0">
    <dxf/>
  </rfmt>
  <rcc rId="1090" sId="1" odxf="1" dxf="1">
    <nc r="AA381" t="inlineStr">
      <is>
        <t>1</t>
      </is>
    </nc>
    <odxf/>
    <ndxf/>
  </rcc>
  <rcc rId="1091" sId="1" odxf="1" dxf="1">
    <nc r="AB381" t="inlineStr">
      <is>
        <t>0</t>
      </is>
    </nc>
    <odxf/>
    <ndxf/>
  </rcc>
  <rfmt sheetId="1" sqref="A381:XFD381" start="0" length="0">
    <dxf/>
  </rfmt>
  <rcc rId="1092" sId="1" odxf="1" dxf="1">
    <nc r="A382" t="inlineStr">
      <is>
        <t>Zone 3</t>
      </is>
    </nc>
    <odxf/>
    <ndxf/>
  </rcc>
  <rcc rId="1093" sId="1" odxf="1" dxf="1">
    <nc r="B382" t="inlineStr">
      <is>
        <t>FLEX Bag Carton</t>
      </is>
    </nc>
    <odxf/>
    <ndxf/>
  </rcc>
  <rcc rId="1094" sId="1" odxf="1" dxf="1">
    <nc r="C382">
      <v>6</v>
    </nc>
    <odxf/>
    <ndxf/>
  </rcc>
  <rfmt sheetId="1" sqref="D382" start="0" length="0">
    <dxf/>
  </rfmt>
  <rcc rId="1095" sId="1" odxf="1" dxf="1">
    <nc r="E382" t="inlineStr">
      <is>
        <t>W1030000/1</t>
      </is>
    </nc>
    <odxf/>
    <ndxf/>
  </rcc>
  <rcc rId="1096" sId="1" odxf="1" dxf="1">
    <nc r="F382" t="inlineStr">
      <is>
        <t>FLX1/10044</t>
      </is>
    </nc>
    <odxf/>
    <ndxf/>
  </rcc>
  <rcc rId="1097" sId="1" odxf="1" dxf="1">
    <nc r="G382" t="inlineStr">
      <is>
        <t>Flex Cup Size 2 USA</t>
      </is>
    </nc>
    <odxf/>
    <ndxf/>
  </rcc>
  <rcc rId="1098" sId="1" odxf="1" dxf="1">
    <nc r="H382">
      <v>96</v>
    </nc>
    <odxf/>
    <ndxf/>
  </rcc>
  <rcc rId="1099" sId="1" odxf="1" dxf="1">
    <nc r="I382">
      <v>16</v>
    </nc>
    <odxf/>
    <ndxf/>
  </rcc>
  <rcc rId="1100" sId="1" odxf="1" dxf="1">
    <nc r="J382">
      <v>192</v>
    </nc>
    <odxf/>
    <ndxf/>
  </rcc>
  <rcc rId="1101" sId="1" odxf="1" dxf="1">
    <nc r="K382">
      <v>0</v>
    </nc>
    <odxf/>
    <ndxf/>
  </rcc>
  <rcc rId="1102" sId="1" odxf="1" dxf="1" numFmtId="19">
    <nc r="L382">
      <v>46245.291666666664</v>
    </nc>
    <odxf/>
    <ndxf/>
  </rcc>
  <rcc rId="1103" sId="1" odxf="1" dxf="1" numFmtId="19">
    <nc r="M382">
      <v>46245.951388888891</v>
    </nc>
    <odxf/>
    <ndxf/>
  </rcc>
  <rfmt sheetId="1" sqref="N382" start="0" length="0">
    <dxf/>
  </rfmt>
  <rfmt sheetId="1" sqref="O382" start="0" length="0">
    <dxf/>
  </rfmt>
  <rfmt sheetId="1" sqref="P382" start="0" length="0">
    <dxf/>
  </rfmt>
  <rfmt sheetId="1" sqref="Q382" start="0" length="0">
    <dxf/>
  </rfmt>
  <rfmt sheetId="1" sqref="R382" start="0" length="0">
    <dxf/>
  </rfmt>
  <rfmt sheetId="1" sqref="S382" start="0" length="0">
    <dxf/>
  </rfmt>
  <rfmt sheetId="1" sqref="T382" start="0" length="0">
    <dxf/>
  </rfmt>
  <rfmt sheetId="1" sqref="U382" start="0" length="0">
    <dxf/>
  </rfmt>
  <rfmt sheetId="1" sqref="V382" start="0" length="0">
    <dxf/>
  </rfmt>
  <rfmt sheetId="1" sqref="W382" start="0" length="0">
    <dxf/>
  </rfmt>
  <rfmt sheetId="1" sqref="X382" start="0" length="0">
    <dxf/>
  </rfmt>
  <rfmt sheetId="1" sqref="Y382" start="0" length="0">
    <dxf/>
  </rfmt>
  <rfmt sheetId="1" sqref="Z382" start="0" length="0">
    <dxf/>
  </rfmt>
  <rcc rId="1104" sId="1" odxf="1" dxf="1">
    <nc r="AA382" t="inlineStr">
      <is>
        <t>1</t>
      </is>
    </nc>
    <odxf/>
    <ndxf/>
  </rcc>
  <rcc rId="1105" sId="1" odxf="1" dxf="1">
    <nc r="AB382" t="inlineStr">
      <is>
        <t>0</t>
      </is>
    </nc>
    <odxf/>
    <ndxf/>
  </rcc>
  <rfmt sheetId="1" sqref="A382:XFD382" start="0" length="0">
    <dxf/>
  </rfmt>
  <rcc rId="1106" sId="1" odxf="1" dxf="1">
    <nc r="A383" t="inlineStr">
      <is>
        <t>Zone 3</t>
      </is>
    </nc>
    <odxf/>
    <ndxf/>
  </rcc>
  <rcc rId="1107" sId="1" odxf="1" dxf="1">
    <nc r="B383" t="inlineStr">
      <is>
        <t>FLEX Bag Carton</t>
      </is>
    </nc>
    <odxf/>
    <ndxf/>
  </rcc>
  <rcc rId="1108" sId="1" odxf="1" dxf="1">
    <nc r="C383">
      <v>10</v>
    </nc>
    <odxf/>
    <ndxf/>
  </rcc>
  <rfmt sheetId="1" sqref="D383" start="0" length="0">
    <dxf/>
  </rfmt>
  <rcc rId="1109" sId="1" odxf="1" dxf="1">
    <nc r="E383" t="inlineStr">
      <is>
        <t>W1029970/1</t>
      </is>
    </nc>
    <odxf/>
    <ndxf/>
  </rcc>
  <rcc rId="1110" sId="1" odxf="1" dxf="1">
    <nc r="F383" t="inlineStr">
      <is>
        <t>FLX1/10017</t>
      </is>
    </nc>
    <odxf/>
    <ndxf/>
  </rcc>
  <rcc rId="1111" sId="1" odxf="1" dxf="1">
    <nc r="G383" t="inlineStr">
      <is>
        <t>FLEX Assembly 8 Count Bag</t>
      </is>
    </nc>
    <odxf/>
    <ndxf/>
  </rcc>
  <rcc rId="1112" sId="1" odxf="1" dxf="1">
    <nc r="H383">
      <v>73.8</v>
    </nc>
    <odxf/>
    <ndxf/>
  </rcc>
  <rcc rId="1113" sId="1" odxf="1" dxf="1">
    <nc r="I383">
      <v>7.38</v>
    </nc>
    <odxf/>
    <ndxf/>
  </rcc>
  <rcc rId="1114" sId="1" odxf="1" dxf="1">
    <nc r="J383">
      <v>384</v>
    </nc>
    <odxf/>
    <ndxf/>
  </rcc>
  <rcc rId="1115" sId="1" odxf="1" dxf="1">
    <nc r="K383">
      <v>0</v>
    </nc>
    <odxf/>
    <ndxf/>
  </rcc>
  <rcc rId="1116" sId="1" odxf="1" dxf="1" numFmtId="19">
    <nc r="L383">
      <v>46245.958333333336</v>
    </nc>
    <odxf/>
    <ndxf/>
  </rcc>
  <rcc rId="1117" sId="1" odxf="1" dxf="1" numFmtId="19">
    <nc r="M383">
      <v>46246.388888888891</v>
    </nc>
    <odxf/>
    <ndxf/>
  </rcc>
  <rfmt sheetId="1" sqref="N383" start="0" length="0">
    <dxf/>
  </rfmt>
  <rfmt sheetId="1" sqref="O383" start="0" length="0">
    <dxf/>
  </rfmt>
  <rfmt sheetId="1" sqref="P383" start="0" length="0">
    <dxf/>
  </rfmt>
  <rfmt sheetId="1" sqref="Q383" start="0" length="0">
    <dxf/>
  </rfmt>
  <rfmt sheetId="1" sqref="R383" start="0" length="0">
    <dxf/>
  </rfmt>
  <rfmt sheetId="1" sqref="S383" start="0" length="0">
    <dxf/>
  </rfmt>
  <rfmt sheetId="1" sqref="T383" start="0" length="0">
    <dxf/>
  </rfmt>
  <rfmt sheetId="1" sqref="U383" start="0" length="0">
    <dxf/>
  </rfmt>
  <rfmt sheetId="1" sqref="V383" start="0" length="0">
    <dxf/>
  </rfmt>
  <rfmt sheetId="1" sqref="W383" start="0" length="0">
    <dxf/>
  </rfmt>
  <rfmt sheetId="1" sqref="X383" start="0" length="0">
    <dxf/>
  </rfmt>
  <rfmt sheetId="1" sqref="Y383" start="0" length="0">
    <dxf/>
  </rfmt>
  <rfmt sheetId="1" sqref="Z383" start="0" length="0">
    <dxf/>
  </rfmt>
  <rcc rId="1118" sId="1" odxf="1" dxf="1">
    <nc r="AA383" t="inlineStr">
      <is>
        <t>1</t>
      </is>
    </nc>
    <odxf/>
    <ndxf/>
  </rcc>
  <rcc rId="1119" sId="1" odxf="1" dxf="1">
    <nc r="AB383" t="inlineStr">
      <is>
        <t>0</t>
      </is>
    </nc>
    <odxf/>
    <ndxf/>
  </rcc>
  <rfmt sheetId="1" sqref="A383:XFD383" start="0" length="0">
    <dxf/>
  </rfmt>
  <rcc rId="1120" sId="1" odxf="1" dxf="1">
    <nc r="A384" t="inlineStr">
      <is>
        <t>Zone 3</t>
      </is>
    </nc>
    <odxf/>
    <ndxf/>
  </rcc>
  <rcc rId="1121" sId="1" odxf="1" dxf="1">
    <nc r="B384" t="inlineStr">
      <is>
        <t>FLEX Bag Carton</t>
      </is>
    </nc>
    <odxf/>
    <ndxf/>
  </rcc>
  <rcc rId="1122" sId="1" odxf="1" dxf="1">
    <nc r="C384">
      <v>6</v>
    </nc>
    <odxf/>
    <ndxf/>
  </rcc>
  <rfmt sheetId="1" sqref="D384" start="0" length="0">
    <dxf/>
  </rfmt>
  <rcc rId="1123" sId="1" odxf="1" dxf="1">
    <nc r="E384" t="inlineStr">
      <is>
        <t>W1022177/1</t>
      </is>
    </nc>
    <odxf/>
    <ndxf/>
  </rcc>
  <rcc rId="1124" sId="1" odxf="1" dxf="1">
    <nc r="F384" t="inlineStr">
      <is>
        <t>FLX1/10255</t>
      </is>
    </nc>
    <odxf/>
    <ndxf/>
  </rcc>
  <rcc rId="1125" sId="1" odxf="1" dxf="1">
    <nc r="G384" t="inlineStr">
      <is>
        <t>FLEX Assembly 6 Count Box</t>
      </is>
    </nc>
    <odxf/>
    <ndxf/>
  </rcc>
  <rcc rId="1126" sId="1" odxf="1" dxf="1">
    <nc r="H384">
      <v>432</v>
    </nc>
    <odxf/>
    <ndxf/>
  </rcc>
  <rcc rId="1127" sId="1" odxf="1" dxf="1">
    <nc r="I384">
      <v>72</v>
    </nc>
    <odxf/>
    <ndxf/>
  </rcc>
  <rcc rId="1128" sId="1" odxf="1" dxf="1">
    <nc r="J384">
      <v>576</v>
    </nc>
    <odxf/>
    <ndxf/>
  </rcc>
  <rcc rId="1129" sId="1" odxf="1" dxf="1">
    <nc r="K384">
      <v>0</v>
    </nc>
    <odxf/>
    <ndxf/>
  </rcc>
  <rcc rId="1130" sId="1" odxf="1" dxf="1" numFmtId="19">
    <nc r="L384">
      <v>46246.395833333336</v>
    </nc>
    <odxf/>
    <ndxf/>
  </rcc>
  <rcc rId="1131" sId="1" odxf="1" dxf="1" numFmtId="19">
    <nc r="M384">
      <v>46251.513888888891</v>
    </nc>
    <odxf/>
    <ndxf/>
  </rcc>
  <rfmt sheetId="1" sqref="N384" start="0" length="0">
    <dxf/>
  </rfmt>
  <rfmt sheetId="1" sqref="O384" start="0" length="0">
    <dxf/>
  </rfmt>
  <rfmt sheetId="1" sqref="P384" start="0" length="0">
    <dxf/>
  </rfmt>
  <rfmt sheetId="1" sqref="Q384" start="0" length="0">
    <dxf/>
  </rfmt>
  <rfmt sheetId="1" sqref="R384" start="0" length="0">
    <dxf/>
  </rfmt>
  <rfmt sheetId="1" sqref="S384" start="0" length="0">
    <dxf/>
  </rfmt>
  <rfmt sheetId="1" sqref="T384" start="0" length="0">
    <dxf/>
  </rfmt>
  <rfmt sheetId="1" sqref="U384" start="0" length="0">
    <dxf/>
  </rfmt>
  <rfmt sheetId="1" sqref="V384" start="0" length="0">
    <dxf/>
  </rfmt>
  <rfmt sheetId="1" sqref="W384" start="0" length="0">
    <dxf/>
  </rfmt>
  <rfmt sheetId="1" sqref="X384" start="0" length="0">
    <dxf/>
  </rfmt>
  <rfmt sheetId="1" sqref="Y384" start="0" length="0">
    <dxf/>
  </rfmt>
  <rfmt sheetId="1" sqref="Z384" start="0" length="0">
    <dxf/>
  </rfmt>
  <rcc rId="1132" sId="1" odxf="1" dxf="1">
    <nc r="AA384" t="inlineStr">
      <is>
        <t>1</t>
      </is>
    </nc>
    <odxf/>
    <ndxf/>
  </rcc>
  <rcc rId="1133" sId="1" odxf="1" dxf="1">
    <nc r="AB384" t="inlineStr">
      <is>
        <t>0</t>
      </is>
    </nc>
    <odxf/>
    <ndxf/>
  </rcc>
  <rfmt sheetId="1" sqref="A384:XFD384" start="0" length="0">
    <dxf/>
  </rfmt>
  <rcc rId="1134" sId="1" odxf="1" dxf="1">
    <nc r="A385" t="inlineStr">
      <is>
        <t>Zone 3</t>
      </is>
    </nc>
    <odxf/>
    <ndxf/>
  </rcc>
  <rcc rId="1135" sId="1" odxf="1" dxf="1">
    <nc r="B385" t="inlineStr">
      <is>
        <t>FLEX Bag Carton</t>
      </is>
    </nc>
    <odxf/>
    <ndxf/>
  </rcc>
  <rcc rId="1136" sId="1" odxf="1" dxf="1">
    <nc r="C385">
      <v>6</v>
    </nc>
    <odxf/>
    <ndxf/>
  </rcc>
  <rfmt sheetId="1" sqref="D385" start="0" length="0">
    <dxf/>
  </rfmt>
  <rcc rId="1137" sId="1" odxf="1" dxf="1">
    <nc r="E385" t="inlineStr">
      <is>
        <t>W1022181/1</t>
      </is>
    </nc>
    <odxf/>
    <ndxf/>
  </rcc>
  <rcc rId="1138" sId="1" odxf="1" dxf="1">
    <nc r="F385" t="inlineStr">
      <is>
        <t>FLX1/10128</t>
      </is>
    </nc>
    <odxf/>
    <ndxf/>
  </rcc>
  <rcc rId="1139" sId="1" odxf="1" dxf="1">
    <nc r="G385" t="inlineStr">
      <is>
        <t>FLEX Plant + Disc 12 Count Bag</t>
      </is>
    </nc>
    <odxf/>
    <ndxf/>
  </rcc>
  <rcc rId="1140" sId="1" odxf="1" dxf="1">
    <nc r="H385">
      <v>96</v>
    </nc>
    <odxf/>
    <ndxf/>
  </rcc>
  <rcc rId="1141" sId="1" odxf="1" dxf="1">
    <nc r="I385">
      <v>16</v>
    </nc>
    <odxf/>
    <ndxf/>
  </rcc>
  <rcc rId="1142" sId="1" odxf="1" dxf="1">
    <nc r="J385">
      <v>480</v>
    </nc>
    <odxf/>
    <ndxf/>
  </rcc>
  <rcc rId="1143" sId="1" odxf="1" dxf="1">
    <nc r="K385">
      <v>0</v>
    </nc>
    <odxf/>
    <ndxf/>
  </rcc>
  <rcc rId="1144" sId="1" odxf="1" dxf="1" numFmtId="19">
    <nc r="L385">
      <v>46251.520833333336</v>
    </nc>
    <odxf/>
    <ndxf/>
  </rcc>
  <rcc rId="1145" sId="1" odxf="1" dxf="1" numFmtId="19">
    <nc r="M385">
      <v>46252.305555555555</v>
    </nc>
    <odxf/>
    <ndxf/>
  </rcc>
  <rfmt sheetId="1" sqref="N385" start="0" length="0">
    <dxf/>
  </rfmt>
  <rfmt sheetId="1" sqref="O385" start="0" length="0">
    <dxf/>
  </rfmt>
  <rfmt sheetId="1" sqref="P385" start="0" length="0">
    <dxf/>
  </rfmt>
  <rfmt sheetId="1" sqref="Q385" start="0" length="0">
    <dxf/>
  </rfmt>
  <rfmt sheetId="1" sqref="R385" start="0" length="0">
    <dxf/>
  </rfmt>
  <rfmt sheetId="1" sqref="S385" start="0" length="0">
    <dxf/>
  </rfmt>
  <rfmt sheetId="1" sqref="T385" start="0" length="0">
    <dxf/>
  </rfmt>
  <rfmt sheetId="1" sqref="U385" start="0" length="0">
    <dxf/>
  </rfmt>
  <rfmt sheetId="1" sqref="V385" start="0" length="0">
    <dxf/>
  </rfmt>
  <rfmt sheetId="1" sqref="W385" start="0" length="0">
    <dxf/>
  </rfmt>
  <rfmt sheetId="1" sqref="X385" start="0" length="0">
    <dxf/>
  </rfmt>
  <rfmt sheetId="1" sqref="Y385" start="0" length="0">
    <dxf/>
  </rfmt>
  <rfmt sheetId="1" sqref="Z385" start="0" length="0">
    <dxf/>
  </rfmt>
  <rcc rId="1146" sId="1" odxf="1" dxf="1">
    <nc r="AA385" t="inlineStr">
      <is>
        <t>1</t>
      </is>
    </nc>
    <odxf/>
    <ndxf/>
  </rcc>
  <rcc rId="1147" sId="1" odxf="1" dxf="1">
    <nc r="AB385" t="inlineStr">
      <is>
        <t>0</t>
      </is>
    </nc>
    <odxf/>
    <ndxf/>
  </rcc>
  <rfmt sheetId="1" sqref="A385:XFD385" start="0" length="0">
    <dxf/>
  </rfmt>
  <rcc rId="1148" sId="1" odxf="1" dxf="1">
    <nc r="A386" t="inlineStr">
      <is>
        <t>Zone 3</t>
      </is>
    </nc>
    <odxf/>
    <ndxf/>
  </rcc>
  <rcc rId="1149" sId="1" odxf="1" dxf="1">
    <nc r="B386" t="inlineStr">
      <is>
        <t>FLEX Bag Carton</t>
      </is>
    </nc>
    <odxf/>
    <ndxf/>
  </rcc>
  <rcc rId="1150" sId="1" odxf="1" dxf="1">
    <nc r="C386">
      <v>5</v>
    </nc>
    <odxf/>
    <ndxf/>
  </rcc>
  <rfmt sheetId="1" sqref="D386" start="0" length="0">
    <dxf/>
  </rfmt>
  <rcc rId="1151" sId="1" odxf="1" dxf="1">
    <nc r="E386" t="inlineStr">
      <is>
        <t>W1026796/1</t>
      </is>
    </nc>
    <odxf/>
    <ndxf/>
  </rcc>
  <rcc rId="1152" sId="1" odxf="1" dxf="1">
    <nc r="F386" t="inlineStr">
      <is>
        <t>FLX1/10268</t>
      </is>
    </nc>
    <odxf/>
    <ndxf/>
  </rcc>
  <rcc rId="1153" sId="1" odxf="1" dxf="1">
    <nc r="G386" t="inlineStr">
      <is>
        <t>FLEX 2 Count Sample Pack</t>
      </is>
    </nc>
    <odxf/>
    <ndxf/>
  </rcc>
  <rcc rId="1154" sId="1" odxf="1" dxf="1">
    <nc r="H386">
      <v>171.45</v>
    </nc>
    <odxf/>
    <ndxf/>
  </rcc>
  <rcc rId="1155" sId="1" odxf="1" dxf="1">
    <nc r="I386">
      <v>34.29</v>
    </nc>
    <odxf/>
    <ndxf/>
  </rcc>
  <rcc rId="1156" sId="1" odxf="1" dxf="1">
    <nc r="J386">
      <v>240</v>
    </nc>
    <odxf/>
    <ndxf/>
  </rcc>
  <rcc rId="1157" sId="1" odxf="1" dxf="1">
    <nc r="K386">
      <v>0</v>
    </nc>
    <odxf/>
    <ndxf/>
  </rcc>
  <rcc rId="1158" sId="1" odxf="1" dxf="1" numFmtId="19">
    <nc r="L386">
      <v>46252.3125</v>
    </nc>
    <odxf/>
    <ndxf/>
  </rcc>
  <rcc rId="1159" sId="1" odxf="1" dxf="1" numFmtId="19">
    <nc r="M386">
      <v>46253.861111111109</v>
    </nc>
    <odxf/>
    <ndxf/>
  </rcc>
  <rfmt sheetId="1" sqref="N386" start="0" length="0">
    <dxf/>
  </rfmt>
  <rfmt sheetId="1" sqref="O386" start="0" length="0">
    <dxf/>
  </rfmt>
  <rfmt sheetId="1" sqref="P386" start="0" length="0">
    <dxf/>
  </rfmt>
  <rfmt sheetId="1" sqref="Q386" start="0" length="0">
    <dxf/>
  </rfmt>
  <rfmt sheetId="1" sqref="R386" start="0" length="0">
    <dxf/>
  </rfmt>
  <rfmt sheetId="1" sqref="S386" start="0" length="0">
    <dxf/>
  </rfmt>
  <rfmt sheetId="1" sqref="T386" start="0" length="0">
    <dxf/>
  </rfmt>
  <rfmt sheetId="1" sqref="U386" start="0" length="0">
    <dxf/>
  </rfmt>
  <rfmt sheetId="1" sqref="V386" start="0" length="0">
    <dxf/>
  </rfmt>
  <rfmt sheetId="1" sqref="W386" start="0" length="0">
    <dxf/>
  </rfmt>
  <rfmt sheetId="1" sqref="X386" start="0" length="0">
    <dxf/>
  </rfmt>
  <rfmt sheetId="1" sqref="Y386" start="0" length="0">
    <dxf/>
  </rfmt>
  <rfmt sheetId="1" sqref="Z386" start="0" length="0">
    <dxf/>
  </rfmt>
  <rcc rId="1160" sId="1" odxf="1" dxf="1">
    <nc r="AA386" t="inlineStr">
      <is>
        <t>1</t>
      </is>
    </nc>
    <odxf/>
    <ndxf/>
  </rcc>
  <rcc rId="1161" sId="1" odxf="1" dxf="1">
    <nc r="AB386" t="inlineStr">
      <is>
        <t>0</t>
      </is>
    </nc>
    <odxf/>
    <ndxf/>
  </rcc>
  <rfmt sheetId="1" sqref="A386:XFD386" start="0" length="0">
    <dxf/>
  </rfmt>
  <rcc rId="1162" sId="1" odxf="1" dxf="1">
    <nc r="A387" t="inlineStr">
      <is>
        <t>Zone 3</t>
      </is>
    </nc>
    <odxf/>
    <ndxf/>
  </rcc>
  <rcc rId="1163" sId="1" odxf="1" dxf="1">
    <nc r="B387" t="inlineStr">
      <is>
        <t>FLEX Bag Carton</t>
      </is>
    </nc>
    <odxf/>
    <ndxf/>
  </rcc>
  <rcc rId="1164" sId="1" odxf="1" dxf="1">
    <nc r="C387">
      <v>6</v>
    </nc>
    <odxf/>
    <ndxf/>
  </rcc>
  <rfmt sheetId="1" sqref="D387" start="0" length="0">
    <dxf/>
  </rfmt>
  <rcc rId="1165" sId="1" odxf="1" dxf="1">
    <nc r="E387" t="inlineStr">
      <is>
        <t>W1022147/1</t>
      </is>
    </nc>
    <odxf/>
    <ndxf/>
  </rcc>
  <rcc rId="1166" sId="1" odxf="1" dxf="1">
    <nc r="F387" t="inlineStr">
      <is>
        <t>FLX1/10260</t>
      </is>
    </nc>
    <odxf/>
    <ndxf/>
  </rcc>
  <rcc rId="1167" sId="1" odxf="1" dxf="1">
    <nc r="G387" t="inlineStr">
      <is>
        <t>FLEX Assembly 24 Count Box</t>
      </is>
    </nc>
    <odxf/>
    <ndxf/>
  </rcc>
  <rcc rId="1168" sId="1" odxf="1" dxf="1">
    <nc r="H387">
      <v>660.72</v>
    </nc>
    <odxf/>
    <ndxf/>
  </rcc>
  <rcc rId="1169" sId="1" odxf="1" dxf="1">
    <nc r="I387">
      <v>110.12</v>
    </nc>
    <odxf/>
    <ndxf/>
  </rcc>
  <rcc rId="1170" sId="1" odxf="1" dxf="1">
    <nc r="J387">
      <v>1872</v>
    </nc>
    <odxf/>
    <ndxf/>
  </rcc>
  <rcc rId="1171" sId="1" odxf="1" dxf="1">
    <nc r="K387">
      <v>0</v>
    </nc>
    <odxf/>
    <ndxf/>
  </rcc>
  <rcc rId="1172" sId="1" odxf="1" dxf="1" numFmtId="19">
    <nc r="L387">
      <v>46253.868055555555</v>
    </nc>
    <odxf/>
    <ndxf/>
  </rcc>
  <rcc rId="1173" sId="1" odxf="1" dxf="1" numFmtId="19">
    <nc r="M387">
      <v>46260.576388888891</v>
    </nc>
    <odxf/>
    <ndxf/>
  </rcc>
  <rfmt sheetId="1" sqref="N387" start="0" length="0">
    <dxf/>
  </rfmt>
  <rfmt sheetId="1" sqref="O387" start="0" length="0">
    <dxf/>
  </rfmt>
  <rfmt sheetId="1" sqref="P387" start="0" length="0">
    <dxf/>
  </rfmt>
  <rfmt sheetId="1" sqref="Q387" start="0" length="0">
    <dxf/>
  </rfmt>
  <rfmt sheetId="1" sqref="R387" start="0" length="0">
    <dxf/>
  </rfmt>
  <rfmt sheetId="1" sqref="S387" start="0" length="0">
    <dxf/>
  </rfmt>
  <rfmt sheetId="1" sqref="T387" start="0" length="0">
    <dxf/>
  </rfmt>
  <rfmt sheetId="1" sqref="U387" start="0" length="0">
    <dxf/>
  </rfmt>
  <rfmt sheetId="1" sqref="V387" start="0" length="0">
    <dxf/>
  </rfmt>
  <rfmt sheetId="1" sqref="W387" start="0" length="0">
    <dxf/>
  </rfmt>
  <rfmt sheetId="1" sqref="X387" start="0" length="0">
    <dxf/>
  </rfmt>
  <rfmt sheetId="1" sqref="Y387" start="0" length="0">
    <dxf/>
  </rfmt>
  <rfmt sheetId="1" sqref="Z387" start="0" length="0">
    <dxf/>
  </rfmt>
  <rcc rId="1174" sId="1" odxf="1" dxf="1">
    <nc r="AA387" t="inlineStr">
      <is>
        <t>1</t>
      </is>
    </nc>
    <odxf/>
    <ndxf/>
  </rcc>
  <rcc rId="1175" sId="1" odxf="1" dxf="1">
    <nc r="AB387" t="inlineStr">
      <is>
        <t>0</t>
      </is>
    </nc>
    <odxf/>
    <ndxf/>
  </rcc>
  <rfmt sheetId="1" sqref="A387:XFD387" start="0" length="0">
    <dxf/>
  </rfmt>
  <rcc rId="1176" sId="1" odxf="1" dxf="1">
    <nc r="A388" t="inlineStr">
      <is>
        <t>Zone 3</t>
      </is>
    </nc>
    <odxf/>
    <ndxf/>
  </rcc>
  <rcc rId="1177" sId="1" odxf="1" dxf="1">
    <nc r="B388" t="inlineStr">
      <is>
        <t>FLEX Bag Carton</t>
      </is>
    </nc>
    <odxf/>
    <ndxf/>
  </rcc>
  <rcc rId="1178" sId="1" odxf="1" dxf="1">
    <nc r="C388">
      <v>6</v>
    </nc>
    <odxf/>
    <ndxf/>
  </rcc>
  <rfmt sheetId="1" sqref="D388" start="0" length="0">
    <dxf/>
  </rfmt>
  <rcc rId="1179" sId="1" odxf="1" dxf="1">
    <nc r="E388" t="inlineStr">
      <is>
        <t>W1019391/1</t>
      </is>
    </nc>
    <odxf/>
    <ndxf/>
  </rcc>
  <rcc rId="1180" sId="1" odxf="1" dxf="1">
    <nc r="F388" t="inlineStr">
      <is>
        <t>FLX1/10044AM</t>
      </is>
    </nc>
    <odxf/>
    <ndxf/>
  </rcc>
  <rcc rId="1181" sId="1" odxf="1" dxf="1">
    <nc r="G388" t="inlineStr">
      <is>
        <t>Flex Cup Size 2 Amazon</t>
      </is>
    </nc>
    <odxf/>
    <ndxf/>
  </rcc>
  <rcc rId="1182" sId="1" odxf="1" dxf="1">
    <nc r="H388">
      <v>96</v>
    </nc>
    <odxf/>
    <ndxf/>
  </rcc>
  <rcc rId="1183" sId="1" odxf="1" dxf="1">
    <nc r="I388">
      <v>16</v>
    </nc>
    <odxf/>
    <ndxf/>
  </rcc>
  <rcc rId="1184" sId="1" odxf="1" dxf="1">
    <nc r="J388">
      <v>192</v>
    </nc>
    <odxf/>
    <ndxf/>
  </rcc>
  <rcc rId="1185" sId="1" odxf="1" dxf="1">
    <nc r="K388">
      <v>0</v>
    </nc>
    <odxf/>
    <ndxf/>
  </rcc>
  <rcc rId="1186" sId="1" odxf="1" dxf="1" numFmtId="19">
    <nc r="L388">
      <v>46260.583333333336</v>
    </nc>
    <odxf/>
    <ndxf/>
  </rcc>
  <rcc rId="1187" sId="1" odxf="1" dxf="1" numFmtId="19">
    <nc r="M388">
      <v>46261.243055555555</v>
    </nc>
    <odxf/>
    <ndxf/>
  </rcc>
  <rfmt sheetId="1" sqref="N388" start="0" length="0">
    <dxf/>
  </rfmt>
  <rfmt sheetId="1" sqref="O388" start="0" length="0">
    <dxf/>
  </rfmt>
  <rfmt sheetId="1" sqref="P388" start="0" length="0">
    <dxf/>
  </rfmt>
  <rfmt sheetId="1" sqref="Q388" start="0" length="0">
    <dxf/>
  </rfmt>
  <rfmt sheetId="1" sqref="R388" start="0" length="0">
    <dxf/>
  </rfmt>
  <rfmt sheetId="1" sqref="S388" start="0" length="0">
    <dxf/>
  </rfmt>
  <rfmt sheetId="1" sqref="T388" start="0" length="0">
    <dxf/>
  </rfmt>
  <rfmt sheetId="1" sqref="U388" start="0" length="0">
    <dxf/>
  </rfmt>
  <rfmt sheetId="1" sqref="V388" start="0" length="0">
    <dxf/>
  </rfmt>
  <rfmt sheetId="1" sqref="W388" start="0" length="0">
    <dxf/>
  </rfmt>
  <rfmt sheetId="1" sqref="X388" start="0" length="0">
    <dxf/>
  </rfmt>
  <rfmt sheetId="1" sqref="Y388" start="0" length="0">
    <dxf/>
  </rfmt>
  <rfmt sheetId="1" sqref="Z388" start="0" length="0">
    <dxf/>
  </rfmt>
  <rcc rId="1188" sId="1" odxf="1" dxf="1">
    <nc r="AA388" t="inlineStr">
      <is>
        <t>1</t>
      </is>
    </nc>
    <odxf/>
    <ndxf/>
  </rcc>
  <rcc rId="1189" sId="1" odxf="1" dxf="1">
    <nc r="AB388" t="inlineStr">
      <is>
        <t>0</t>
      </is>
    </nc>
    <odxf/>
    <ndxf/>
  </rcc>
  <rfmt sheetId="1" sqref="A388:XFD388" start="0" length="0">
    <dxf/>
  </rfmt>
  <rcc rId="1190" sId="1" odxf="1" dxf="1">
    <nc r="A389" t="inlineStr">
      <is>
        <t>Zone 3</t>
      </is>
    </nc>
    <odxf/>
    <ndxf/>
  </rcc>
  <rcc rId="1191" sId="1" odxf="1" dxf="1">
    <nc r="B389" t="inlineStr">
      <is>
        <t>FLEX Bag Carton</t>
      </is>
    </nc>
    <odxf/>
    <ndxf/>
  </rcc>
  <rcc rId="1192" sId="1" odxf="1" dxf="1">
    <nc r="C389">
      <v>7</v>
    </nc>
    <odxf/>
    <ndxf/>
  </rcc>
  <rfmt sheetId="1" sqref="D389" start="0" length="0">
    <dxf/>
  </rfmt>
  <rcc rId="1193" sId="1" odxf="1" dxf="1">
    <nc r="E389" t="inlineStr">
      <is>
        <t>W1029980/1</t>
      </is>
    </nc>
    <odxf/>
    <ndxf/>
  </rcc>
  <rcc rId="1194" sId="1" odxf="1" dxf="1">
    <nc r="F389" t="inlineStr">
      <is>
        <t>FLX1/10128JP</t>
      </is>
    </nc>
    <odxf/>
    <ndxf/>
  </rcc>
  <rcc rId="1195" sId="1" odxf="1" dxf="1">
    <nc r="G389" t="inlineStr">
      <is>
        <t>FLEX Plant + Disc 12 Count Bag Japan</t>
      </is>
    </nc>
    <odxf/>
    <ndxf/>
  </rcc>
  <rcc rId="1196" sId="1" odxf="1" dxf="1">
    <nc r="H389">
      <v>18.13</v>
    </nc>
    <odxf/>
    <ndxf/>
  </rcc>
  <rcc rId="1197" sId="1" odxf="1" dxf="1">
    <nc r="I389">
      <v>2.59</v>
    </nc>
    <odxf/>
    <ndxf/>
  </rcc>
  <rcc rId="1198" sId="1" odxf="1" dxf="1">
    <nc r="J389">
      <v>96</v>
    </nc>
    <odxf/>
    <ndxf/>
  </rcc>
  <rcc rId="1199" sId="1" odxf="1" dxf="1">
    <nc r="K389">
      <v>0</v>
    </nc>
    <odxf/>
    <ndxf/>
  </rcc>
  <rcc rId="1200" sId="1" odxf="1" dxf="1" numFmtId="19">
    <nc r="L389">
      <v>46261.25</v>
    </nc>
    <odxf/>
    <ndxf/>
  </rcc>
  <rcc rId="1201" sId="1" odxf="1" dxf="1" numFmtId="19">
    <nc r="M389">
      <v>46261.479166666664</v>
    </nc>
    <odxf/>
    <ndxf/>
  </rcc>
  <rfmt sheetId="1" sqref="N389" start="0" length="0">
    <dxf/>
  </rfmt>
  <rfmt sheetId="1" sqref="O389" start="0" length="0">
    <dxf/>
  </rfmt>
  <rfmt sheetId="1" sqref="P389" start="0" length="0">
    <dxf/>
  </rfmt>
  <rfmt sheetId="1" sqref="Q389" start="0" length="0">
    <dxf/>
  </rfmt>
  <rfmt sheetId="1" sqref="R389" start="0" length="0">
    <dxf/>
  </rfmt>
  <rfmt sheetId="1" sqref="S389" start="0" length="0">
    <dxf/>
  </rfmt>
  <rfmt sheetId="1" sqref="T389" start="0" length="0">
    <dxf/>
  </rfmt>
  <rfmt sheetId="1" sqref="U389" start="0" length="0">
    <dxf/>
  </rfmt>
  <rfmt sheetId="1" sqref="V389" start="0" length="0">
    <dxf/>
  </rfmt>
  <rfmt sheetId="1" sqref="W389" start="0" length="0">
    <dxf/>
  </rfmt>
  <rfmt sheetId="1" sqref="X389" start="0" length="0">
    <dxf/>
  </rfmt>
  <rfmt sheetId="1" sqref="Y389" start="0" length="0">
    <dxf/>
  </rfmt>
  <rfmt sheetId="1" sqref="Z389" start="0" length="0">
    <dxf/>
  </rfmt>
  <rcc rId="1202" sId="1" odxf="1" dxf="1">
    <nc r="AA389" t="inlineStr">
      <is>
        <t>1</t>
      </is>
    </nc>
    <odxf/>
    <ndxf/>
  </rcc>
  <rcc rId="1203" sId="1" odxf="1" dxf="1">
    <nc r="AB389" t="inlineStr">
      <is>
        <t>0</t>
      </is>
    </nc>
    <odxf/>
    <ndxf/>
  </rcc>
  <rfmt sheetId="1" sqref="A389:XFD389" start="0" length="0">
    <dxf/>
  </rfmt>
  <rcc rId="1204" sId="1" odxf="1" dxf="1">
    <nc r="A390" t="inlineStr">
      <is>
        <t>Zone 3</t>
      </is>
    </nc>
    <odxf/>
    <ndxf/>
  </rcc>
  <rcc rId="1205" sId="1" odxf="1" dxf="1">
    <nc r="B390" t="inlineStr">
      <is>
        <t>FLEX Bag Carton</t>
      </is>
    </nc>
    <odxf/>
    <ndxf/>
  </rcc>
  <rcc rId="1206" sId="1" odxf="1" dxf="1">
    <nc r="C390">
      <v>6</v>
    </nc>
    <odxf/>
    <ndxf/>
  </rcc>
  <rfmt sheetId="1" sqref="D390" start="0" length="0">
    <dxf/>
  </rfmt>
  <rcc rId="1207" sId="1" odxf="1" dxf="1">
    <nc r="E390" t="inlineStr">
      <is>
        <t>W1022202/1</t>
      </is>
    </nc>
    <odxf/>
    <ndxf/>
  </rcc>
  <rcc rId="1208" sId="1" odxf="1" dxf="1">
    <nc r="F390" t="inlineStr">
      <is>
        <t>FLX1/10043</t>
      </is>
    </nc>
    <odxf/>
    <ndxf/>
  </rcc>
  <rcc rId="1209" sId="1" odxf="1" dxf="1">
    <nc r="G390" t="inlineStr">
      <is>
        <t>Flex Cup Size 1 USA</t>
      </is>
    </nc>
    <odxf/>
    <ndxf/>
  </rcc>
  <rcc rId="1210" sId="1" odxf="1" dxf="1">
    <nc r="H390">
      <v>552</v>
    </nc>
    <odxf/>
    <ndxf/>
  </rcc>
  <rcc rId="1211" sId="1" odxf="1" dxf="1">
    <nc r="I390">
      <v>92</v>
    </nc>
    <odxf/>
    <ndxf/>
  </rcc>
  <rcc rId="1212" sId="1" odxf="1" dxf="1">
    <nc r="J390">
      <v>1104</v>
    </nc>
    <odxf/>
    <ndxf/>
  </rcc>
  <rcc rId="1213" sId="1" odxf="1" dxf="1">
    <nc r="K390">
      <v>0</v>
    </nc>
    <odxf/>
    <ndxf/>
  </rcc>
  <rcc rId="1214" sId="1" odxf="1" dxf="1" numFmtId="19">
    <nc r="L390">
      <v>46266</v>
    </nc>
    <odxf/>
    <ndxf/>
  </rcc>
  <rcc rId="1215" sId="1" odxf="1" dxf="1" numFmtId="19">
    <nc r="M390">
      <v>46269.826388888891</v>
    </nc>
    <odxf/>
    <ndxf/>
  </rcc>
  <rfmt sheetId="1" sqref="N390" start="0" length="0">
    <dxf/>
  </rfmt>
  <rfmt sheetId="1" sqref="O390" start="0" length="0">
    <dxf/>
  </rfmt>
  <rfmt sheetId="1" sqref="P390" start="0" length="0">
    <dxf/>
  </rfmt>
  <rfmt sheetId="1" sqref="Q390" start="0" length="0">
    <dxf/>
  </rfmt>
  <rfmt sheetId="1" sqref="R390" start="0" length="0">
    <dxf/>
  </rfmt>
  <rfmt sheetId="1" sqref="S390" start="0" length="0">
    <dxf/>
  </rfmt>
  <rfmt sheetId="1" sqref="T390" start="0" length="0">
    <dxf/>
  </rfmt>
  <rfmt sheetId="1" sqref="U390" start="0" length="0">
    <dxf/>
  </rfmt>
  <rfmt sheetId="1" sqref="V390" start="0" length="0">
    <dxf/>
  </rfmt>
  <rfmt sheetId="1" sqref="W390" start="0" length="0">
    <dxf/>
  </rfmt>
  <rfmt sheetId="1" sqref="X390" start="0" length="0">
    <dxf/>
  </rfmt>
  <rfmt sheetId="1" sqref="Y390" start="0" length="0">
    <dxf/>
  </rfmt>
  <rfmt sheetId="1" sqref="Z390" start="0" length="0">
    <dxf/>
  </rfmt>
  <rcc rId="1216" sId="1" odxf="1" dxf="1">
    <nc r="AA390" t="inlineStr">
      <is>
        <t>1</t>
      </is>
    </nc>
    <odxf/>
    <ndxf/>
  </rcc>
  <rcc rId="1217" sId="1" odxf="1" dxf="1">
    <nc r="AB390" t="inlineStr">
      <is>
        <t>0</t>
      </is>
    </nc>
    <odxf/>
    <ndxf/>
  </rcc>
  <rfmt sheetId="1" sqref="A390:XFD390" start="0" length="0">
    <dxf/>
  </rfmt>
  <rcc rId="1218" sId="1" odxf="1" dxf="1">
    <nc r="A391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219" sId="1" odxf="1" dxf="1">
    <nc r="B391" t="inlineStr">
      <is>
        <t>FLEX Bag Carton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220" sId="1" odxf="1" dxf="1">
    <nc r="C391">
      <v>10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D391" start="0" length="0">
    <dxf>
      <border outline="0">
        <bottom style="medium">
          <color indexed="64"/>
        </bottom>
      </border>
    </dxf>
  </rfmt>
  <rcc rId="1221" sId="1" odxf="1" dxf="1">
    <nc r="E391" t="inlineStr">
      <is>
        <t>W1029971/1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222" sId="1" odxf="1" dxf="1">
    <nc r="F391" t="inlineStr">
      <is>
        <t>FLX1/10017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223" sId="1" odxf="1" dxf="1">
    <nc r="G391" t="inlineStr">
      <is>
        <t>FLEX Assembly 8 Count Bag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224" sId="1" odxf="1" dxf="1">
    <nc r="H391">
      <v>18.5</v>
    </nc>
    <odxf>
      <border outline="0">
        <bottom/>
      </border>
    </odxf>
    <ndxf>
      <border outline="0">
        <bottom style="medium">
          <color indexed="64"/>
        </bottom>
      </border>
    </ndxf>
  </rcc>
  <rcc rId="1225" sId="1" odxf="1" dxf="1">
    <nc r="I391">
      <v>1.85</v>
    </nc>
    <odxf>
      <border outline="0">
        <bottom/>
      </border>
    </odxf>
    <ndxf>
      <border outline="0">
        <bottom style="medium">
          <color indexed="64"/>
        </bottom>
      </border>
    </ndxf>
  </rcc>
  <rcc rId="1226" sId="1" odxf="1" dxf="1">
    <nc r="J391">
      <v>96</v>
    </nc>
    <odxf>
      <border outline="0">
        <bottom/>
      </border>
    </odxf>
    <ndxf>
      <border outline="0">
        <bottom style="medium">
          <color indexed="64"/>
        </bottom>
      </border>
    </ndxf>
  </rcc>
  <rcc rId="1227" sId="1" odxf="1" dxf="1">
    <nc r="K391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1228" sId="1" odxf="1" dxf="1" numFmtId="19">
    <nc r="L391">
      <v>46269.833333333336</v>
    </nc>
    <odxf>
      <border outline="0">
        <bottom/>
      </border>
    </odxf>
    <ndxf>
      <border outline="0">
        <bottom style="medium">
          <color indexed="64"/>
        </bottom>
      </border>
    </ndxf>
  </rcc>
  <rcc rId="1229" sId="1" odxf="1" dxf="1" numFmtId="19">
    <nc r="M391">
      <v>46273.034722222219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391" start="0" length="0">
    <dxf>
      <border outline="0">
        <bottom style="medium">
          <color indexed="64"/>
        </bottom>
      </border>
    </dxf>
  </rfmt>
  <rfmt sheetId="1" sqref="O391" start="0" length="0">
    <dxf>
      <border outline="0">
        <bottom style="medium">
          <color indexed="64"/>
        </bottom>
      </border>
    </dxf>
  </rfmt>
  <rfmt sheetId="1" sqref="P391" start="0" length="0">
    <dxf>
      <border outline="0">
        <bottom style="medium">
          <color indexed="64"/>
        </bottom>
      </border>
    </dxf>
  </rfmt>
  <rfmt sheetId="1" sqref="Q391" start="0" length="0">
    <dxf>
      <border outline="0">
        <bottom style="medium">
          <color indexed="64"/>
        </bottom>
      </border>
    </dxf>
  </rfmt>
  <rfmt sheetId="1" sqref="R391" start="0" length="0">
    <dxf>
      <border outline="0">
        <bottom style="medium">
          <color indexed="64"/>
        </bottom>
      </border>
    </dxf>
  </rfmt>
  <rfmt sheetId="1" sqref="S391" start="0" length="0">
    <dxf>
      <border outline="0">
        <bottom style="medium">
          <color indexed="64"/>
        </bottom>
      </border>
    </dxf>
  </rfmt>
  <rfmt sheetId="1" sqref="T391" start="0" length="0">
    <dxf>
      <border outline="0">
        <bottom style="medium">
          <color indexed="64"/>
        </bottom>
      </border>
    </dxf>
  </rfmt>
  <rfmt sheetId="1" sqref="U391" start="0" length="0">
    <dxf>
      <border outline="0">
        <bottom style="medium">
          <color indexed="64"/>
        </bottom>
      </border>
    </dxf>
  </rfmt>
  <rfmt sheetId="1" sqref="V391" start="0" length="0">
    <dxf>
      <border outline="0">
        <bottom style="medium">
          <color indexed="64"/>
        </bottom>
      </border>
    </dxf>
  </rfmt>
  <rfmt sheetId="1" sqref="W391" start="0" length="0">
    <dxf>
      <border outline="0">
        <bottom style="medium">
          <color indexed="64"/>
        </bottom>
      </border>
    </dxf>
  </rfmt>
  <rfmt sheetId="1" sqref="X391" start="0" length="0">
    <dxf>
      <border outline="0">
        <bottom style="medium">
          <color indexed="64"/>
        </bottom>
      </border>
    </dxf>
  </rfmt>
  <rfmt sheetId="1" sqref="Y391" start="0" length="0">
    <dxf>
      <border outline="0">
        <bottom style="medium">
          <color indexed="64"/>
        </bottom>
      </border>
    </dxf>
  </rfmt>
  <rfmt sheetId="1" sqref="Z391" start="0" length="0">
    <dxf>
      <border outline="0">
        <bottom style="medium">
          <color indexed="64"/>
        </bottom>
      </border>
    </dxf>
  </rfmt>
  <rcc rId="1230" sId="1" odxf="1" dxf="1">
    <nc r="AA391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231" sId="1" odxf="1" dxf="1">
    <nc r="AB391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391:XFD391" start="0" length="0">
    <dxf>
      <border outline="0">
        <bottom style="medium">
          <color indexed="64"/>
        </bottom>
      </border>
    </dxf>
  </rfmt>
  <rcc rId="1232" sId="1" odxf="1" dxf="1">
    <nc r="A392" t="inlineStr">
      <is>
        <t>Zone 3</t>
      </is>
    </nc>
    <odxf/>
    <ndxf/>
  </rcc>
  <rcc rId="1233" sId="1" odxf="1" dxf="1">
    <nc r="B392" t="inlineStr">
      <is>
        <t>Flex Packaging</t>
      </is>
    </nc>
    <odxf/>
    <ndxf/>
  </rcc>
  <rcc rId="1234" sId="1" odxf="1" dxf="1">
    <nc r="C392">
      <v>6</v>
    </nc>
    <odxf/>
    <ndxf/>
  </rcc>
  <rfmt sheetId="1" sqref="D392" start="0" length="0">
    <dxf/>
  </rfmt>
  <rcc rId="1235" sId="1" odxf="1" dxf="1">
    <nc r="E392" t="inlineStr">
      <is>
        <t>W1022159/1</t>
      </is>
    </nc>
    <odxf/>
    <ndxf/>
  </rcc>
  <rcc rId="1236" sId="1" odxf="1" dxf="1">
    <nc r="F392" t="inlineStr">
      <is>
        <t>FLX1/10056WM</t>
      </is>
    </nc>
    <odxf/>
    <ndxf/>
  </rcc>
  <rcc rId="1237" sId="1" odxf="1" dxf="1">
    <nc r="G392" t="inlineStr">
      <is>
        <t>FLEX 12 CT Vertical Walmart (12/18)</t>
      </is>
    </nc>
    <odxf/>
    <ndxf/>
  </rcc>
  <rcc rId="1238" sId="1" odxf="1" dxf="1">
    <nc r="H392">
      <v>92.16</v>
    </nc>
    <odxf/>
    <ndxf/>
  </rcc>
  <rcc rId="1239" sId="1" odxf="1" dxf="1">
    <nc r="I392">
      <v>15.36</v>
    </nc>
    <odxf/>
    <ndxf/>
  </rcc>
  <rcc rId="1240" sId="1" odxf="1" dxf="1">
    <nc r="J392">
      <v>384</v>
    </nc>
    <odxf/>
    <ndxf/>
  </rcc>
  <rcc rId="1241" sId="1" odxf="1" dxf="1">
    <nc r="K392">
      <v>0</v>
    </nc>
    <odxf/>
    <ndxf/>
  </rcc>
  <rcc rId="1242" sId="1" odxf="1" dxf="1" numFmtId="19">
    <nc r="L392">
      <v>46208.958333333336</v>
    </nc>
    <odxf/>
    <ndxf/>
  </rcc>
  <rcc rId="1243" sId="1" odxf="1" dxf="1" numFmtId="19">
    <nc r="M392">
      <v>46210.055555555555</v>
    </nc>
    <odxf/>
    <ndxf/>
  </rcc>
  <rfmt sheetId="1" sqref="N392" start="0" length="0">
    <dxf/>
  </rfmt>
  <rcc rId="1244" sId="1" odxf="1" dxf="1">
    <nc r="O392" t="inlineStr">
      <is>
        <t>P</t>
      </is>
    </nc>
    <odxf/>
    <ndxf/>
  </rcc>
  <rfmt sheetId="1" sqref="P392" start="0" length="0">
    <dxf/>
  </rfmt>
  <rfmt sheetId="1" sqref="Q392" start="0" length="0">
    <dxf/>
  </rfmt>
  <rfmt sheetId="1" sqref="R392" start="0" length="0">
    <dxf/>
  </rfmt>
  <rfmt sheetId="1" sqref="S392" start="0" length="0">
    <dxf/>
  </rfmt>
  <rfmt sheetId="1" sqref="T392" start="0" length="0">
    <dxf/>
  </rfmt>
  <rfmt sheetId="1" sqref="U392" start="0" length="0">
    <dxf/>
  </rfmt>
  <rfmt sheetId="1" sqref="V392" start="0" length="0">
    <dxf/>
  </rfmt>
  <rfmt sheetId="1" sqref="W392" start="0" length="0">
    <dxf/>
  </rfmt>
  <rfmt sheetId="1" sqref="X392" start="0" length="0">
    <dxf/>
  </rfmt>
  <rfmt sheetId="1" sqref="Y392" start="0" length="0">
    <dxf/>
  </rfmt>
  <rfmt sheetId="1" sqref="Z392" start="0" length="0">
    <dxf/>
  </rfmt>
  <rcc rId="1245" sId="1" odxf="1" dxf="1">
    <nc r="AA392" t="inlineStr">
      <is>
        <t>1</t>
      </is>
    </nc>
    <odxf/>
    <ndxf/>
  </rcc>
  <rcc rId="1246" sId="1" odxf="1" dxf="1">
    <nc r="AB392" t="inlineStr">
      <is>
        <t>0</t>
      </is>
    </nc>
    <odxf/>
    <ndxf/>
  </rcc>
  <rfmt sheetId="1" sqref="A392:XFD392" start="0" length="0">
    <dxf/>
  </rfmt>
  <rcc rId="1247" sId="1" odxf="1" dxf="1">
    <nc r="A393" t="inlineStr">
      <is>
        <t>Zone 3</t>
      </is>
    </nc>
    <odxf/>
    <ndxf/>
  </rcc>
  <rcc rId="1248" sId="1" odxf="1" dxf="1">
    <nc r="B393" t="inlineStr">
      <is>
        <t>Flex Packaging</t>
      </is>
    </nc>
    <odxf/>
    <ndxf/>
  </rcc>
  <rcc rId="1249" sId="1" odxf="1" dxf="1">
    <nc r="C393">
      <v>6</v>
    </nc>
    <odxf/>
    <ndxf/>
  </rcc>
  <rfmt sheetId="1" sqref="D393" start="0" length="0">
    <dxf/>
  </rfmt>
  <rcc rId="1250" sId="1" odxf="1" dxf="1">
    <nc r="E393" t="inlineStr">
      <is>
        <t>W1030060/1</t>
      </is>
    </nc>
    <odxf/>
    <ndxf/>
  </rcc>
  <rcc rId="1251" sId="1" odxf="1" dxf="1">
    <nc r="F393" t="inlineStr">
      <is>
        <t>FLX1/10122WM</t>
      </is>
    </nc>
    <odxf/>
    <ndxf/>
  </rcc>
  <rcc rId="1252" sId="1" odxf="1" dxf="1">
    <nc r="G393" t="inlineStr">
      <is>
        <t>Flex Reusable Disc Walmart (1/18)</t>
      </is>
    </nc>
    <odxf/>
    <ndxf/>
  </rcc>
  <rcc rId="1253" sId="1" odxf="1" dxf="1">
    <nc r="H393">
      <v>70.8</v>
    </nc>
    <odxf/>
    <ndxf/>
  </rcc>
  <rcc rId="1254" sId="1" odxf="1" dxf="1">
    <nc r="I393">
      <v>11.8</v>
    </nc>
    <odxf/>
    <ndxf/>
  </rcc>
  <rcc rId="1255" sId="1" odxf="1" dxf="1">
    <nc r="J393">
      <v>295</v>
    </nc>
    <odxf/>
    <ndxf/>
  </rcc>
  <rcc rId="1256" sId="1" odxf="1" dxf="1">
    <nc r="K393">
      <v>0</v>
    </nc>
    <odxf/>
    <ndxf/>
  </rcc>
  <rcc rId="1257" sId="1" odxf="1" dxf="1" numFmtId="19">
    <nc r="L393">
      <v>46198</v>
    </nc>
    <odxf/>
    <ndxf/>
  </rcc>
  <rcc rId="1258" sId="1" odxf="1" dxf="1" numFmtId="19">
    <nc r="M393">
      <v>46198.611111111109</v>
    </nc>
    <odxf/>
    <ndxf/>
  </rcc>
  <rfmt sheetId="1" sqref="N393" start="0" length="0">
    <dxf/>
  </rfmt>
  <rcc rId="1259" sId="1" odxf="1" dxf="1">
    <nc r="O393" t="inlineStr">
      <is>
        <t>P</t>
      </is>
    </nc>
    <odxf/>
    <ndxf/>
  </rcc>
  <rfmt sheetId="1" sqref="P393" start="0" length="0">
    <dxf/>
  </rfmt>
  <rfmt sheetId="1" sqref="Q393" start="0" length="0">
    <dxf/>
  </rfmt>
  <rfmt sheetId="1" sqref="R393" start="0" length="0">
    <dxf/>
  </rfmt>
  <rfmt sheetId="1" sqref="S393" start="0" length="0">
    <dxf/>
  </rfmt>
  <rfmt sheetId="1" sqref="T393" start="0" length="0">
    <dxf/>
  </rfmt>
  <rfmt sheetId="1" sqref="U393" start="0" length="0">
    <dxf/>
  </rfmt>
  <rfmt sheetId="1" sqref="V393" start="0" length="0">
    <dxf/>
  </rfmt>
  <rfmt sheetId="1" sqref="W393" start="0" length="0">
    <dxf/>
  </rfmt>
  <rfmt sheetId="1" sqref="X393" start="0" length="0">
    <dxf/>
  </rfmt>
  <rfmt sheetId="1" sqref="Y393" start="0" length="0">
    <dxf/>
  </rfmt>
  <rfmt sheetId="1" sqref="Z393" start="0" length="0">
    <dxf/>
  </rfmt>
  <rcc rId="1260" sId="1" odxf="1" dxf="1">
    <nc r="AA393" t="inlineStr">
      <is>
        <t>1</t>
      </is>
    </nc>
    <odxf/>
    <ndxf/>
  </rcc>
  <rcc rId="1261" sId="1" odxf="1" dxf="1">
    <nc r="AB393" t="inlineStr">
      <is>
        <t>0</t>
      </is>
    </nc>
    <odxf/>
    <ndxf/>
  </rcc>
  <rfmt sheetId="1" sqref="A393:XFD393" start="0" length="0">
    <dxf/>
  </rfmt>
  <rcc rId="1262" sId="1" odxf="1" dxf="1">
    <nc r="A394" t="inlineStr">
      <is>
        <t>Zone 3</t>
      </is>
    </nc>
    <odxf/>
    <ndxf/>
  </rcc>
  <rcc rId="1263" sId="1" odxf="1" dxf="1">
    <nc r="B394" t="inlineStr">
      <is>
        <t>Flex Packaging</t>
      </is>
    </nc>
    <odxf/>
    <ndxf/>
  </rcc>
  <rcc rId="1264" sId="1" odxf="1" dxf="1">
    <nc r="C394">
      <v>6</v>
    </nc>
    <odxf/>
    <ndxf/>
  </rcc>
  <rfmt sheetId="1" sqref="D394" start="0" length="0">
    <dxf/>
  </rfmt>
  <rcc rId="1265" sId="1" odxf="1" dxf="1">
    <nc r="E394" t="inlineStr">
      <is>
        <t>W1020826/1</t>
      </is>
    </nc>
    <odxf/>
    <ndxf/>
  </rcc>
  <rcc rId="1266" sId="1" odxf="1" dxf="1">
    <nc r="F394" t="inlineStr">
      <is>
        <t>FLX1/10016</t>
      </is>
    </nc>
    <odxf/>
    <ndxf/>
  </rcc>
  <rcc rId="1267" sId="1" odxf="1" dxf="1">
    <nc r="G394" t="inlineStr">
      <is>
        <t>Softdisc 14 Count Canadian (18/14)</t>
      </is>
    </nc>
    <odxf/>
    <ndxf/>
  </rcc>
  <rcc rId="1268" sId="1" odxf="1" dxf="1">
    <nc r="H394">
      <v>69.12</v>
    </nc>
    <odxf/>
    <ndxf/>
  </rcc>
  <rcc rId="1269" sId="1" odxf="1" dxf="1">
    <nc r="I394">
      <v>11.52</v>
    </nc>
    <odxf/>
    <ndxf/>
  </rcc>
  <rcc rId="1270" sId="1" odxf="1" dxf="1">
    <nc r="J394">
      <v>288</v>
    </nc>
    <odxf/>
    <ndxf/>
  </rcc>
  <rcc rId="1271" sId="1" odxf="1" dxf="1">
    <nc r="K394">
      <v>0</v>
    </nc>
    <odxf/>
    <ndxf/>
  </rcc>
  <rcc rId="1272" sId="1" odxf="1" dxf="1" numFmtId="19">
    <nc r="L394">
      <v>46210.0625</v>
    </nc>
    <odxf/>
    <ndxf/>
  </rcc>
  <rcc rId="1273" sId="1" odxf="1" dxf="1" numFmtId="19">
    <nc r="M394">
      <v>46211</v>
    </nc>
    <odxf/>
    <ndxf/>
  </rcc>
  <rfmt sheetId="1" sqref="N394" start="0" length="0">
    <dxf/>
  </rfmt>
  <rfmt sheetId="1" sqref="O394" start="0" length="0">
    <dxf/>
  </rfmt>
  <rfmt sheetId="1" sqref="P394" start="0" length="0">
    <dxf/>
  </rfmt>
  <rfmt sheetId="1" sqref="Q394" start="0" length="0">
    <dxf/>
  </rfmt>
  <rfmt sheetId="1" sqref="R394" start="0" length="0">
    <dxf/>
  </rfmt>
  <rfmt sheetId="1" sqref="S394" start="0" length="0">
    <dxf/>
  </rfmt>
  <rfmt sheetId="1" sqref="T394" start="0" length="0">
    <dxf/>
  </rfmt>
  <rfmt sheetId="1" sqref="U394" start="0" length="0">
    <dxf/>
  </rfmt>
  <rfmt sheetId="1" sqref="V394" start="0" length="0">
    <dxf/>
  </rfmt>
  <rfmt sheetId="1" sqref="W394" start="0" length="0">
    <dxf/>
  </rfmt>
  <rfmt sheetId="1" sqref="X394" start="0" length="0">
    <dxf/>
  </rfmt>
  <rfmt sheetId="1" sqref="Y394" start="0" length="0">
    <dxf/>
  </rfmt>
  <rfmt sheetId="1" sqref="Z394" start="0" length="0">
    <dxf/>
  </rfmt>
  <rcc rId="1274" sId="1" odxf="1" dxf="1">
    <nc r="AA394" t="inlineStr">
      <is>
        <t>1</t>
      </is>
    </nc>
    <odxf/>
    <ndxf/>
  </rcc>
  <rcc rId="1275" sId="1" odxf="1" dxf="1">
    <nc r="AB394" t="inlineStr">
      <is>
        <t>0</t>
      </is>
    </nc>
    <odxf/>
    <ndxf/>
  </rcc>
  <rfmt sheetId="1" sqref="A394:XFD394" start="0" length="0">
    <dxf/>
  </rfmt>
  <rcc rId="1276" sId="1" odxf="1" dxf="1">
    <nc r="A395" t="inlineStr">
      <is>
        <t>Zone 3</t>
      </is>
    </nc>
    <odxf/>
    <ndxf/>
  </rcc>
  <rcc rId="1277" sId="1" odxf="1" dxf="1">
    <nc r="B395" t="inlineStr">
      <is>
        <t>Flex Packaging</t>
      </is>
    </nc>
    <odxf/>
    <ndxf/>
  </rcc>
  <rcc rId="1278" sId="1" odxf="1" dxf="1">
    <nc r="C395">
      <v>6</v>
    </nc>
    <odxf/>
    <ndxf/>
  </rcc>
  <rfmt sheetId="1" sqref="D395" start="0" length="0">
    <dxf/>
  </rfmt>
  <rcc rId="1279" sId="1" odxf="1" dxf="1">
    <nc r="E395" t="inlineStr">
      <is>
        <t>W1022152/1</t>
      </is>
    </nc>
    <odxf/>
    <ndxf/>
  </rcc>
  <rcc rId="1280" sId="1" odxf="1" dxf="1">
    <nc r="F395" t="inlineStr">
      <is>
        <t>INS1/00160</t>
      </is>
    </nc>
    <odxf/>
    <ndxf/>
  </rcc>
  <rcc rId="1281" sId="1" odxf="1" dxf="1">
    <nc r="G395" t="inlineStr">
      <is>
        <t>Softdisc 14 Count (18/14)</t>
      </is>
    </nc>
    <odxf/>
    <ndxf/>
  </rcc>
  <rcc rId="1282" sId="1" odxf="1" dxf="1">
    <nc r="H395">
      <v>218.88</v>
    </nc>
    <odxf/>
    <ndxf/>
  </rcc>
  <rcc rId="1283" sId="1" odxf="1" dxf="1">
    <nc r="I395">
      <v>36.479999999999997</v>
    </nc>
    <odxf/>
    <ndxf/>
  </rcc>
  <rcc rId="1284" sId="1" odxf="1" dxf="1">
    <nc r="J395">
      <v>912</v>
    </nc>
    <odxf/>
    <ndxf/>
  </rcc>
  <rcc rId="1285" sId="1" odxf="1" dxf="1">
    <nc r="K395">
      <v>0</v>
    </nc>
    <odxf/>
    <ndxf/>
  </rcc>
  <rcc rId="1286" sId="1" odxf="1" dxf="1" numFmtId="19">
    <nc r="L395">
      <v>46211.006944444445</v>
    </nc>
    <odxf/>
    <ndxf/>
  </rcc>
  <rcc rId="1287" sId="1" odxf="1" dxf="1" numFmtId="19">
    <nc r="M395">
      <v>46213.3125</v>
    </nc>
    <odxf/>
    <ndxf/>
  </rcc>
  <rfmt sheetId="1" sqref="N395" start="0" length="0">
    <dxf/>
  </rfmt>
  <rfmt sheetId="1" sqref="O395" start="0" length="0">
    <dxf/>
  </rfmt>
  <rfmt sheetId="1" sqref="P395" start="0" length="0">
    <dxf/>
  </rfmt>
  <rfmt sheetId="1" sqref="Q395" start="0" length="0">
    <dxf/>
  </rfmt>
  <rfmt sheetId="1" sqref="R395" start="0" length="0">
    <dxf/>
  </rfmt>
  <rfmt sheetId="1" sqref="S395" start="0" length="0">
    <dxf/>
  </rfmt>
  <rfmt sheetId="1" sqref="T395" start="0" length="0">
    <dxf/>
  </rfmt>
  <rfmt sheetId="1" sqref="U395" start="0" length="0">
    <dxf/>
  </rfmt>
  <rfmt sheetId="1" sqref="V395" start="0" length="0">
    <dxf/>
  </rfmt>
  <rfmt sheetId="1" sqref="W395" start="0" length="0">
    <dxf/>
  </rfmt>
  <rfmt sheetId="1" sqref="X395" start="0" length="0">
    <dxf/>
  </rfmt>
  <rfmt sheetId="1" sqref="Y395" start="0" length="0">
    <dxf/>
  </rfmt>
  <rfmt sheetId="1" sqref="Z395" start="0" length="0">
    <dxf/>
  </rfmt>
  <rcc rId="1288" sId="1" odxf="1" dxf="1">
    <nc r="AA395" t="inlineStr">
      <is>
        <t>1</t>
      </is>
    </nc>
    <odxf/>
    <ndxf/>
  </rcc>
  <rcc rId="1289" sId="1" odxf="1" dxf="1">
    <nc r="AB395" t="inlineStr">
      <is>
        <t>0</t>
      </is>
    </nc>
    <odxf/>
    <ndxf/>
  </rcc>
  <rfmt sheetId="1" sqref="A395:XFD395" start="0" length="0">
    <dxf/>
  </rfmt>
  <rcc rId="1290" sId="1" odxf="1" dxf="1">
    <nc r="A396" t="inlineStr">
      <is>
        <t>Zone 3</t>
      </is>
    </nc>
    <odxf/>
    <ndxf/>
  </rcc>
  <rcc rId="1291" sId="1" odxf="1" dxf="1">
    <nc r="B396" t="inlineStr">
      <is>
        <t>Flex Packaging</t>
      </is>
    </nc>
    <odxf/>
    <ndxf/>
  </rcc>
  <rcc rId="1292" sId="1" odxf="1" dxf="1">
    <nc r="C396">
      <v>6</v>
    </nc>
    <odxf/>
    <ndxf/>
  </rcc>
  <rfmt sheetId="1" sqref="D396" start="0" length="0">
    <dxf/>
  </rfmt>
  <rcc rId="1293" sId="1" odxf="1" dxf="1">
    <nc r="E396" t="inlineStr">
      <is>
        <t>W1019369/1</t>
      </is>
    </nc>
    <odxf/>
    <ndxf/>
  </rcc>
  <rcc rId="1294" sId="1" odxf="1" dxf="1">
    <nc r="F396" t="inlineStr">
      <is>
        <t>FLX1/10099</t>
      </is>
    </nc>
    <odxf/>
    <ndxf/>
  </rcc>
  <rcc rId="1295" sId="1" odxf="1" dxf="1">
    <nc r="G396" t="inlineStr">
      <is>
        <t>Flex Disc 12 Count Canadian</t>
      </is>
    </nc>
    <odxf/>
    <ndxf/>
  </rcc>
  <rcc rId="1296" sId="1" odxf="1" dxf="1">
    <nc r="H396">
      <v>69.12</v>
    </nc>
    <odxf/>
    <ndxf/>
  </rcc>
  <rcc rId="1297" sId="1" odxf="1" dxf="1">
    <nc r="I396">
      <v>11.52</v>
    </nc>
    <odxf/>
    <ndxf/>
  </rcc>
  <rcc rId="1298" sId="1" odxf="1" dxf="1">
    <nc r="J396">
      <v>288</v>
    </nc>
    <odxf/>
    <ndxf/>
  </rcc>
  <rcc rId="1299" sId="1" odxf="1" dxf="1">
    <nc r="K396">
      <v>0</v>
    </nc>
    <odxf/>
    <ndxf/>
  </rcc>
  <rcc rId="1300" sId="1" odxf="1" dxf="1" numFmtId="19">
    <nc r="L396">
      <v>46213.319444444445</v>
    </nc>
    <odxf/>
    <ndxf/>
  </rcc>
  <rcc rId="1301" sId="1" odxf="1" dxf="1" numFmtId="19">
    <nc r="M396">
      <v>46213.631944444445</v>
    </nc>
    <odxf/>
    <ndxf/>
  </rcc>
  <rfmt sheetId="1" sqref="N396" start="0" length="0">
    <dxf/>
  </rfmt>
  <rfmt sheetId="1" sqref="O396" start="0" length="0">
    <dxf/>
  </rfmt>
  <rfmt sheetId="1" sqref="P396" start="0" length="0">
    <dxf/>
  </rfmt>
  <rfmt sheetId="1" sqref="Q396" start="0" length="0">
    <dxf/>
  </rfmt>
  <rfmt sheetId="1" sqref="R396" start="0" length="0">
    <dxf/>
  </rfmt>
  <rfmt sheetId="1" sqref="S396" start="0" length="0">
    <dxf/>
  </rfmt>
  <rfmt sheetId="1" sqref="T396" start="0" length="0">
    <dxf/>
  </rfmt>
  <rfmt sheetId="1" sqref="U396" start="0" length="0">
    <dxf/>
  </rfmt>
  <rfmt sheetId="1" sqref="V396" start="0" length="0">
    <dxf/>
  </rfmt>
  <rfmt sheetId="1" sqref="W396" start="0" length="0">
    <dxf/>
  </rfmt>
  <rfmt sheetId="1" sqref="X396" start="0" length="0">
    <dxf/>
  </rfmt>
  <rfmt sheetId="1" sqref="Y396" start="0" length="0">
    <dxf/>
  </rfmt>
  <rfmt sheetId="1" sqref="Z396" start="0" length="0">
    <dxf/>
  </rfmt>
  <rcc rId="1302" sId="1" odxf="1" dxf="1">
    <nc r="AA396" t="inlineStr">
      <is>
        <t>1</t>
      </is>
    </nc>
    <odxf/>
    <ndxf/>
  </rcc>
  <rcc rId="1303" sId="1" odxf="1" dxf="1">
    <nc r="AB396" t="inlineStr">
      <is>
        <t>0</t>
      </is>
    </nc>
    <odxf/>
    <ndxf/>
  </rcc>
  <rfmt sheetId="1" sqref="A396:XFD396" start="0" length="0">
    <dxf/>
  </rfmt>
  <rcc rId="1304" sId="1" odxf="1" dxf="1">
    <nc r="A397" t="inlineStr">
      <is>
        <t>Zone 3</t>
      </is>
    </nc>
    <odxf/>
    <ndxf/>
  </rcc>
  <rcc rId="1305" sId="1" odxf="1" dxf="1">
    <nc r="B397" t="inlineStr">
      <is>
        <t>Flex Packaging</t>
      </is>
    </nc>
    <odxf/>
    <ndxf/>
  </rcc>
  <rcc rId="1306" sId="1" odxf="1" dxf="1">
    <nc r="C397">
      <v>6</v>
    </nc>
    <odxf/>
    <ndxf/>
  </rcc>
  <rfmt sheetId="1" sqref="D397" start="0" length="0">
    <dxf/>
  </rfmt>
  <rcc rId="1307" sId="1" odxf="1" dxf="1">
    <nc r="E397" t="inlineStr">
      <is>
        <t>W1022194/1</t>
      </is>
    </nc>
    <odxf/>
    <ndxf/>
  </rcc>
  <rcc rId="1308" sId="1" odxf="1" dxf="1">
    <nc r="F397" t="inlineStr">
      <is>
        <t>FLX1/10122</t>
      </is>
    </nc>
    <odxf/>
    <ndxf/>
  </rcc>
  <rcc rId="1309" sId="1" odxf="1" dxf="1">
    <nc r="G397" t="inlineStr">
      <is>
        <t>Flex Reusable Disc</t>
      </is>
    </nc>
    <odxf/>
    <ndxf/>
  </rcc>
  <rcc rId="1310" sId="1" odxf="1" dxf="1">
    <nc r="H397">
      <v>34.56</v>
    </nc>
    <odxf/>
    <ndxf/>
  </rcc>
  <rcc rId="1311" sId="1" odxf="1" dxf="1">
    <nc r="I397">
      <v>5.76</v>
    </nc>
    <odxf/>
    <ndxf/>
  </rcc>
  <rcc rId="1312" sId="1" odxf="1" dxf="1">
    <nc r="J397">
      <v>144</v>
    </nc>
    <odxf/>
    <ndxf/>
  </rcc>
  <rcc rId="1313" sId="1" odxf="1" dxf="1">
    <nc r="K397">
      <v>0</v>
    </nc>
    <odxf/>
    <ndxf/>
  </rcc>
  <rcc rId="1314" sId="1" odxf="1" dxf="1" numFmtId="19">
    <nc r="L397">
      <v>46213.638888888891</v>
    </nc>
    <odxf/>
    <ndxf/>
  </rcc>
  <rcc rId="1315" sId="1" odxf="1" dxf="1" numFmtId="19">
    <nc r="M397">
      <v>46216.291666666664</v>
    </nc>
    <odxf/>
    <ndxf/>
  </rcc>
  <rfmt sheetId="1" sqref="N397" start="0" length="0">
    <dxf/>
  </rfmt>
  <rfmt sheetId="1" sqref="O397" start="0" length="0">
    <dxf/>
  </rfmt>
  <rfmt sheetId="1" sqref="P397" start="0" length="0">
    <dxf/>
  </rfmt>
  <rfmt sheetId="1" sqref="Q397" start="0" length="0">
    <dxf/>
  </rfmt>
  <rfmt sheetId="1" sqref="R397" start="0" length="0">
    <dxf/>
  </rfmt>
  <rfmt sheetId="1" sqref="S397" start="0" length="0">
    <dxf/>
  </rfmt>
  <rfmt sheetId="1" sqref="T397" start="0" length="0">
    <dxf/>
  </rfmt>
  <rfmt sheetId="1" sqref="U397" start="0" length="0">
    <dxf/>
  </rfmt>
  <rfmt sheetId="1" sqref="V397" start="0" length="0">
    <dxf/>
  </rfmt>
  <rfmt sheetId="1" sqref="W397" start="0" length="0">
    <dxf/>
  </rfmt>
  <rfmt sheetId="1" sqref="X397" start="0" length="0">
    <dxf/>
  </rfmt>
  <rfmt sheetId="1" sqref="Y397" start="0" length="0">
    <dxf/>
  </rfmt>
  <rfmt sheetId="1" sqref="Z397" start="0" length="0">
    <dxf/>
  </rfmt>
  <rcc rId="1316" sId="1" odxf="1" dxf="1">
    <nc r="AA397" t="inlineStr">
      <is>
        <t>1</t>
      </is>
    </nc>
    <odxf/>
    <ndxf/>
  </rcc>
  <rcc rId="1317" sId="1" odxf="1" dxf="1">
    <nc r="AB397" t="inlineStr">
      <is>
        <t>0</t>
      </is>
    </nc>
    <odxf/>
    <ndxf/>
  </rcc>
  <rfmt sheetId="1" sqref="A397:XFD397" start="0" length="0">
    <dxf/>
  </rfmt>
  <rcc rId="1318" sId="1" odxf="1" dxf="1">
    <nc r="A398" t="inlineStr">
      <is>
        <t>Zone 3</t>
      </is>
    </nc>
    <odxf/>
    <ndxf/>
  </rcc>
  <rcc rId="1319" sId="1" odxf="1" dxf="1">
    <nc r="B398" t="inlineStr">
      <is>
        <t>Flex Packaging</t>
      </is>
    </nc>
    <odxf/>
    <ndxf/>
  </rcc>
  <rcc rId="1320" sId="1" odxf="1" dxf="1">
    <nc r="C398">
      <v>6</v>
    </nc>
    <odxf/>
    <ndxf/>
  </rcc>
  <rfmt sheetId="1" sqref="D398" start="0" length="0">
    <dxf/>
  </rfmt>
  <rcc rId="1321" sId="1" odxf="1" dxf="1">
    <nc r="E398" t="inlineStr">
      <is>
        <t>W1019291/1</t>
      </is>
    </nc>
    <odxf/>
    <ndxf/>
  </rcc>
  <rcc rId="1322" sId="1" odxf="1" dxf="1">
    <nc r="F398" t="inlineStr">
      <is>
        <t>FLX1/10122WM</t>
      </is>
    </nc>
    <odxf/>
    <ndxf/>
  </rcc>
  <rcc rId="1323" sId="1" odxf="1" dxf="1">
    <nc r="G398" t="inlineStr">
      <is>
        <t>Flex Reusable Disc Walmart (1/18)</t>
      </is>
    </nc>
    <odxf/>
    <ndxf/>
  </rcc>
  <rcc rId="1324" sId="1" odxf="1" dxf="1">
    <nc r="H398">
      <v>80.64</v>
    </nc>
    <odxf/>
    <ndxf/>
  </rcc>
  <rcc rId="1325" sId="1" odxf="1" dxf="1">
    <nc r="I398">
      <v>13.44</v>
    </nc>
    <odxf/>
    <ndxf/>
  </rcc>
  <rcc rId="1326" sId="1" odxf="1" dxf="1">
    <nc r="J398">
      <v>336</v>
    </nc>
    <odxf/>
    <ndxf/>
  </rcc>
  <rcc rId="1327" sId="1" odxf="1" dxf="1">
    <nc r="K398">
      <v>0</v>
    </nc>
    <odxf/>
    <ndxf/>
  </rcc>
  <rcc rId="1328" sId="1" odxf="1" dxf="1" numFmtId="19">
    <nc r="L398">
      <v>46216.298611111109</v>
    </nc>
    <odxf/>
    <ndxf/>
  </rcc>
  <rcc rId="1329" sId="1" odxf="1" dxf="1" numFmtId="19">
    <nc r="M398">
      <v>46217.3125</v>
    </nc>
    <odxf/>
    <ndxf/>
  </rcc>
  <rfmt sheetId="1" sqref="N398" start="0" length="0">
    <dxf/>
  </rfmt>
  <rfmt sheetId="1" sqref="O398" start="0" length="0">
    <dxf/>
  </rfmt>
  <rfmt sheetId="1" sqref="P398" start="0" length="0">
    <dxf/>
  </rfmt>
  <rfmt sheetId="1" sqref="Q398" start="0" length="0">
    <dxf/>
  </rfmt>
  <rfmt sheetId="1" sqref="R398" start="0" length="0">
    <dxf/>
  </rfmt>
  <rfmt sheetId="1" sqref="S398" start="0" length="0">
    <dxf/>
  </rfmt>
  <rfmt sheetId="1" sqref="T398" start="0" length="0">
    <dxf/>
  </rfmt>
  <rfmt sheetId="1" sqref="U398" start="0" length="0">
    <dxf/>
  </rfmt>
  <rfmt sheetId="1" sqref="V398" start="0" length="0">
    <dxf/>
  </rfmt>
  <rfmt sheetId="1" sqref="W398" start="0" length="0">
    <dxf/>
  </rfmt>
  <rfmt sheetId="1" sqref="X398" start="0" length="0">
    <dxf/>
  </rfmt>
  <rfmt sheetId="1" sqref="Y398" start="0" length="0">
    <dxf/>
  </rfmt>
  <rfmt sheetId="1" sqref="Z398" start="0" length="0">
    <dxf/>
  </rfmt>
  <rcc rId="1330" sId="1" odxf="1" dxf="1">
    <nc r="AA398" t="inlineStr">
      <is>
        <t>1</t>
      </is>
    </nc>
    <odxf/>
    <ndxf/>
  </rcc>
  <rcc rId="1331" sId="1" odxf="1" dxf="1">
    <nc r="AB398" t="inlineStr">
      <is>
        <t>0</t>
      </is>
    </nc>
    <odxf/>
    <ndxf/>
  </rcc>
  <rfmt sheetId="1" sqref="A398:XFD398" start="0" length="0">
    <dxf/>
  </rfmt>
  <rcc rId="1332" sId="1" odxf="1" dxf="1">
    <nc r="A399" t="inlineStr">
      <is>
        <t>Zone 3</t>
      </is>
    </nc>
    <odxf/>
    <ndxf/>
  </rcc>
  <rcc rId="1333" sId="1" odxf="1" dxf="1">
    <nc r="B399" t="inlineStr">
      <is>
        <t>Flex Packaging</t>
      </is>
    </nc>
    <odxf/>
    <ndxf/>
  </rcc>
  <rcc rId="1334" sId="1" odxf="1" dxf="1">
    <nc r="C399">
      <v>6</v>
    </nc>
    <odxf/>
    <ndxf/>
  </rcc>
  <rfmt sheetId="1" sqref="D399" start="0" length="0">
    <dxf/>
  </rfmt>
  <rcc rId="1335" sId="1" odxf="1" dxf="1">
    <nc r="E399" t="inlineStr">
      <is>
        <t>W1022157/1</t>
      </is>
    </nc>
    <odxf/>
    <ndxf/>
  </rcc>
  <rcc rId="1336" sId="1" odxf="1" dxf="1">
    <nc r="F399" t="inlineStr">
      <is>
        <t>FLX1/10056</t>
      </is>
    </nc>
    <odxf/>
    <ndxf/>
  </rcc>
  <rcc rId="1337" sId="1" odxf="1" dxf="1">
    <nc r="G399" t="inlineStr">
      <is>
        <t>FLEX 12 CT Vertical Assembly</t>
      </is>
    </nc>
    <odxf/>
    <ndxf/>
  </rcc>
  <rcc rId="1338" sId="1" odxf="1" dxf="1">
    <nc r="H399">
      <v>288</v>
    </nc>
    <odxf/>
    <ndxf/>
  </rcc>
  <rcc rId="1339" sId="1" odxf="1" dxf="1">
    <nc r="I399">
      <v>48</v>
    </nc>
    <odxf/>
    <ndxf/>
  </rcc>
  <rcc rId="1340" sId="1" odxf="1" dxf="1">
    <nc r="J399">
      <v>1200</v>
    </nc>
    <odxf/>
    <ndxf/>
  </rcc>
  <rcc rId="1341" sId="1" odxf="1" dxf="1">
    <nc r="K399">
      <v>0</v>
    </nc>
    <odxf/>
    <ndxf/>
  </rcc>
  <rcc rId="1342" sId="1" odxf="1" dxf="1" numFmtId="19">
    <nc r="L399">
      <v>46237.958333333336</v>
    </nc>
    <odxf/>
    <ndxf/>
  </rcc>
  <rcc rId="1343" sId="1" odxf="1" dxf="1" numFmtId="19">
    <nc r="M399">
      <v>46241.076388888891</v>
    </nc>
    <odxf/>
    <ndxf/>
  </rcc>
  <rfmt sheetId="1" sqref="N399" start="0" length="0">
    <dxf/>
  </rfmt>
  <rfmt sheetId="1" sqref="O399" start="0" length="0">
    <dxf/>
  </rfmt>
  <rfmt sheetId="1" sqref="P399" start="0" length="0">
    <dxf/>
  </rfmt>
  <rfmt sheetId="1" sqref="Q399" start="0" length="0">
    <dxf/>
  </rfmt>
  <rfmt sheetId="1" sqref="R399" start="0" length="0">
    <dxf/>
  </rfmt>
  <rfmt sheetId="1" sqref="S399" start="0" length="0">
    <dxf/>
  </rfmt>
  <rfmt sheetId="1" sqref="T399" start="0" length="0">
    <dxf/>
  </rfmt>
  <rfmt sheetId="1" sqref="U399" start="0" length="0">
    <dxf/>
  </rfmt>
  <rfmt sheetId="1" sqref="V399" start="0" length="0">
    <dxf/>
  </rfmt>
  <rfmt sheetId="1" sqref="W399" start="0" length="0">
    <dxf/>
  </rfmt>
  <rfmt sheetId="1" sqref="X399" start="0" length="0">
    <dxf/>
  </rfmt>
  <rfmt sheetId="1" sqref="Y399" start="0" length="0">
    <dxf/>
  </rfmt>
  <rfmt sheetId="1" sqref="Z399" start="0" length="0">
    <dxf/>
  </rfmt>
  <rcc rId="1344" sId="1" odxf="1" dxf="1">
    <nc r="AA399" t="inlineStr">
      <is>
        <t>1</t>
      </is>
    </nc>
    <odxf/>
    <ndxf/>
  </rcc>
  <rcc rId="1345" sId="1" odxf="1" dxf="1">
    <nc r="AB399" t="inlineStr">
      <is>
        <t>0</t>
      </is>
    </nc>
    <odxf/>
    <ndxf/>
  </rcc>
  <rfmt sheetId="1" sqref="A399:XFD399" start="0" length="0">
    <dxf/>
  </rfmt>
  <rcc rId="1346" sId="1" odxf="1" dxf="1">
    <nc r="A400" t="inlineStr">
      <is>
        <t>Zone 3</t>
      </is>
    </nc>
    <odxf/>
    <ndxf/>
  </rcc>
  <rcc rId="1347" sId="1" odxf="1" dxf="1">
    <nc r="B400" t="inlineStr">
      <is>
        <t>Flex Packaging</t>
      </is>
    </nc>
    <odxf/>
    <ndxf/>
  </rcc>
  <rcc rId="1348" sId="1" odxf="1" dxf="1">
    <nc r="C400">
      <v>6</v>
    </nc>
    <odxf/>
    <ndxf/>
  </rcc>
  <rfmt sheetId="1" sqref="D400" start="0" length="0">
    <dxf/>
  </rfmt>
  <rcc rId="1349" sId="1" odxf="1" dxf="1">
    <nc r="E400" t="inlineStr">
      <is>
        <t>W1022160/1</t>
      </is>
    </nc>
    <odxf/>
    <ndxf/>
  </rcc>
  <rcc rId="1350" sId="1" odxf="1" dxf="1">
    <nc r="F400" t="inlineStr">
      <is>
        <t>FLX1/10056WM</t>
      </is>
    </nc>
    <odxf/>
    <ndxf/>
  </rcc>
  <rcc rId="1351" sId="1" odxf="1" dxf="1">
    <nc r="G400" t="inlineStr">
      <is>
        <t>FLEX 12 CT Vertical Walmart (12/18)</t>
      </is>
    </nc>
    <odxf/>
    <ndxf/>
  </rcc>
  <rcc rId="1352" sId="1" odxf="1" dxf="1">
    <nc r="H400">
      <v>380.16</v>
    </nc>
    <odxf/>
    <ndxf/>
  </rcc>
  <rcc rId="1353" sId="1" odxf="1" dxf="1">
    <nc r="I400">
      <v>63.36</v>
    </nc>
    <odxf/>
    <ndxf/>
  </rcc>
  <rcc rId="1354" sId="1" odxf="1" dxf="1">
    <nc r="J400">
      <v>1584</v>
    </nc>
    <odxf/>
    <ndxf/>
  </rcc>
  <rcc rId="1355" sId="1" odxf="1" dxf="1">
    <nc r="K400">
      <v>0</v>
    </nc>
    <odxf/>
    <ndxf/>
  </rcc>
  <rcc rId="1356" sId="1" odxf="1" dxf="1" numFmtId="19">
    <nc r="L400">
      <v>46241.083333333336</v>
    </nc>
    <odxf/>
    <ndxf/>
  </rcc>
  <rcc rId="1357" sId="1" odxf="1" dxf="1" numFmtId="19">
    <nc r="M400">
      <v>46246.513888888891</v>
    </nc>
    <odxf/>
    <ndxf/>
  </rcc>
  <rfmt sheetId="1" sqref="N400" start="0" length="0">
    <dxf/>
  </rfmt>
  <rfmt sheetId="1" sqref="O400" start="0" length="0">
    <dxf/>
  </rfmt>
  <rfmt sheetId="1" sqref="P400" start="0" length="0">
    <dxf/>
  </rfmt>
  <rfmt sheetId="1" sqref="Q400" start="0" length="0">
    <dxf/>
  </rfmt>
  <rfmt sheetId="1" sqref="R400" start="0" length="0">
    <dxf/>
  </rfmt>
  <rfmt sheetId="1" sqref="S400" start="0" length="0">
    <dxf/>
  </rfmt>
  <rfmt sheetId="1" sqref="T400" start="0" length="0">
    <dxf/>
  </rfmt>
  <rfmt sheetId="1" sqref="U400" start="0" length="0">
    <dxf/>
  </rfmt>
  <rfmt sheetId="1" sqref="V400" start="0" length="0">
    <dxf/>
  </rfmt>
  <rfmt sheetId="1" sqref="W400" start="0" length="0">
    <dxf/>
  </rfmt>
  <rfmt sheetId="1" sqref="X400" start="0" length="0">
    <dxf/>
  </rfmt>
  <rfmt sheetId="1" sqref="Y400" start="0" length="0">
    <dxf/>
  </rfmt>
  <rfmt sheetId="1" sqref="Z400" start="0" length="0">
    <dxf/>
  </rfmt>
  <rcc rId="1358" sId="1" odxf="1" dxf="1">
    <nc r="AA400" t="inlineStr">
      <is>
        <t>1</t>
      </is>
    </nc>
    <odxf/>
    <ndxf/>
  </rcc>
  <rcc rId="1359" sId="1" odxf="1" dxf="1">
    <nc r="AB400" t="inlineStr">
      <is>
        <t>0</t>
      </is>
    </nc>
    <odxf/>
    <ndxf/>
  </rcc>
  <rfmt sheetId="1" sqref="A400:XFD400" start="0" length="0">
    <dxf/>
  </rfmt>
  <rcc rId="1360" sId="1" odxf="1" dxf="1">
    <nc r="A401" t="inlineStr">
      <is>
        <t>Zone 3</t>
      </is>
    </nc>
    <odxf/>
    <ndxf/>
  </rcc>
  <rcc rId="1361" sId="1" odxf="1" dxf="1">
    <nc r="B401" t="inlineStr">
      <is>
        <t>Flex Packaging</t>
      </is>
    </nc>
    <odxf/>
    <ndxf/>
  </rcc>
  <rcc rId="1362" sId="1" odxf="1" dxf="1">
    <nc r="C401">
      <v>6</v>
    </nc>
    <odxf/>
    <ndxf/>
  </rcc>
  <rfmt sheetId="1" sqref="D401" start="0" length="0">
    <dxf/>
  </rfmt>
  <rcc rId="1363" sId="1" odxf="1" dxf="1">
    <nc r="E401" t="inlineStr">
      <is>
        <t>W1022153/1</t>
      </is>
    </nc>
    <odxf/>
    <ndxf/>
  </rcc>
  <rcc rId="1364" sId="1" odxf="1" dxf="1">
    <nc r="F401" t="inlineStr">
      <is>
        <t>INS1/00160</t>
      </is>
    </nc>
    <odxf/>
    <ndxf/>
  </rcc>
  <rcc rId="1365" sId="1" odxf="1" dxf="1">
    <nc r="G401" t="inlineStr">
      <is>
        <t>Softdisc 14 Count (18/14)</t>
      </is>
    </nc>
    <odxf/>
    <ndxf/>
  </rcc>
  <rcc rId="1366" sId="1" odxf="1" dxf="1">
    <nc r="H401">
      <v>357.12</v>
    </nc>
    <odxf/>
    <ndxf/>
  </rcc>
  <rcc rId="1367" sId="1" odxf="1" dxf="1">
    <nc r="I401">
      <v>59.52</v>
    </nc>
    <odxf/>
    <ndxf/>
  </rcc>
  <rcc rId="1368" sId="1" odxf="1" dxf="1">
    <nc r="J401">
      <v>1488</v>
    </nc>
    <odxf/>
    <ndxf/>
  </rcc>
  <rcc rId="1369" sId="1" odxf="1" dxf="1">
    <nc r="K401">
      <v>0</v>
    </nc>
    <odxf/>
    <ndxf/>
  </rcc>
  <rcc rId="1370" sId="1" odxf="1" dxf="1" numFmtId="19">
    <nc r="L401">
      <v>46246.520833333336</v>
    </nc>
    <odxf/>
    <ndxf/>
  </rcc>
  <rcc rId="1371" sId="1" odxf="1" dxf="1" numFmtId="19">
    <nc r="M401">
      <v>46252.125</v>
    </nc>
    <odxf/>
    <ndxf/>
  </rcc>
  <rfmt sheetId="1" sqref="N401" start="0" length="0">
    <dxf/>
  </rfmt>
  <rfmt sheetId="1" sqref="O401" start="0" length="0">
    <dxf/>
  </rfmt>
  <rfmt sheetId="1" sqref="P401" start="0" length="0">
    <dxf/>
  </rfmt>
  <rfmt sheetId="1" sqref="Q401" start="0" length="0">
    <dxf/>
  </rfmt>
  <rfmt sheetId="1" sqref="R401" start="0" length="0">
    <dxf/>
  </rfmt>
  <rfmt sheetId="1" sqref="S401" start="0" length="0">
    <dxf/>
  </rfmt>
  <rfmt sheetId="1" sqref="T401" start="0" length="0">
    <dxf/>
  </rfmt>
  <rfmt sheetId="1" sqref="U401" start="0" length="0">
    <dxf/>
  </rfmt>
  <rfmt sheetId="1" sqref="V401" start="0" length="0">
    <dxf/>
  </rfmt>
  <rfmt sheetId="1" sqref="W401" start="0" length="0">
    <dxf/>
  </rfmt>
  <rfmt sheetId="1" sqref="X401" start="0" length="0">
    <dxf/>
  </rfmt>
  <rfmt sheetId="1" sqref="Y401" start="0" length="0">
    <dxf/>
  </rfmt>
  <rfmt sheetId="1" sqref="Z401" start="0" length="0">
    <dxf/>
  </rfmt>
  <rcc rId="1372" sId="1" odxf="1" dxf="1">
    <nc r="AA401" t="inlineStr">
      <is>
        <t>1</t>
      </is>
    </nc>
    <odxf/>
    <ndxf/>
  </rcc>
  <rcc rId="1373" sId="1" odxf="1" dxf="1">
    <nc r="AB401" t="inlineStr">
      <is>
        <t>0</t>
      </is>
    </nc>
    <odxf/>
    <ndxf/>
  </rcc>
  <rfmt sheetId="1" sqref="A401:XFD401" start="0" length="0">
    <dxf/>
  </rfmt>
  <rcc rId="1374" sId="1" odxf="1" dxf="1">
    <nc r="A402" t="inlineStr">
      <is>
        <t>Zone 3</t>
      </is>
    </nc>
    <odxf/>
    <ndxf/>
  </rcc>
  <rcc rId="1375" sId="1" odxf="1" dxf="1">
    <nc r="B402" t="inlineStr">
      <is>
        <t>Flex Packaging</t>
      </is>
    </nc>
    <odxf/>
    <ndxf/>
  </rcc>
  <rcc rId="1376" sId="1" odxf="1" dxf="1">
    <nc r="C402">
      <v>6</v>
    </nc>
    <odxf/>
    <ndxf/>
  </rcc>
  <rfmt sheetId="1" sqref="D402" start="0" length="0">
    <dxf/>
  </rfmt>
  <rcc rId="1377" sId="1" odxf="1" dxf="1">
    <nc r="E402" t="inlineStr">
      <is>
        <t>W1022195/1</t>
      </is>
    </nc>
    <odxf/>
    <ndxf/>
  </rcc>
  <rcc rId="1378" sId="1" odxf="1" dxf="1">
    <nc r="F402" t="inlineStr">
      <is>
        <t>FLX1/10122</t>
      </is>
    </nc>
    <odxf/>
    <ndxf/>
  </rcc>
  <rcc rId="1379" sId="1" odxf="1" dxf="1">
    <nc r="G402" t="inlineStr">
      <is>
        <t>Flex Reusable Disc</t>
      </is>
    </nc>
    <odxf/>
    <ndxf/>
  </rcc>
  <rcc rId="1380" sId="1" odxf="1" dxf="1">
    <nc r="H402">
      <v>115.2</v>
    </nc>
    <odxf/>
    <ndxf/>
  </rcc>
  <rcc rId="1381" sId="1" odxf="1" dxf="1">
    <nc r="I402">
      <v>19.2</v>
    </nc>
    <odxf/>
    <ndxf/>
  </rcc>
  <rcc rId="1382" sId="1" odxf="1" dxf="1">
    <nc r="J402">
      <v>480</v>
    </nc>
    <odxf/>
    <ndxf/>
  </rcc>
  <rcc rId="1383" sId="1" odxf="1" dxf="1">
    <nc r="K402">
      <v>0</v>
    </nc>
    <odxf/>
    <ndxf/>
  </rcc>
  <rcc rId="1384" sId="1" odxf="1" dxf="1" numFmtId="19">
    <nc r="L402">
      <v>46252.131944444445</v>
    </nc>
    <odxf/>
    <ndxf/>
  </rcc>
  <rcc rId="1385" sId="1" odxf="1" dxf="1" numFmtId="19">
    <nc r="M402">
      <v>46253.388888888891</v>
    </nc>
    <odxf/>
    <ndxf/>
  </rcc>
  <rfmt sheetId="1" sqref="N402" start="0" length="0">
    <dxf/>
  </rfmt>
  <rfmt sheetId="1" sqref="O402" start="0" length="0">
    <dxf/>
  </rfmt>
  <rfmt sheetId="1" sqref="P402" start="0" length="0">
    <dxf/>
  </rfmt>
  <rfmt sheetId="1" sqref="Q402" start="0" length="0">
    <dxf/>
  </rfmt>
  <rfmt sheetId="1" sqref="R402" start="0" length="0">
    <dxf/>
  </rfmt>
  <rfmt sheetId="1" sqref="S402" start="0" length="0">
    <dxf/>
  </rfmt>
  <rfmt sheetId="1" sqref="T402" start="0" length="0">
    <dxf/>
  </rfmt>
  <rfmt sheetId="1" sqref="U402" start="0" length="0">
    <dxf/>
  </rfmt>
  <rfmt sheetId="1" sqref="V402" start="0" length="0">
    <dxf/>
  </rfmt>
  <rfmt sheetId="1" sqref="W402" start="0" length="0">
    <dxf/>
  </rfmt>
  <rfmt sheetId="1" sqref="X402" start="0" length="0">
    <dxf/>
  </rfmt>
  <rfmt sheetId="1" sqref="Y402" start="0" length="0">
    <dxf/>
  </rfmt>
  <rfmt sheetId="1" sqref="Z402" start="0" length="0">
    <dxf/>
  </rfmt>
  <rcc rId="1386" sId="1" odxf="1" dxf="1">
    <nc r="AA402" t="inlineStr">
      <is>
        <t>1</t>
      </is>
    </nc>
    <odxf/>
    <ndxf/>
  </rcc>
  <rcc rId="1387" sId="1" odxf="1" dxf="1">
    <nc r="AB402" t="inlineStr">
      <is>
        <t>0</t>
      </is>
    </nc>
    <odxf/>
    <ndxf/>
  </rcc>
  <rfmt sheetId="1" sqref="A402:XFD402" start="0" length="0">
    <dxf/>
  </rfmt>
  <rcc rId="1388" sId="1" odxf="1" dxf="1">
    <nc r="A403" t="inlineStr">
      <is>
        <t>Zone 3</t>
      </is>
    </nc>
    <odxf/>
    <ndxf/>
  </rcc>
  <rcc rId="1389" sId="1" odxf="1" dxf="1">
    <nc r="B403" t="inlineStr">
      <is>
        <t>Flex Packaging</t>
      </is>
    </nc>
    <odxf/>
    <ndxf/>
  </rcc>
  <rcc rId="1390" sId="1" odxf="1" dxf="1">
    <nc r="C403">
      <v>6</v>
    </nc>
    <odxf/>
    <ndxf/>
  </rcc>
  <rfmt sheetId="1" sqref="D403" start="0" length="0">
    <dxf/>
  </rfmt>
  <rcc rId="1391" sId="1" odxf="1" dxf="1">
    <nc r="E403" t="inlineStr">
      <is>
        <t>W1022198/1</t>
      </is>
    </nc>
    <odxf/>
    <ndxf/>
  </rcc>
  <rcc rId="1392" sId="1" odxf="1" dxf="1">
    <nc r="F403" t="inlineStr">
      <is>
        <t>FLX1/10122WM</t>
      </is>
    </nc>
    <odxf/>
    <ndxf/>
  </rcc>
  <rcc rId="1393" sId="1" odxf="1" dxf="1">
    <nc r="G403" t="inlineStr">
      <is>
        <t>Flex Reusable Disc Walmart (1/18)</t>
      </is>
    </nc>
    <odxf/>
    <ndxf/>
  </rcc>
  <rcc rId="1394" sId="1" odxf="1" dxf="1">
    <nc r="H403">
      <v>115.2</v>
    </nc>
    <odxf/>
    <ndxf/>
  </rcc>
  <rcc rId="1395" sId="1" odxf="1" dxf="1">
    <nc r="I403">
      <v>19.2</v>
    </nc>
    <odxf/>
    <ndxf/>
  </rcc>
  <rcc rId="1396" sId="1" odxf="1" dxf="1">
    <nc r="J403">
      <v>480</v>
    </nc>
    <odxf/>
    <ndxf/>
  </rcc>
  <rcc rId="1397" sId="1" odxf="1" dxf="1">
    <nc r="K403">
      <v>0</v>
    </nc>
    <odxf/>
    <ndxf/>
  </rcc>
  <rcc rId="1398" sId="1" odxf="1" dxf="1" numFmtId="19">
    <nc r="L403">
      <v>46253.395833333336</v>
    </nc>
    <odxf/>
    <ndxf/>
  </rcc>
  <rcc rId="1399" sId="1" odxf="1" dxf="1" numFmtId="19">
    <nc r="M403">
      <v>46254.986111111109</v>
    </nc>
    <odxf/>
    <ndxf/>
  </rcc>
  <rfmt sheetId="1" sqref="N403" start="0" length="0">
    <dxf/>
  </rfmt>
  <rfmt sheetId="1" sqref="O403" start="0" length="0">
    <dxf/>
  </rfmt>
  <rfmt sheetId="1" sqref="P403" start="0" length="0">
    <dxf/>
  </rfmt>
  <rfmt sheetId="1" sqref="Q403" start="0" length="0">
    <dxf/>
  </rfmt>
  <rfmt sheetId="1" sqref="R403" start="0" length="0">
    <dxf/>
  </rfmt>
  <rfmt sheetId="1" sqref="S403" start="0" length="0">
    <dxf/>
  </rfmt>
  <rfmt sheetId="1" sqref="T403" start="0" length="0">
    <dxf/>
  </rfmt>
  <rfmt sheetId="1" sqref="U403" start="0" length="0">
    <dxf/>
  </rfmt>
  <rfmt sheetId="1" sqref="V403" start="0" length="0">
    <dxf/>
  </rfmt>
  <rfmt sheetId="1" sqref="W403" start="0" length="0">
    <dxf/>
  </rfmt>
  <rfmt sheetId="1" sqref="X403" start="0" length="0">
    <dxf/>
  </rfmt>
  <rfmt sheetId="1" sqref="Y403" start="0" length="0">
    <dxf/>
  </rfmt>
  <rfmt sheetId="1" sqref="Z403" start="0" length="0">
    <dxf/>
  </rfmt>
  <rcc rId="1400" sId="1" odxf="1" dxf="1">
    <nc r="AA403" t="inlineStr">
      <is>
        <t>1</t>
      </is>
    </nc>
    <odxf/>
    <ndxf/>
  </rcc>
  <rcc rId="1401" sId="1" odxf="1" dxf="1">
    <nc r="AB403" t="inlineStr">
      <is>
        <t>0</t>
      </is>
    </nc>
    <odxf/>
    <ndxf/>
  </rcc>
  <rfmt sheetId="1" sqref="A403:XFD403" start="0" length="0">
    <dxf/>
  </rfmt>
  <rcc rId="1402" sId="1" odxf="1" dxf="1">
    <nc r="A404" t="inlineStr">
      <is>
        <t>Zone 3</t>
      </is>
    </nc>
    <odxf/>
    <ndxf/>
  </rcc>
  <rcc rId="1403" sId="1" odxf="1" dxf="1">
    <nc r="B404" t="inlineStr">
      <is>
        <t>Flex Packaging</t>
      </is>
    </nc>
    <odxf/>
    <ndxf/>
  </rcc>
  <rcc rId="1404" sId="1" odxf="1" dxf="1">
    <nc r="C404">
      <v>6</v>
    </nc>
    <odxf/>
    <ndxf/>
  </rcc>
  <rfmt sheetId="1" sqref="D404" start="0" length="0">
    <dxf/>
  </rfmt>
  <rcc rId="1405" sId="1" odxf="1" dxf="1">
    <nc r="E404" t="inlineStr">
      <is>
        <t>W1020817/1</t>
      </is>
    </nc>
    <odxf/>
    <ndxf/>
  </rcc>
  <rcc rId="1406" sId="1" odxf="1" dxf="1">
    <nc r="F404" t="inlineStr">
      <is>
        <t>FLX1/10099</t>
      </is>
    </nc>
    <odxf/>
    <ndxf/>
  </rcc>
  <rcc rId="1407" sId="1" odxf="1" dxf="1">
    <nc r="G404" t="inlineStr">
      <is>
        <t>Flex Disc 12 Count Canadian</t>
      </is>
    </nc>
    <odxf/>
    <ndxf/>
  </rcc>
  <rcc rId="1408" sId="1" odxf="1" dxf="1">
    <nc r="H404">
      <v>23.04</v>
    </nc>
    <odxf/>
    <ndxf/>
  </rcc>
  <rcc rId="1409" sId="1" odxf="1" dxf="1">
    <nc r="I404">
      <v>3.84</v>
    </nc>
    <odxf/>
    <ndxf/>
  </rcc>
  <rcc rId="1410" sId="1" odxf="1" dxf="1">
    <nc r="J404">
      <v>96</v>
    </nc>
    <odxf/>
    <ndxf/>
  </rcc>
  <rcc rId="1411" sId="1" odxf="1" dxf="1">
    <nc r="K404">
      <v>0</v>
    </nc>
    <odxf/>
    <ndxf/>
  </rcc>
  <rcc rId="1412" sId="1" odxf="1" dxf="1" numFmtId="19">
    <nc r="L404">
      <v>46254.993055555555</v>
    </nc>
    <odxf/>
    <ndxf/>
  </rcc>
  <rcc rId="1413" sId="1" odxf="1" dxf="1" numFmtId="19">
    <nc r="M404">
      <v>46255.270833333336</v>
    </nc>
    <odxf/>
    <ndxf/>
  </rcc>
  <rfmt sheetId="1" sqref="N404" start="0" length="0">
    <dxf/>
  </rfmt>
  <rfmt sheetId="1" sqref="O404" start="0" length="0">
    <dxf/>
  </rfmt>
  <rfmt sheetId="1" sqref="P404" start="0" length="0">
    <dxf/>
  </rfmt>
  <rfmt sheetId="1" sqref="Q404" start="0" length="0">
    <dxf/>
  </rfmt>
  <rfmt sheetId="1" sqref="R404" start="0" length="0">
    <dxf/>
  </rfmt>
  <rfmt sheetId="1" sqref="S404" start="0" length="0">
    <dxf/>
  </rfmt>
  <rfmt sheetId="1" sqref="T404" start="0" length="0">
    <dxf/>
  </rfmt>
  <rfmt sheetId="1" sqref="U404" start="0" length="0">
    <dxf/>
  </rfmt>
  <rfmt sheetId="1" sqref="V404" start="0" length="0">
    <dxf/>
  </rfmt>
  <rfmt sheetId="1" sqref="W404" start="0" length="0">
    <dxf/>
  </rfmt>
  <rfmt sheetId="1" sqref="X404" start="0" length="0">
    <dxf/>
  </rfmt>
  <rfmt sheetId="1" sqref="Y404" start="0" length="0">
    <dxf/>
  </rfmt>
  <rfmt sheetId="1" sqref="Z404" start="0" length="0">
    <dxf/>
  </rfmt>
  <rcc rId="1414" sId="1" odxf="1" dxf="1">
    <nc r="AA404" t="inlineStr">
      <is>
        <t>1</t>
      </is>
    </nc>
    <odxf/>
    <ndxf/>
  </rcc>
  <rcc rId="1415" sId="1" odxf="1" dxf="1">
    <nc r="AB404" t="inlineStr">
      <is>
        <t>0</t>
      </is>
    </nc>
    <odxf/>
    <ndxf/>
  </rcc>
  <rfmt sheetId="1" sqref="A404:XFD404" start="0" length="0">
    <dxf/>
  </rfmt>
  <rcc rId="1416" sId="1" odxf="1" dxf="1">
    <nc r="A405" t="inlineStr">
      <is>
        <t>Zone 3</t>
      </is>
    </nc>
    <odxf/>
    <ndxf/>
  </rcc>
  <rcc rId="1417" sId="1" odxf="1" dxf="1">
    <nc r="B405" t="inlineStr">
      <is>
        <t>Flex Packaging</t>
      </is>
    </nc>
    <odxf/>
    <ndxf/>
  </rcc>
  <rcc rId="1418" sId="1" odxf="1" dxf="1">
    <nc r="C405">
      <v>6</v>
    </nc>
    <odxf/>
    <ndxf/>
  </rcc>
  <rfmt sheetId="1" sqref="D405" start="0" length="0">
    <dxf/>
  </rfmt>
  <rcc rId="1419" sId="1" odxf="1" dxf="1">
    <nc r="E405" t="inlineStr">
      <is>
        <t>W1025674/1</t>
      </is>
    </nc>
    <odxf/>
    <ndxf/>
  </rcc>
  <rcc rId="1420" sId="1" odxf="1" dxf="1">
    <nc r="F405" t="inlineStr">
      <is>
        <t>FLX1/10056A</t>
      </is>
    </nc>
    <odxf/>
    <ndxf/>
  </rcc>
  <rcc rId="1421" sId="1" odxf="1" dxf="1">
    <nc r="G405" t="inlineStr">
      <is>
        <t>FLEX 12 CT Vertical (Old Packaging)</t>
      </is>
    </nc>
    <odxf/>
    <ndxf/>
  </rcc>
  <rcc rId="1422" sId="1" odxf="1" dxf="1">
    <nc r="H405">
      <v>92.16</v>
    </nc>
    <odxf/>
    <ndxf/>
  </rcc>
  <rcc rId="1423" sId="1" odxf="1" dxf="1">
    <nc r="I405">
      <v>15.36</v>
    </nc>
    <odxf/>
    <ndxf/>
  </rcc>
  <rcc rId="1424" sId="1" odxf="1" dxf="1">
    <nc r="J405">
      <v>384</v>
    </nc>
    <odxf/>
    <ndxf/>
  </rcc>
  <rcc rId="1425" sId="1" odxf="1" dxf="1">
    <nc r="K405">
      <v>0</v>
    </nc>
    <odxf/>
    <ndxf/>
  </rcc>
  <rcc rId="1426" sId="1" odxf="1" dxf="1" numFmtId="19">
    <nc r="L405">
      <v>46255.277777777781</v>
    </nc>
    <odxf/>
    <ndxf/>
  </rcc>
  <rcc rId="1427" sId="1" odxf="1" dxf="1" numFmtId="19">
    <nc r="M405">
      <v>46258.041666666664</v>
    </nc>
    <odxf/>
    <ndxf/>
  </rcc>
  <rfmt sheetId="1" sqref="N405" start="0" length="0">
    <dxf/>
  </rfmt>
  <rfmt sheetId="1" sqref="O405" start="0" length="0">
    <dxf/>
  </rfmt>
  <rfmt sheetId="1" sqref="P405" start="0" length="0">
    <dxf/>
  </rfmt>
  <rfmt sheetId="1" sqref="Q405" start="0" length="0">
    <dxf/>
  </rfmt>
  <rfmt sheetId="1" sqref="R405" start="0" length="0">
    <dxf/>
  </rfmt>
  <rfmt sheetId="1" sqref="S405" start="0" length="0">
    <dxf/>
  </rfmt>
  <rfmt sheetId="1" sqref="T405" start="0" length="0">
    <dxf/>
  </rfmt>
  <rfmt sheetId="1" sqref="U405" start="0" length="0">
    <dxf/>
  </rfmt>
  <rfmt sheetId="1" sqref="V405" start="0" length="0">
    <dxf/>
  </rfmt>
  <rfmt sheetId="1" sqref="W405" start="0" length="0">
    <dxf/>
  </rfmt>
  <rfmt sheetId="1" sqref="X405" start="0" length="0">
    <dxf/>
  </rfmt>
  <rfmt sheetId="1" sqref="Y405" start="0" length="0">
    <dxf/>
  </rfmt>
  <rfmt sheetId="1" sqref="Z405" start="0" length="0">
    <dxf/>
  </rfmt>
  <rcc rId="1428" sId="1" odxf="1" dxf="1">
    <nc r="AA405" t="inlineStr">
      <is>
        <t>1</t>
      </is>
    </nc>
    <odxf/>
    <ndxf/>
  </rcc>
  <rcc rId="1429" sId="1" odxf="1" dxf="1">
    <nc r="AB405" t="inlineStr">
      <is>
        <t>0</t>
      </is>
    </nc>
    <odxf/>
    <ndxf/>
  </rcc>
  <rfmt sheetId="1" sqref="A405:XFD405" start="0" length="0">
    <dxf/>
  </rfmt>
  <rcc rId="1430" sId="1" odxf="1" dxf="1">
    <nc r="A406" t="inlineStr">
      <is>
        <t>Zone 3</t>
      </is>
    </nc>
    <odxf/>
    <ndxf/>
  </rcc>
  <rcc rId="1431" sId="1" odxf="1" dxf="1">
    <nc r="B406" t="inlineStr">
      <is>
        <t>Flex Packaging</t>
      </is>
    </nc>
    <odxf/>
    <ndxf/>
  </rcc>
  <rcc rId="1432" sId="1" odxf="1" dxf="1">
    <nc r="C406">
      <v>6</v>
    </nc>
    <odxf/>
    <ndxf/>
  </rcc>
  <rfmt sheetId="1" sqref="D406" start="0" length="0">
    <dxf/>
  </rfmt>
  <rcc rId="1433" sId="1" odxf="1" dxf="1">
    <nc r="E406" t="inlineStr">
      <is>
        <t>W1022199/1</t>
      </is>
    </nc>
    <odxf/>
    <ndxf/>
  </rcc>
  <rcc rId="1434" sId="1" odxf="1" dxf="1">
    <nc r="F406" t="inlineStr">
      <is>
        <t>FLX1/10122WM</t>
      </is>
    </nc>
    <odxf/>
    <ndxf/>
  </rcc>
  <rcc rId="1435" sId="1" odxf="1" dxf="1">
    <nc r="G406" t="inlineStr">
      <is>
        <t>Flex Reusable Disc Walmart (1/18)</t>
      </is>
    </nc>
    <odxf/>
    <ndxf/>
  </rcc>
  <rcc rId="1436" sId="1" odxf="1" dxf="1">
    <nc r="H406">
      <v>161.28</v>
    </nc>
    <odxf/>
    <ndxf/>
  </rcc>
  <rcc rId="1437" sId="1" odxf="1" dxf="1">
    <nc r="I406">
      <v>26.88</v>
    </nc>
    <odxf/>
    <ndxf/>
  </rcc>
  <rcc rId="1438" sId="1" odxf="1" dxf="1">
    <nc r="J406">
      <v>672</v>
    </nc>
    <odxf/>
    <ndxf/>
  </rcc>
  <rcc rId="1439" sId="1" odxf="1" dxf="1">
    <nc r="K406">
      <v>0</v>
    </nc>
    <odxf/>
    <ndxf/>
  </rcc>
  <rcc rId="1440" sId="1" odxf="1" dxf="1" numFmtId="19">
    <nc r="L406">
      <v>46266</v>
    </nc>
    <odxf/>
    <ndxf/>
  </rcc>
  <rcc rId="1441" sId="1" odxf="1" dxf="1" numFmtId="19">
    <nc r="M406">
      <v>46267.576388888891</v>
    </nc>
    <odxf/>
    <ndxf/>
  </rcc>
  <rfmt sheetId="1" sqref="N406" start="0" length="0">
    <dxf/>
  </rfmt>
  <rfmt sheetId="1" sqref="O406" start="0" length="0">
    <dxf/>
  </rfmt>
  <rfmt sheetId="1" sqref="P406" start="0" length="0">
    <dxf/>
  </rfmt>
  <rfmt sheetId="1" sqref="Q406" start="0" length="0">
    <dxf/>
  </rfmt>
  <rfmt sheetId="1" sqref="R406" start="0" length="0">
    <dxf/>
  </rfmt>
  <rfmt sheetId="1" sqref="S406" start="0" length="0">
    <dxf/>
  </rfmt>
  <rfmt sheetId="1" sqref="T406" start="0" length="0">
    <dxf/>
  </rfmt>
  <rfmt sheetId="1" sqref="U406" start="0" length="0">
    <dxf/>
  </rfmt>
  <rfmt sheetId="1" sqref="V406" start="0" length="0">
    <dxf/>
  </rfmt>
  <rfmt sheetId="1" sqref="W406" start="0" length="0">
    <dxf/>
  </rfmt>
  <rfmt sheetId="1" sqref="X406" start="0" length="0">
    <dxf/>
  </rfmt>
  <rfmt sheetId="1" sqref="Y406" start="0" length="0">
    <dxf/>
  </rfmt>
  <rfmt sheetId="1" sqref="Z406" start="0" length="0">
    <dxf/>
  </rfmt>
  <rcc rId="1442" sId="1" odxf="1" dxf="1">
    <nc r="AA406" t="inlineStr">
      <is>
        <t>1</t>
      </is>
    </nc>
    <odxf/>
    <ndxf/>
  </rcc>
  <rcc rId="1443" sId="1" odxf="1" dxf="1">
    <nc r="AB406" t="inlineStr">
      <is>
        <t>0</t>
      </is>
    </nc>
    <odxf/>
    <ndxf/>
  </rcc>
  <rfmt sheetId="1" sqref="A406:XFD406" start="0" length="0">
    <dxf/>
  </rfmt>
  <rcc rId="1444" sId="1" odxf="1" dxf="1">
    <nc r="A407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45" sId="1" odxf="1" dxf="1">
    <nc r="B407" t="inlineStr">
      <is>
        <t>Flex Packaging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46" sId="1" odxf="1" dxf="1">
    <nc r="C407">
      <v>6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D407" start="0" length="0">
    <dxf>
      <border outline="0">
        <bottom style="medium">
          <color indexed="64"/>
        </bottom>
      </border>
    </dxf>
  </rfmt>
  <rcc rId="1447" sId="1" odxf="1" dxf="1">
    <nc r="E407" t="inlineStr">
      <is>
        <t>W1022154/1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48" sId="1" odxf="1" dxf="1">
    <nc r="F407" t="inlineStr">
      <is>
        <t>INS1/00160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49" sId="1" odxf="1" dxf="1">
    <nc r="G407" t="inlineStr">
      <is>
        <t>Softdisc 14 Count (18/14)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50" sId="1" odxf="1" dxf="1">
    <nc r="H407">
      <v>368.64</v>
    </nc>
    <odxf>
      <border outline="0">
        <bottom/>
      </border>
    </odxf>
    <ndxf>
      <border outline="0">
        <bottom style="medium">
          <color indexed="64"/>
        </bottom>
      </border>
    </ndxf>
  </rcc>
  <rcc rId="1451" sId="1" odxf="1" dxf="1">
    <nc r="I407">
      <v>61.44</v>
    </nc>
    <odxf>
      <border outline="0">
        <bottom/>
      </border>
    </odxf>
    <ndxf>
      <border outline="0">
        <bottom style="medium">
          <color indexed="64"/>
        </bottom>
      </border>
    </ndxf>
  </rcc>
  <rcc rId="1452" sId="1" odxf="1" dxf="1">
    <nc r="J407">
      <v>1536</v>
    </nc>
    <odxf>
      <border outline="0">
        <bottom/>
      </border>
    </odxf>
    <ndxf>
      <border outline="0">
        <bottom style="medium">
          <color indexed="64"/>
        </bottom>
      </border>
    </ndxf>
  </rcc>
  <rcc rId="1453" sId="1" odxf="1" dxf="1">
    <nc r="K407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1454" sId="1" odxf="1" dxf="1" numFmtId="19">
    <nc r="L407">
      <v>46267.583333333336</v>
    </nc>
    <odxf>
      <border outline="0">
        <bottom/>
      </border>
    </odxf>
    <ndxf>
      <border outline="0">
        <bottom style="medium">
          <color indexed="64"/>
        </bottom>
      </border>
    </ndxf>
  </rcc>
  <rcc rId="1455" sId="1" odxf="1" dxf="1" numFmtId="19">
    <nc r="M407">
      <v>46274.263888888891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407" start="0" length="0">
    <dxf>
      <border outline="0">
        <bottom style="medium">
          <color indexed="64"/>
        </bottom>
      </border>
    </dxf>
  </rfmt>
  <rfmt sheetId="1" sqref="O407" start="0" length="0">
    <dxf>
      <border outline="0">
        <bottom style="medium">
          <color indexed="64"/>
        </bottom>
      </border>
    </dxf>
  </rfmt>
  <rfmt sheetId="1" sqref="P407" start="0" length="0">
    <dxf>
      <border outline="0">
        <bottom style="medium">
          <color indexed="64"/>
        </bottom>
      </border>
    </dxf>
  </rfmt>
  <rfmt sheetId="1" sqref="Q407" start="0" length="0">
    <dxf>
      <border outline="0">
        <bottom style="medium">
          <color indexed="64"/>
        </bottom>
      </border>
    </dxf>
  </rfmt>
  <rfmt sheetId="1" sqref="R407" start="0" length="0">
    <dxf>
      <border outline="0">
        <bottom style="medium">
          <color indexed="64"/>
        </bottom>
      </border>
    </dxf>
  </rfmt>
  <rfmt sheetId="1" sqref="S407" start="0" length="0">
    <dxf>
      <border outline="0">
        <bottom style="medium">
          <color indexed="64"/>
        </bottom>
      </border>
    </dxf>
  </rfmt>
  <rfmt sheetId="1" sqref="T407" start="0" length="0">
    <dxf>
      <border outline="0">
        <bottom style="medium">
          <color indexed="64"/>
        </bottom>
      </border>
    </dxf>
  </rfmt>
  <rfmt sheetId="1" sqref="U407" start="0" length="0">
    <dxf>
      <border outline="0">
        <bottom style="medium">
          <color indexed="64"/>
        </bottom>
      </border>
    </dxf>
  </rfmt>
  <rfmt sheetId="1" sqref="V407" start="0" length="0">
    <dxf>
      <border outline="0">
        <bottom style="medium">
          <color indexed="64"/>
        </bottom>
      </border>
    </dxf>
  </rfmt>
  <rfmt sheetId="1" sqref="W407" start="0" length="0">
    <dxf>
      <border outline="0">
        <bottom style="medium">
          <color indexed="64"/>
        </bottom>
      </border>
    </dxf>
  </rfmt>
  <rfmt sheetId="1" sqref="X407" start="0" length="0">
    <dxf>
      <border outline="0">
        <bottom style="medium">
          <color indexed="64"/>
        </bottom>
      </border>
    </dxf>
  </rfmt>
  <rfmt sheetId="1" sqref="Y407" start="0" length="0">
    <dxf>
      <border outline="0">
        <bottom style="medium">
          <color indexed="64"/>
        </bottom>
      </border>
    </dxf>
  </rfmt>
  <rfmt sheetId="1" sqref="Z407" start="0" length="0">
    <dxf>
      <border outline="0">
        <bottom style="medium">
          <color indexed="64"/>
        </bottom>
      </border>
    </dxf>
  </rfmt>
  <rcc rId="1456" sId="1" odxf="1" dxf="1">
    <nc r="AA407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57" sId="1" odxf="1" dxf="1">
    <nc r="AB407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407:XFD407" start="0" length="0">
    <dxf>
      <border outline="0">
        <bottom style="medium">
          <color indexed="64"/>
        </bottom>
      </border>
    </dxf>
  </rfmt>
  <rcc rId="1458" sId="1" odxf="1" dxf="1">
    <nc r="A408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59" sId="1" odxf="1" dxf="1">
    <nc r="B408" t="inlineStr">
      <is>
        <t>Flex Line 3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60" sId="1" odxf="1" dxf="1">
    <nc r="C408">
      <v>3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D408" start="0" length="0">
    <dxf>
      <fill>
        <patternFill patternType="solid">
          <bgColor rgb="FFFFFF00"/>
        </patternFill>
      </fill>
    </dxf>
  </rfmt>
  <rcc rId="1461" sId="1" odxf="1" dxf="1">
    <nc r="E408" t="inlineStr">
      <is>
        <t>W1025334/1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62" sId="1" odxf="1" dxf="1">
    <nc r="F408" t="inlineStr">
      <is>
        <t>INS1/00002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63" sId="1" odxf="1" dxf="1">
    <nc r="G408" t="inlineStr">
      <is>
        <t>Softdisc Bulk (Purple Intimate Wrap)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64" sId="1" odxf="1" dxf="1">
    <nc r="H408">
      <v>268.64999999999998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65" sId="1" odxf="1" dxf="1">
    <nc r="I408">
      <v>36.42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66" sId="1" odxf="1" dxf="1">
    <nc r="J408">
      <v>300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67" sId="1" odxf="1" dxf="1">
    <nc r="K408">
      <v>178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68" sId="1" odxf="1" dxf="1" numFmtId="19">
    <nc r="L408">
      <v>46198.625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69" sId="1" odxf="1" dxf="1" numFmtId="19">
    <nc r="M408">
      <v>46209.805555555555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N408" start="0" length="0">
    <dxf>
      <fill>
        <patternFill patternType="solid">
          <bgColor rgb="FFFFFF00"/>
        </patternFill>
      </fill>
    </dxf>
  </rfmt>
  <rcc rId="1470" sId="1" odxf="1" dxf="1">
    <nc r="O408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71" sId="1" odxf="1" dxf="1">
    <nc r="P408">
      <v>1025334</v>
    </nc>
    <odxf>
      <font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sz val="12"/>
        <color rgb="FF000000"/>
        <name val="Aptos"/>
        <family val="2"/>
        <scheme val="none"/>
      </font>
      <fill>
        <patternFill patternType="solid">
          <bgColor rgb="FFFFFF00"/>
        </patternFill>
      </fill>
    </ndxf>
  </rcc>
  <rcc rId="1472" sId="1" odxf="1" dxf="1" numFmtId="19">
    <nc r="Q408">
      <v>46156</v>
    </nc>
    <odxf>
      <numFmt numFmtId="0" formatCode="General"/>
      <fill>
        <patternFill patternType="none">
          <bgColor indexed="65"/>
        </patternFill>
      </fill>
    </odxf>
    <ndxf>
      <numFmt numFmtId="19" formatCode="mm/dd/yyyy"/>
      <fill>
        <patternFill patternType="solid">
          <bgColor rgb="FFFFFF00"/>
        </patternFill>
      </fill>
    </ndxf>
  </rcc>
  <rfmt sheetId="1" sqref="R408" start="0" length="0">
    <dxf>
      <fill>
        <patternFill patternType="solid">
          <bgColor rgb="FFFFFF00"/>
        </patternFill>
      </fill>
    </dxf>
  </rfmt>
  <rfmt sheetId="1" sqref="S408" start="0" length="0">
    <dxf>
      <fill>
        <patternFill patternType="solid">
          <bgColor rgb="FFFFFF00"/>
        </patternFill>
      </fill>
    </dxf>
  </rfmt>
  <rfmt sheetId="1" sqref="T408" start="0" length="0">
    <dxf>
      <fill>
        <patternFill patternType="solid">
          <bgColor rgb="FFFFFF00"/>
        </patternFill>
      </fill>
    </dxf>
  </rfmt>
  <rfmt sheetId="1" sqref="U408" start="0" length="0">
    <dxf>
      <fill>
        <patternFill patternType="solid">
          <bgColor rgb="FFFFFF00"/>
        </patternFill>
      </fill>
    </dxf>
  </rfmt>
  <rfmt sheetId="1" sqref="V408" start="0" length="0">
    <dxf>
      <fill>
        <patternFill patternType="solid">
          <bgColor rgb="FFFFFF00"/>
        </patternFill>
      </fill>
    </dxf>
  </rfmt>
  <rfmt sheetId="1" sqref="W408" start="0" length="0">
    <dxf>
      <fill>
        <patternFill patternType="solid">
          <bgColor rgb="FFFFFF00"/>
        </patternFill>
      </fill>
    </dxf>
  </rfmt>
  <rfmt sheetId="1" sqref="X408" start="0" length="0">
    <dxf>
      <fill>
        <patternFill patternType="solid">
          <bgColor rgb="FFFFFF00"/>
        </patternFill>
      </fill>
    </dxf>
  </rfmt>
  <rfmt sheetId="1" sqref="Y408" start="0" length="0">
    <dxf>
      <fill>
        <patternFill patternType="solid">
          <bgColor rgb="FFFFFF00"/>
        </patternFill>
      </fill>
    </dxf>
  </rfmt>
  <rfmt sheetId="1" sqref="Z408" start="0" length="0">
    <dxf>
      <fill>
        <patternFill patternType="solid">
          <bgColor rgb="FFFFFF00"/>
        </patternFill>
      </fill>
    </dxf>
  </rfmt>
  <rcc rId="1473" sId="1" odxf="1" dxf="1">
    <nc r="AA408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474" sId="1" odxf="1" dxf="1">
    <nc r="AB408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A408:XFD408" start="0" length="0">
    <dxf>
      <fill>
        <patternFill patternType="solid">
          <bgColor rgb="FFFFFF00"/>
        </patternFill>
      </fill>
    </dxf>
  </rfmt>
  <rcc rId="1475" sId="1" odxf="1" dxf="1">
    <nc r="A409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76" sId="1" odxf="1" dxf="1">
    <nc r="B409" t="inlineStr">
      <is>
        <t>Flex Line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77" sId="1" odxf="1" dxf="1">
    <nc r="C409">
      <v>3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D409" start="0" length="0">
    <dxf>
      <border outline="0">
        <bottom style="medium">
          <color indexed="64"/>
        </bottom>
      </border>
    </dxf>
  </rfmt>
  <rcc rId="1478" sId="1" odxf="1" dxf="1">
    <nc r="E409" t="inlineStr">
      <is>
        <t>W1025336/1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79" sId="1" odxf="1" dxf="1">
    <nc r="F409" t="inlineStr">
      <is>
        <t>INS1/00002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80" sId="1" odxf="1" dxf="1">
    <nc r="G409" t="inlineStr">
      <is>
        <t>Softdisc Bulk (Purple Intimate Wrap)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81" sId="1" odxf="1" dxf="1">
    <nc r="H409">
      <v>313.44</v>
    </nc>
    <odxf>
      <border outline="0">
        <bottom/>
      </border>
    </odxf>
    <ndxf>
      <border outline="0">
        <bottom style="medium">
          <color indexed="64"/>
        </bottom>
      </border>
    </ndxf>
  </rcc>
  <rcc rId="1482" sId="1" odxf="1" dxf="1">
    <nc r="I409">
      <v>104.48</v>
    </nc>
    <odxf>
      <border outline="0">
        <bottom/>
      </border>
    </odxf>
    <ndxf>
      <border outline="0">
        <bottom style="medium">
          <color indexed="64"/>
        </bottom>
      </border>
    </ndxf>
  </rcc>
  <rcc rId="1483" sId="1" odxf="1" dxf="1">
    <nc r="J409">
      <v>350</v>
    </nc>
    <odxf>
      <border outline="0">
        <bottom/>
      </border>
    </odxf>
    <ndxf>
      <border outline="0">
        <bottom style="medium">
          <color indexed="64"/>
        </bottom>
      </border>
    </ndxf>
  </rcc>
  <rcc rId="1484" sId="1" odxf="1" dxf="1">
    <nc r="K409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1485" sId="1" odxf="1" dxf="1" numFmtId="19">
    <nc r="L409">
      <v>46209.8125</v>
    </nc>
    <odxf>
      <border outline="0">
        <bottom/>
      </border>
    </odxf>
    <ndxf>
      <border outline="0">
        <bottom style="medium">
          <color indexed="64"/>
        </bottom>
      </border>
    </ndxf>
  </rcc>
  <rcc rId="1486" sId="1" odxf="1" dxf="1" numFmtId="19">
    <nc r="M409">
      <v>46227.638888888891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409" start="0" length="0">
    <dxf>
      <border outline="0">
        <bottom style="medium">
          <color indexed="64"/>
        </bottom>
      </border>
    </dxf>
  </rfmt>
  <rcc rId="1487" sId="1" odxf="1" dxf="1">
    <nc r="O409" t="inlineStr">
      <is>
        <t>P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P409" start="0" length="0">
    <dxf>
      <border outline="0">
        <bottom style="medium">
          <color indexed="64"/>
        </bottom>
      </border>
    </dxf>
  </rfmt>
  <rfmt sheetId="1" sqref="Q409" start="0" length="0">
    <dxf>
      <border outline="0">
        <bottom style="medium">
          <color indexed="64"/>
        </bottom>
      </border>
    </dxf>
  </rfmt>
  <rfmt sheetId="1" sqref="R409" start="0" length="0">
    <dxf>
      <border outline="0">
        <bottom style="medium">
          <color indexed="64"/>
        </bottom>
      </border>
    </dxf>
  </rfmt>
  <rfmt sheetId="1" sqref="S409" start="0" length="0">
    <dxf>
      <border outline="0">
        <bottom style="medium">
          <color indexed="64"/>
        </bottom>
      </border>
    </dxf>
  </rfmt>
  <rfmt sheetId="1" sqref="T409" start="0" length="0">
    <dxf>
      <border outline="0">
        <bottom style="medium">
          <color indexed="64"/>
        </bottom>
      </border>
    </dxf>
  </rfmt>
  <rfmt sheetId="1" sqref="U409" start="0" length="0">
    <dxf>
      <border outline="0">
        <bottom style="medium">
          <color indexed="64"/>
        </bottom>
      </border>
    </dxf>
  </rfmt>
  <rfmt sheetId="1" sqref="V409" start="0" length="0">
    <dxf>
      <border outline="0">
        <bottom style="medium">
          <color indexed="64"/>
        </bottom>
      </border>
    </dxf>
  </rfmt>
  <rfmt sheetId="1" sqref="W409" start="0" length="0">
    <dxf>
      <border outline="0">
        <bottom style="medium">
          <color indexed="64"/>
        </bottom>
      </border>
    </dxf>
  </rfmt>
  <rfmt sheetId="1" sqref="X409" start="0" length="0">
    <dxf>
      <border outline="0">
        <bottom style="medium">
          <color indexed="64"/>
        </bottom>
      </border>
    </dxf>
  </rfmt>
  <rfmt sheetId="1" sqref="Y409" start="0" length="0">
    <dxf>
      <border outline="0">
        <bottom style="medium">
          <color indexed="64"/>
        </bottom>
      </border>
    </dxf>
  </rfmt>
  <rfmt sheetId="1" sqref="Z409" start="0" length="0">
    <dxf>
      <border outline="0">
        <bottom style="medium">
          <color indexed="64"/>
        </bottom>
      </border>
    </dxf>
  </rfmt>
  <rcc rId="1488" sId="1" odxf="1" dxf="1">
    <nc r="AA409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489" sId="1" odxf="1" dxf="1">
    <nc r="AB409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409:XFD409" start="0" length="0">
    <dxf>
      <border outline="0">
        <bottom style="medium">
          <color indexed="64"/>
        </bottom>
      </border>
    </dxf>
  </rfmt>
  <rcc rId="1490" sId="1" odxf="1" dxf="1">
    <nc r="A410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491" sId="1" odxf="1" dxf="1">
    <nc r="B410" t="inlineStr">
      <is>
        <t>NG2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492" sId="1" odxf="1" dxf="1">
    <nc r="C410">
      <v>3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fmt sheetId="1" sqref="D410" start="0" length="0">
    <dxf>
      <fill>
        <patternFill patternType="solid">
          <bgColor rgb="FF00B050"/>
        </patternFill>
      </fill>
    </dxf>
  </rfmt>
  <rcc rId="1493" sId="1" odxf="1" dxf="1">
    <nc r="E410" t="inlineStr">
      <is>
        <t>W1028747/1</t>
      </is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00B050"/>
        </patternFill>
      </fill>
      <border outline="0">
        <bottom style="medium">
          <color indexed="64"/>
        </bottom>
      </border>
    </ndxf>
  </rcc>
  <rcc rId="1494" sId="1" odxf="1" dxf="1">
    <nc r="F410" t="inlineStr">
      <is>
        <t>FLX1/10001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495" sId="1" odxf="1" dxf="1">
    <nc r="G410" t="inlineStr">
      <is>
        <t>FLEX Bulk (Cup in Intimate Wrap)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496" sId="1" odxf="1" dxf="1">
    <nc r="H410">
      <v>496.56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497" sId="1" odxf="1" dxf="1">
    <nc r="I410">
      <v>32.409999999999997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498" sId="1" odxf="1" dxf="1">
    <nc r="J410">
      <v>480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499" sId="1" odxf="1" dxf="1">
    <nc r="K410">
      <v>486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00" sId="1" odxf="1" dxf="1" numFmtId="19">
    <nc r="L410">
      <v>46196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01" sId="1" odxf="1" dxf="1" numFmtId="19">
    <nc r="M410">
      <v>46197.347222222219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fmt sheetId="1" sqref="N410" start="0" length="0">
    <dxf>
      <fill>
        <patternFill patternType="solid">
          <bgColor rgb="FF00B050"/>
        </patternFill>
      </fill>
      <border outline="0">
        <bottom style="medium">
          <color indexed="64"/>
        </bottom>
      </border>
    </dxf>
  </rfmt>
  <rcc rId="1502" sId="1" odxf="1" dxf="1">
    <nc r="O410" t="inlineStr">
      <is>
        <t>P</t>
      </is>
    </nc>
    <odxf>
      <fill>
        <patternFill patternType="none">
          <bgColor indexed="65"/>
        </patternFill>
      </fill>
      <border outline="0">
        <bottom/>
      </border>
    </odxf>
    <ndxf>
      <fill>
        <patternFill patternType="solid">
          <bgColor rgb="FF00B050"/>
        </patternFill>
      </fill>
      <border outline="0">
        <bottom style="medium">
          <color indexed="64"/>
        </bottom>
      </border>
    </ndxf>
  </rcc>
  <rfmt sheetId="1" sqref="P410" start="0" length="0">
    <dxf>
      <fill>
        <patternFill patternType="solid">
          <bgColor rgb="FF00B050"/>
        </patternFill>
      </fill>
      <border outline="0">
        <bottom style="medium">
          <color indexed="64"/>
        </bottom>
      </border>
    </dxf>
  </rfmt>
  <rfmt sheetId="1" sqref="Q410" start="0" length="0">
    <dxf>
      <fill>
        <patternFill patternType="solid">
          <bgColor rgb="FF00B050"/>
        </patternFill>
      </fill>
      <border outline="0">
        <bottom style="medium">
          <color indexed="64"/>
        </bottom>
      </border>
    </dxf>
  </rfmt>
  <rfmt sheetId="1" sqref="R410" start="0" length="0">
    <dxf>
      <fill>
        <patternFill patternType="solid">
          <bgColor rgb="FF00B050"/>
        </patternFill>
      </fill>
      <border outline="0">
        <bottom style="medium">
          <color indexed="64"/>
        </bottom>
      </border>
    </dxf>
  </rfmt>
  <rfmt sheetId="1" sqref="S410" start="0" length="0">
    <dxf>
      <fill>
        <patternFill patternType="solid">
          <bgColor rgb="FF00B050"/>
        </patternFill>
      </fill>
      <border outline="0">
        <bottom style="medium">
          <color indexed="64"/>
        </bottom>
      </border>
    </dxf>
  </rfmt>
  <rfmt sheetId="1" sqref="T410" start="0" length="0">
    <dxf>
      <fill>
        <patternFill patternType="solid">
          <bgColor rgb="FF00B050"/>
        </patternFill>
      </fill>
    </dxf>
  </rfmt>
  <rfmt sheetId="1" sqref="U410" start="0" length="0">
    <dxf>
      <fill>
        <patternFill patternType="solid">
          <bgColor rgb="FF00B050"/>
        </patternFill>
      </fill>
    </dxf>
  </rfmt>
  <rfmt sheetId="1" sqref="V410" start="0" length="0">
    <dxf>
      <fill>
        <patternFill patternType="solid">
          <bgColor rgb="FF00B050"/>
        </patternFill>
      </fill>
    </dxf>
  </rfmt>
  <rfmt sheetId="1" sqref="W410" start="0" length="0">
    <dxf>
      <fill>
        <patternFill patternType="solid">
          <bgColor rgb="FF00B050"/>
        </patternFill>
      </fill>
    </dxf>
  </rfmt>
  <rfmt sheetId="1" sqref="X410" start="0" length="0">
    <dxf>
      <fill>
        <patternFill patternType="solid">
          <bgColor rgb="FF00B050"/>
        </patternFill>
      </fill>
    </dxf>
  </rfmt>
  <rfmt sheetId="1" sqref="Y410" start="0" length="0">
    <dxf>
      <fill>
        <patternFill patternType="solid">
          <bgColor rgb="FF00B050"/>
        </patternFill>
      </fill>
    </dxf>
  </rfmt>
  <rfmt sheetId="1" sqref="Z410" start="0" length="0">
    <dxf>
      <fill>
        <patternFill patternType="solid">
          <bgColor rgb="FF00B050"/>
        </patternFill>
      </fill>
    </dxf>
  </rfmt>
  <rcc rId="1503" sId="1" odxf="1" dxf="1">
    <nc r="AA410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04" sId="1" odxf="1" dxf="1">
    <nc r="AB410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fmt sheetId="1" sqref="A410:XFD410" start="0" length="0">
    <dxf>
      <fill>
        <patternFill patternType="solid">
          <bgColor rgb="FF00B050"/>
        </patternFill>
      </fill>
    </dxf>
  </rfmt>
  <rcc rId="1505" sId="1" odxf="1" dxf="1">
    <nc r="A411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06" sId="1" odxf="1" dxf="1">
    <nc r="B411" t="inlineStr">
      <is>
        <t>NG2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07" sId="1" odxf="1" dxf="1">
    <nc r="C411">
      <v>3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fmt sheetId="1" sqref="D411" start="0" length="0">
    <dxf>
      <fill>
        <patternFill patternType="solid">
          <bgColor rgb="FF00B050"/>
        </patternFill>
      </fill>
    </dxf>
  </rfmt>
  <rcc rId="1508" sId="1" odxf="1" dxf="1">
    <nc r="E411" t="inlineStr">
      <is>
        <t>W1028753/1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09" sId="1" odxf="1" dxf="1">
    <nc r="F411" t="inlineStr">
      <is>
        <t>FLX1/10001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10" sId="1" odxf="1" dxf="1">
    <nc r="G411" t="inlineStr">
      <is>
        <t>FLEX Bulk (Cup in Intimate Wrap)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11" sId="1" odxf="1" dxf="1">
    <nc r="H411">
      <v>206.91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12" sId="1" odxf="1" dxf="1">
    <nc r="I411">
      <v>68.97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13" sId="1" odxf="1" dxf="1">
    <nc r="J411">
      <v>200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14" sId="1" odxf="1" dxf="1">
    <nc r="K411">
      <v>200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15" sId="1" odxf="1" dxf="1" numFmtId="19">
    <nc r="L411">
      <v>46200.375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16" sId="1" odxf="1" dxf="1" numFmtId="19">
    <nc r="M411">
      <v>46203.388888888891</v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fmt sheetId="1" sqref="N411" start="0" length="0">
    <dxf>
      <fill>
        <patternFill patternType="solid">
          <bgColor rgb="FF00B050"/>
        </patternFill>
      </fill>
    </dxf>
  </rfmt>
  <rcc rId="1517" sId="1" odxf="1" dxf="1">
    <nc r="O411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fmt sheetId="1" sqref="P411" start="0" length="0">
    <dxf>
      <fill>
        <patternFill patternType="solid">
          <bgColor rgb="FF00B050"/>
        </patternFill>
      </fill>
    </dxf>
  </rfmt>
  <rfmt sheetId="1" sqref="Q411" start="0" length="0">
    <dxf>
      <fill>
        <patternFill patternType="solid">
          <bgColor rgb="FF00B050"/>
        </patternFill>
      </fill>
    </dxf>
  </rfmt>
  <rfmt sheetId="1" sqref="R411" start="0" length="0">
    <dxf>
      <fill>
        <patternFill patternType="solid">
          <bgColor rgb="FF00B050"/>
        </patternFill>
      </fill>
    </dxf>
  </rfmt>
  <rfmt sheetId="1" sqref="S411" start="0" length="0">
    <dxf>
      <fill>
        <patternFill patternType="solid">
          <bgColor rgb="FF00B050"/>
        </patternFill>
      </fill>
    </dxf>
  </rfmt>
  <rfmt sheetId="1" sqref="T411" start="0" length="0">
    <dxf>
      <fill>
        <patternFill patternType="solid">
          <bgColor rgb="FF00B050"/>
        </patternFill>
      </fill>
    </dxf>
  </rfmt>
  <rfmt sheetId="1" sqref="U411" start="0" length="0">
    <dxf>
      <fill>
        <patternFill patternType="solid">
          <bgColor rgb="FF00B050"/>
        </patternFill>
      </fill>
    </dxf>
  </rfmt>
  <rfmt sheetId="1" sqref="V411" start="0" length="0">
    <dxf>
      <fill>
        <patternFill patternType="solid">
          <bgColor rgb="FF00B050"/>
        </patternFill>
      </fill>
    </dxf>
  </rfmt>
  <rfmt sheetId="1" sqref="W411" start="0" length="0">
    <dxf>
      <fill>
        <patternFill patternType="solid">
          <bgColor rgb="FF00B050"/>
        </patternFill>
      </fill>
    </dxf>
  </rfmt>
  <rfmt sheetId="1" sqref="X411" start="0" length="0">
    <dxf>
      <fill>
        <patternFill patternType="solid">
          <bgColor rgb="FF00B050"/>
        </patternFill>
      </fill>
    </dxf>
  </rfmt>
  <rfmt sheetId="1" sqref="Y411" start="0" length="0">
    <dxf>
      <fill>
        <patternFill patternType="solid">
          <bgColor rgb="FF00B050"/>
        </patternFill>
      </fill>
    </dxf>
  </rfmt>
  <rfmt sheetId="1" sqref="Z411" start="0" length="0">
    <dxf>
      <fill>
        <patternFill patternType="solid">
          <bgColor rgb="FF00B050"/>
        </patternFill>
      </fill>
    </dxf>
  </rfmt>
  <rcc rId="1518" sId="1" odxf="1" dxf="1">
    <nc r="AA411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cc rId="1519" sId="1" odxf="1" dxf="1">
    <nc r="AB411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fmt sheetId="1" sqref="A411:XFD411" start="0" length="0">
    <dxf>
      <fill>
        <patternFill patternType="solid">
          <bgColor rgb="FF00B050"/>
        </patternFill>
      </fill>
    </dxf>
  </rfmt>
  <rcc rId="1520" sId="1" odxf="1" dxf="1">
    <nc r="A412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521" sId="1" odxf="1" dxf="1">
    <nc r="B412" t="inlineStr">
      <is>
        <t>NG2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522" sId="1" odxf="1" dxf="1">
    <nc r="C412">
      <v>3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D412" start="0" length="0">
    <dxf>
      <fill>
        <patternFill patternType="solid">
          <bgColor rgb="FFFFFF00"/>
        </patternFill>
      </fill>
    </dxf>
  </rfmt>
  <rcc rId="1523" sId="1" odxf="1" dxf="1">
    <nc r="E412" t="inlineStr">
      <is>
        <t>W1028748/1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524" sId="1" odxf="1" dxf="1">
    <nc r="F412" t="inlineStr">
      <is>
        <t>FLX1/10001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525" sId="1" odxf="1" dxf="1">
    <nc r="G412" t="inlineStr">
      <is>
        <t>FLEX Bulk (Cup in Intimate Wrap)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526" sId="1" odxf="1" dxf="1">
    <nc r="H412">
      <v>387.93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527" sId="1" odxf="1" dxf="1">
    <nc r="I412">
      <v>129.31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528" sId="1" odxf="1" dxf="1">
    <nc r="J412">
      <v>375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529" sId="1" odxf="1" dxf="1">
    <nc r="K412">
      <v>0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530" sId="1" odxf="1" dxf="1" numFmtId="19">
    <nc r="L412">
      <v>46203.395833333336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531" sId="1" odxf="1" dxf="1" numFmtId="19">
    <nc r="M412">
      <v>46213.923611111109</v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N412" start="0" length="0">
    <dxf>
      <fill>
        <patternFill patternType="solid">
          <bgColor rgb="FFFFFF00"/>
        </patternFill>
      </fill>
    </dxf>
  </rfmt>
  <rcc rId="1532" sId="1" odxf="1" dxf="1">
    <nc r="O412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P412" start="0" length="0">
    <dxf>
      <fill>
        <patternFill patternType="solid">
          <bgColor rgb="FFFFFF00"/>
        </patternFill>
      </fill>
    </dxf>
  </rfmt>
  <rfmt sheetId="1" sqref="Q412" start="0" length="0">
    <dxf>
      <fill>
        <patternFill patternType="solid">
          <bgColor rgb="FFFFFF00"/>
        </patternFill>
      </fill>
    </dxf>
  </rfmt>
  <rfmt sheetId="1" sqref="R412" start="0" length="0">
    <dxf>
      <fill>
        <patternFill patternType="solid">
          <bgColor rgb="FFFFFF00"/>
        </patternFill>
      </fill>
    </dxf>
  </rfmt>
  <rfmt sheetId="1" sqref="S412" start="0" length="0">
    <dxf>
      <fill>
        <patternFill patternType="solid">
          <bgColor rgb="FFFFFF00"/>
        </patternFill>
      </fill>
    </dxf>
  </rfmt>
  <rfmt sheetId="1" sqref="T412" start="0" length="0">
    <dxf>
      <fill>
        <patternFill patternType="solid">
          <bgColor rgb="FFFFFF00"/>
        </patternFill>
      </fill>
    </dxf>
  </rfmt>
  <rfmt sheetId="1" sqref="U412" start="0" length="0">
    <dxf>
      <fill>
        <patternFill patternType="solid">
          <bgColor rgb="FFFFFF00"/>
        </patternFill>
      </fill>
    </dxf>
  </rfmt>
  <rfmt sheetId="1" sqref="V412" start="0" length="0">
    <dxf>
      <fill>
        <patternFill patternType="solid">
          <bgColor rgb="FFFFFF00"/>
        </patternFill>
      </fill>
    </dxf>
  </rfmt>
  <rfmt sheetId="1" sqref="W412" start="0" length="0">
    <dxf>
      <fill>
        <patternFill patternType="solid">
          <bgColor rgb="FFFFFF00"/>
        </patternFill>
      </fill>
    </dxf>
  </rfmt>
  <rfmt sheetId="1" sqref="X412" start="0" length="0">
    <dxf>
      <fill>
        <patternFill patternType="solid">
          <bgColor rgb="FFFFFF00"/>
        </patternFill>
      </fill>
    </dxf>
  </rfmt>
  <rfmt sheetId="1" sqref="Y412" start="0" length="0">
    <dxf>
      <fill>
        <patternFill patternType="solid">
          <bgColor rgb="FFFFFF00"/>
        </patternFill>
      </fill>
    </dxf>
  </rfmt>
  <rfmt sheetId="1" sqref="Z412" start="0" length="0">
    <dxf>
      <fill>
        <patternFill patternType="solid">
          <bgColor rgb="FFFFFF00"/>
        </patternFill>
      </fill>
    </dxf>
  </rfmt>
  <rcc rId="1533" sId="1" odxf="1" dxf="1">
    <nc r="AA412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1534" sId="1" odxf="1" dxf="1">
    <nc r="AB412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fmt sheetId="1" sqref="A412:XFD412" start="0" length="0">
    <dxf>
      <fill>
        <patternFill patternType="solid">
          <bgColor rgb="FFFFFF00"/>
        </patternFill>
      </fill>
    </dxf>
  </rfmt>
  <rcc rId="1535" sId="1" odxf="1" dxf="1">
    <nc r="A413" t="inlineStr">
      <is>
        <t>Zone 3</t>
      </is>
    </nc>
    <odxf/>
    <ndxf/>
  </rcc>
  <rcc rId="1536" sId="1" odxf="1" dxf="1">
    <nc r="B413" t="inlineStr">
      <is>
        <t>NG2</t>
      </is>
    </nc>
    <odxf/>
    <ndxf/>
  </rcc>
  <rcc rId="1537" sId="1" odxf="1" dxf="1">
    <nc r="C413">
      <v>3</v>
    </nc>
    <odxf/>
    <ndxf/>
  </rcc>
  <rfmt sheetId="1" sqref="D413" start="0" length="0">
    <dxf/>
  </rfmt>
  <rcc rId="1538" sId="1" odxf="1" dxf="1">
    <nc r="E413" t="inlineStr">
      <is>
        <t>W1027495/1</t>
      </is>
    </nc>
    <odxf/>
    <ndxf/>
  </rcc>
  <rcc rId="1539" sId="1" odxf="1" dxf="1">
    <nc r="F413" t="inlineStr">
      <is>
        <t>FLX1/10001</t>
      </is>
    </nc>
    <odxf/>
    <ndxf/>
  </rcc>
  <rcc rId="1540" sId="1" odxf="1" dxf="1">
    <nc r="G413" t="inlineStr">
      <is>
        <t>FLEX Bulk (Cup in Intimate Wrap)</t>
      </is>
    </nc>
    <odxf/>
    <ndxf/>
  </rcc>
  <rcc rId="1541" sId="1" odxf="1" dxf="1">
    <nc r="H413">
      <v>517.23</v>
    </nc>
    <odxf/>
    <ndxf/>
  </rcc>
  <rcc rId="1542" sId="1" odxf="1" dxf="1">
    <nc r="I413">
      <v>172.41</v>
    </nc>
    <odxf/>
    <ndxf/>
  </rcc>
  <rcc rId="1543" sId="1" odxf="1" dxf="1">
    <nc r="J413">
      <v>500</v>
    </nc>
    <odxf/>
    <ndxf/>
  </rcc>
  <rcc rId="1544" sId="1" odxf="1" dxf="1">
    <nc r="K413">
      <v>0</v>
    </nc>
    <odxf/>
    <ndxf/>
  </rcc>
  <rcc rId="1545" sId="1" odxf="1" dxf="1" numFmtId="19">
    <nc r="L413">
      <v>46213.930555555555</v>
    </nc>
    <odxf/>
    <ndxf/>
  </rcc>
  <rcc rId="1546" sId="1" odxf="1" dxf="1" numFmtId="19">
    <nc r="M413">
      <v>46221.256944444445</v>
    </nc>
    <odxf/>
    <ndxf/>
  </rcc>
  <rfmt sheetId="1" sqref="N413" start="0" length="0">
    <dxf/>
  </rfmt>
  <rcc rId="1547" sId="1" odxf="1" dxf="1">
    <nc r="O413" t="inlineStr">
      <is>
        <t>p</t>
      </is>
    </nc>
    <odxf/>
    <ndxf/>
  </rcc>
  <rfmt sheetId="1" sqref="P413" start="0" length="0">
    <dxf/>
  </rfmt>
  <rfmt sheetId="1" sqref="Q413" start="0" length="0">
    <dxf/>
  </rfmt>
  <rfmt sheetId="1" sqref="R413" start="0" length="0">
    <dxf/>
  </rfmt>
  <rfmt sheetId="1" sqref="S413" start="0" length="0">
    <dxf/>
  </rfmt>
  <rfmt sheetId="1" sqref="T413" start="0" length="0">
    <dxf/>
  </rfmt>
  <rfmt sheetId="1" sqref="U413" start="0" length="0">
    <dxf/>
  </rfmt>
  <rfmt sheetId="1" sqref="V413" start="0" length="0">
    <dxf/>
  </rfmt>
  <rfmt sheetId="1" sqref="W413" start="0" length="0">
    <dxf/>
  </rfmt>
  <rfmt sheetId="1" sqref="X413" start="0" length="0">
    <dxf/>
  </rfmt>
  <rfmt sheetId="1" sqref="Y413" start="0" length="0">
    <dxf/>
  </rfmt>
  <rfmt sheetId="1" sqref="Z413" start="0" length="0">
    <dxf/>
  </rfmt>
  <rcc rId="1548" sId="1" odxf="1" dxf="1">
    <nc r="AA413" t="inlineStr">
      <is>
        <t>1</t>
      </is>
    </nc>
    <odxf/>
    <ndxf/>
  </rcc>
  <rcc rId="1549" sId="1" odxf="1" dxf="1">
    <nc r="AB413" t="inlineStr">
      <is>
        <t>0</t>
      </is>
    </nc>
    <odxf/>
    <ndxf/>
  </rcc>
  <rfmt sheetId="1" sqref="A413:XFD413" start="0" length="0">
    <dxf/>
  </rfmt>
  <rcc rId="1550" sId="1" odxf="1" dxf="1">
    <nc r="A414" t="inlineStr">
      <is>
        <t>Zone 3</t>
      </is>
    </nc>
    <odxf/>
    <ndxf/>
  </rcc>
  <rcc rId="1551" sId="1" odxf="1" dxf="1">
    <nc r="B414" t="inlineStr">
      <is>
        <t>NG2</t>
      </is>
    </nc>
    <odxf/>
    <ndxf/>
  </rcc>
  <rcc rId="1552" sId="1" odxf="1" dxf="1">
    <nc r="C414">
      <v>3</v>
    </nc>
    <odxf/>
    <ndxf/>
  </rcc>
  <rfmt sheetId="1" sqref="D414" start="0" length="0">
    <dxf/>
  </rfmt>
  <rcc rId="1553" sId="1" odxf="1" dxf="1">
    <nc r="E414" t="inlineStr">
      <is>
        <t>W1019433/1</t>
      </is>
    </nc>
    <odxf/>
    <ndxf/>
  </rcc>
  <rcc rId="1554" sId="1" odxf="1" dxf="1">
    <nc r="F414" t="inlineStr">
      <is>
        <t>FLX3/10155</t>
      </is>
    </nc>
    <odxf/>
    <ndxf/>
  </rcc>
  <rcc rId="1555" sId="1" odxf="1" dxf="1">
    <nc r="G414" t="inlineStr">
      <is>
        <t>Plant + Bulk (Cup in Intimate Wrap)</t>
      </is>
    </nc>
    <odxf/>
    <ndxf/>
  </rcc>
  <rcc rId="1556" sId="1" odxf="1" dxf="1">
    <nc r="H414">
      <v>206.91</v>
    </nc>
    <odxf/>
    <ndxf/>
  </rcc>
  <rcc rId="1557" sId="1" odxf="1" dxf="1">
    <nc r="I414">
      <v>68.97</v>
    </nc>
    <odxf/>
    <ndxf/>
  </rcc>
  <rcc rId="1558" sId="1" odxf="1" dxf="1">
    <nc r="J414">
      <v>200</v>
    </nc>
    <odxf/>
    <ndxf/>
  </rcc>
  <rcc rId="1559" sId="1" odxf="1" dxf="1">
    <nc r="K414">
      <v>0</v>
    </nc>
    <odxf/>
    <ndxf/>
  </rcc>
  <rcc rId="1560" sId="1" odxf="1" dxf="1" numFmtId="19">
    <nc r="L414">
      <v>46197.354166666664</v>
    </nc>
    <odxf/>
    <ndxf/>
  </rcc>
  <rcc rId="1561" sId="1" odxf="1" dxf="1" numFmtId="19">
    <nc r="M414">
      <v>46200.368055555555</v>
    </nc>
    <odxf/>
    <ndxf/>
  </rcc>
  <rfmt sheetId="1" sqref="N414" start="0" length="0">
    <dxf/>
  </rfmt>
  <rfmt sheetId="1" sqref="O414" start="0" length="0">
    <dxf/>
  </rfmt>
  <rfmt sheetId="1" sqref="P414" start="0" length="0">
    <dxf/>
  </rfmt>
  <rfmt sheetId="1" sqref="Q414" start="0" length="0">
    <dxf/>
  </rfmt>
  <rfmt sheetId="1" sqref="R414" start="0" length="0">
    <dxf/>
  </rfmt>
  <rfmt sheetId="1" sqref="S414" start="0" length="0">
    <dxf/>
  </rfmt>
  <rfmt sheetId="1" sqref="T414" start="0" length="0">
    <dxf/>
  </rfmt>
  <rfmt sheetId="1" sqref="U414" start="0" length="0">
    <dxf/>
  </rfmt>
  <rfmt sheetId="1" sqref="V414" start="0" length="0">
    <dxf/>
  </rfmt>
  <rfmt sheetId="1" sqref="W414" start="0" length="0">
    <dxf/>
  </rfmt>
  <rfmt sheetId="1" sqref="X414" start="0" length="0">
    <dxf/>
  </rfmt>
  <rfmt sheetId="1" sqref="Y414" start="0" length="0">
    <dxf/>
  </rfmt>
  <rfmt sheetId="1" sqref="Z414" start="0" length="0">
    <dxf/>
  </rfmt>
  <rcc rId="1562" sId="1" odxf="1" dxf="1">
    <nc r="AA414" t="inlineStr">
      <is>
        <t>1</t>
      </is>
    </nc>
    <odxf/>
    <ndxf/>
  </rcc>
  <rcc rId="1563" sId="1" odxf="1" dxf="1">
    <nc r="AB414" t="inlineStr">
      <is>
        <t>0</t>
      </is>
    </nc>
    <odxf/>
    <ndxf/>
  </rcc>
  <rfmt sheetId="1" sqref="A414:XFD414" start="0" length="0">
    <dxf/>
  </rfmt>
  <rcc rId="1564" sId="1" odxf="1" dxf="1">
    <nc r="A415" t="inlineStr">
      <is>
        <t>Zone 3</t>
      </is>
    </nc>
    <odxf/>
    <ndxf/>
  </rcc>
  <rcc rId="1565" sId="1" odxf="1" dxf="1">
    <nc r="B415" t="inlineStr">
      <is>
        <t>NG2</t>
      </is>
    </nc>
    <odxf/>
    <ndxf/>
  </rcc>
  <rcc rId="1566" sId="1" odxf="1" dxf="1">
    <nc r="C415">
      <v>3</v>
    </nc>
    <odxf/>
    <ndxf/>
  </rcc>
  <rfmt sheetId="1" sqref="D415" start="0" length="0">
    <dxf/>
  </rfmt>
  <rcc rId="1567" sId="1" odxf="1" dxf="1">
    <nc r="E415" t="inlineStr">
      <is>
        <t>W1027816/1</t>
      </is>
    </nc>
    <odxf/>
    <ndxf/>
  </rcc>
  <rcc rId="1568" sId="1" odxf="1" dxf="1">
    <nc r="F415" t="inlineStr">
      <is>
        <t>FLX3/10155</t>
      </is>
    </nc>
    <odxf/>
    <ndxf/>
  </rcc>
  <rcc rId="1569" sId="1" odxf="1" dxf="1">
    <nc r="G415" t="inlineStr">
      <is>
        <t>Plant + Bulk (Cup in Intimate Wrap)</t>
      </is>
    </nc>
    <odxf/>
    <ndxf/>
  </rcc>
  <rcc rId="1570" sId="1" odxf="1" dxf="1">
    <nc r="H415">
      <v>155.16</v>
    </nc>
    <odxf/>
    <ndxf/>
  </rcc>
  <rcc rId="1571" sId="1" odxf="1" dxf="1">
    <nc r="I415">
      <v>51.72</v>
    </nc>
    <odxf/>
    <ndxf/>
  </rcc>
  <rcc rId="1572" sId="1" odxf="1" dxf="1">
    <nc r="J415">
      <v>150</v>
    </nc>
    <odxf/>
    <ndxf/>
  </rcc>
  <rcc rId="1573" sId="1" odxf="1" dxf="1">
    <nc r="K415">
      <v>0</v>
    </nc>
    <odxf/>
    <ndxf/>
  </rcc>
  <rcc rId="1574" sId="1" odxf="1" dxf="1" numFmtId="19">
    <nc r="L415">
      <v>46221.263888888891</v>
    </nc>
    <odxf/>
    <ndxf/>
  </rcc>
  <rcc rId="1575" sId="1" odxf="1" dxf="1" numFmtId="19">
    <nc r="M415">
      <v>46223.5625</v>
    </nc>
    <odxf/>
    <ndxf/>
  </rcc>
  <rfmt sheetId="1" sqref="N415" start="0" length="0">
    <dxf/>
  </rfmt>
  <rfmt sheetId="1" sqref="O415" start="0" length="0">
    <dxf/>
  </rfmt>
  <rfmt sheetId="1" sqref="P415" start="0" length="0">
    <dxf/>
  </rfmt>
  <rfmt sheetId="1" sqref="Q415" start="0" length="0">
    <dxf/>
  </rfmt>
  <rfmt sheetId="1" sqref="R415" start="0" length="0">
    <dxf/>
  </rfmt>
  <rfmt sheetId="1" sqref="S415" start="0" length="0">
    <dxf/>
  </rfmt>
  <rfmt sheetId="1" sqref="T415" start="0" length="0">
    <dxf/>
  </rfmt>
  <rfmt sheetId="1" sqref="U415" start="0" length="0">
    <dxf/>
  </rfmt>
  <rfmt sheetId="1" sqref="V415" start="0" length="0">
    <dxf/>
  </rfmt>
  <rfmt sheetId="1" sqref="W415" start="0" length="0">
    <dxf/>
  </rfmt>
  <rfmt sheetId="1" sqref="X415" start="0" length="0">
    <dxf/>
  </rfmt>
  <rfmt sheetId="1" sqref="Y415" start="0" length="0">
    <dxf/>
  </rfmt>
  <rfmt sheetId="1" sqref="Z415" start="0" length="0">
    <dxf/>
  </rfmt>
  <rcc rId="1576" sId="1" odxf="1" dxf="1">
    <nc r="AA415" t="inlineStr">
      <is>
        <t>1</t>
      </is>
    </nc>
    <odxf/>
    <ndxf/>
  </rcc>
  <rcc rId="1577" sId="1" odxf="1" dxf="1">
    <nc r="AB415" t="inlineStr">
      <is>
        <t>0</t>
      </is>
    </nc>
    <odxf/>
    <ndxf/>
  </rcc>
  <rfmt sheetId="1" sqref="A415:XFD415" start="0" length="0">
    <dxf/>
  </rfmt>
  <rcc rId="1578" sId="1" odxf="1" dxf="1">
    <nc r="A416" t="inlineStr">
      <is>
        <t>Zone 3</t>
      </is>
    </nc>
    <odxf/>
    <ndxf/>
  </rcc>
  <rcc rId="1579" sId="1" odxf="1" dxf="1">
    <nc r="B416" t="inlineStr">
      <is>
        <t>NG2</t>
      </is>
    </nc>
    <odxf/>
    <ndxf/>
  </rcc>
  <rcc rId="1580" sId="1" odxf="1" dxf="1">
    <nc r="C416">
      <v>3</v>
    </nc>
    <odxf/>
    <ndxf/>
  </rcc>
  <rfmt sheetId="1" sqref="D416" start="0" length="0">
    <dxf/>
  </rfmt>
  <rcc rId="1581" sId="1" odxf="1" dxf="1">
    <nc r="E416" t="inlineStr">
      <is>
        <t>W1027496/1</t>
      </is>
    </nc>
    <odxf/>
    <ndxf/>
  </rcc>
  <rcc rId="1582" sId="1" odxf="1" dxf="1">
    <nc r="F416" t="inlineStr">
      <is>
        <t>FLX1/10001</t>
      </is>
    </nc>
    <odxf/>
    <ndxf/>
  </rcc>
  <rcc rId="1583" sId="1" odxf="1" dxf="1">
    <nc r="G416" t="inlineStr">
      <is>
        <t>FLEX Bulk (Cup in Intimate Wrap)</t>
      </is>
    </nc>
    <odxf/>
    <ndxf/>
  </rcc>
  <rcc rId="1584" sId="1" odxf="1" dxf="1">
    <nc r="H416">
      <v>517.23</v>
    </nc>
    <odxf/>
    <ndxf/>
  </rcc>
  <rcc rId="1585" sId="1" odxf="1" dxf="1">
    <nc r="I416">
      <v>172.41</v>
    </nc>
    <odxf/>
    <ndxf/>
  </rcc>
  <rcc rId="1586" sId="1" odxf="1" dxf="1">
    <nc r="J416">
      <v>500</v>
    </nc>
    <odxf/>
    <ndxf/>
  </rcc>
  <rcc rId="1587" sId="1" odxf="1" dxf="1">
    <nc r="K416">
      <v>0</v>
    </nc>
    <odxf/>
    <ndxf/>
  </rcc>
  <rcc rId="1588" sId="1" odxf="1" dxf="1" numFmtId="19">
    <nc r="L416">
      <v>46227.3125</v>
    </nc>
    <odxf/>
    <ndxf/>
  </rcc>
  <rcc rId="1589" sId="1" odxf="1" dxf="1" numFmtId="19">
    <nc r="M416">
      <v>46234.638888888891</v>
    </nc>
    <odxf/>
    <ndxf/>
  </rcc>
  <rfmt sheetId="1" sqref="N416" start="0" length="0">
    <dxf/>
  </rfmt>
  <rfmt sheetId="1" sqref="O416" start="0" length="0">
    <dxf/>
  </rfmt>
  <rfmt sheetId="1" sqref="P416" start="0" length="0">
    <dxf/>
  </rfmt>
  <rfmt sheetId="1" sqref="Q416" start="0" length="0">
    <dxf/>
  </rfmt>
  <rfmt sheetId="1" sqref="R416" start="0" length="0">
    <dxf/>
  </rfmt>
  <rfmt sheetId="1" sqref="S416" start="0" length="0">
    <dxf/>
  </rfmt>
  <rfmt sheetId="1" sqref="T416" start="0" length="0">
    <dxf/>
  </rfmt>
  <rfmt sheetId="1" sqref="U416" start="0" length="0">
    <dxf/>
  </rfmt>
  <rfmt sheetId="1" sqref="V416" start="0" length="0">
    <dxf/>
  </rfmt>
  <rfmt sheetId="1" sqref="W416" start="0" length="0">
    <dxf/>
  </rfmt>
  <rfmt sheetId="1" sqref="X416" start="0" length="0">
    <dxf/>
  </rfmt>
  <rfmt sheetId="1" sqref="Y416" start="0" length="0">
    <dxf/>
  </rfmt>
  <rfmt sheetId="1" sqref="Z416" start="0" length="0">
    <dxf/>
  </rfmt>
  <rcc rId="1590" sId="1" odxf="1" dxf="1">
    <nc r="AA416" t="inlineStr">
      <is>
        <t>1</t>
      </is>
    </nc>
    <odxf/>
    <ndxf/>
  </rcc>
  <rcc rId="1591" sId="1" odxf="1" dxf="1">
    <nc r="AB416" t="inlineStr">
      <is>
        <t>0</t>
      </is>
    </nc>
    <odxf/>
    <ndxf/>
  </rcc>
  <rfmt sheetId="1" sqref="A416:XFD416" start="0" length="0">
    <dxf/>
  </rfmt>
  <rcc rId="1592" sId="1" odxf="1" dxf="1">
    <nc r="A417" t="inlineStr">
      <is>
        <t>Zone 3</t>
      </is>
    </nc>
    <odxf/>
    <ndxf/>
  </rcc>
  <rcc rId="1593" sId="1" odxf="1" dxf="1">
    <nc r="B417" t="inlineStr">
      <is>
        <t>NG2</t>
      </is>
    </nc>
    <odxf/>
    <ndxf/>
  </rcc>
  <rcc rId="1594" sId="1" odxf="1" dxf="1">
    <nc r="C417">
      <v>3</v>
    </nc>
    <odxf/>
    <ndxf/>
  </rcc>
  <rfmt sheetId="1" sqref="D417" start="0" length="0">
    <dxf/>
  </rfmt>
  <rcc rId="1595" sId="1" odxf="1" dxf="1">
    <nc r="E417" t="inlineStr">
      <is>
        <t>W1028750/1</t>
      </is>
    </nc>
    <odxf/>
    <ndxf/>
  </rcc>
  <rcc rId="1596" sId="1" odxf="1" dxf="1">
    <nc r="F417" t="inlineStr">
      <is>
        <t>FLX1/10001B</t>
      </is>
    </nc>
    <odxf/>
    <ndxf/>
  </rcc>
  <rcc rId="1597" sId="1" odxf="1" dxf="1">
    <nc r="G417" t="inlineStr">
      <is>
        <t>FLEX Bulk (Cup in Blank Intimate Wrap)</t>
      </is>
    </nc>
    <odxf/>
    <ndxf/>
  </rcc>
  <rcc rId="1598" sId="1" odxf="1" dxf="1">
    <nc r="H417">
      <v>382.77</v>
    </nc>
    <odxf/>
    <ndxf/>
  </rcc>
  <rcc rId="1599" sId="1" odxf="1" dxf="1">
    <nc r="I417">
      <v>127.59</v>
    </nc>
    <odxf/>
    <ndxf/>
  </rcc>
  <rcc rId="1600" sId="1" odxf="1" dxf="1">
    <nc r="J417">
      <v>370</v>
    </nc>
    <odxf/>
    <ndxf/>
  </rcc>
  <rcc rId="1601" sId="1" odxf="1" dxf="1">
    <nc r="K417">
      <v>0</v>
    </nc>
    <odxf/>
    <ndxf/>
  </rcc>
  <rcc rId="1602" sId="1" odxf="1" dxf="1" numFmtId="19">
    <nc r="L417">
      <v>46234.645833333336</v>
    </nc>
    <odxf/>
    <ndxf/>
  </rcc>
  <rcc rId="1603" sId="1" odxf="1" dxf="1" numFmtId="19">
    <nc r="M417">
      <v>46241.104166666664</v>
    </nc>
    <odxf/>
    <ndxf/>
  </rcc>
  <rfmt sheetId="1" sqref="N417" start="0" length="0">
    <dxf/>
  </rfmt>
  <rfmt sheetId="1" sqref="O417" start="0" length="0">
    <dxf/>
  </rfmt>
  <rfmt sheetId="1" sqref="P417" start="0" length="0">
    <dxf/>
  </rfmt>
  <rfmt sheetId="1" sqref="Q417" start="0" length="0">
    <dxf/>
  </rfmt>
  <rfmt sheetId="1" sqref="R417" start="0" length="0">
    <dxf/>
  </rfmt>
  <rfmt sheetId="1" sqref="S417" start="0" length="0">
    <dxf/>
  </rfmt>
  <rfmt sheetId="1" sqref="T417" start="0" length="0">
    <dxf/>
  </rfmt>
  <rfmt sheetId="1" sqref="U417" start="0" length="0">
    <dxf/>
  </rfmt>
  <rfmt sheetId="1" sqref="V417" start="0" length="0">
    <dxf/>
  </rfmt>
  <rfmt sheetId="1" sqref="W417" start="0" length="0">
    <dxf/>
  </rfmt>
  <rfmt sheetId="1" sqref="X417" start="0" length="0">
    <dxf/>
  </rfmt>
  <rfmt sheetId="1" sqref="Y417" start="0" length="0">
    <dxf/>
  </rfmt>
  <rfmt sheetId="1" sqref="Z417" start="0" length="0">
    <dxf/>
  </rfmt>
  <rcc rId="1604" sId="1" odxf="1" dxf="1">
    <nc r="AA417" t="inlineStr">
      <is>
        <t>1</t>
      </is>
    </nc>
    <odxf/>
    <ndxf/>
  </rcc>
  <rcc rId="1605" sId="1" odxf="1" dxf="1">
    <nc r="AB417" t="inlineStr">
      <is>
        <t>0</t>
      </is>
    </nc>
    <odxf/>
    <ndxf/>
  </rcc>
  <rfmt sheetId="1" sqref="A417:XFD417" start="0" length="0">
    <dxf/>
  </rfmt>
  <rcc rId="1606" sId="1" odxf="1" dxf="1">
    <nc r="A418" t="inlineStr">
      <is>
        <t>Zone 3</t>
      </is>
    </nc>
    <odxf/>
    <ndxf/>
  </rcc>
  <rcc rId="1607" sId="1" odxf="1" dxf="1">
    <nc r="B418" t="inlineStr">
      <is>
        <t>NG2</t>
      </is>
    </nc>
    <odxf/>
    <ndxf/>
  </rcc>
  <rcc rId="1608" sId="1" odxf="1" dxf="1">
    <nc r="C418">
      <v>3</v>
    </nc>
    <odxf/>
    <ndxf/>
  </rcc>
  <rfmt sheetId="1" sqref="D418" start="0" length="0">
    <dxf/>
  </rfmt>
  <rcc rId="1609" sId="1" odxf="1" dxf="1">
    <nc r="E418" t="inlineStr">
      <is>
        <t>W1025321/1</t>
      </is>
    </nc>
    <odxf/>
    <ndxf/>
  </rcc>
  <rcc rId="1610" sId="1" odxf="1" dxf="1">
    <nc r="F418" t="inlineStr">
      <is>
        <t>FLX3/10155</t>
      </is>
    </nc>
    <odxf/>
    <ndxf/>
  </rcc>
  <rcc rId="1611" sId="1" odxf="1" dxf="1">
    <nc r="G418" t="inlineStr">
      <is>
        <t>Plant + Bulk (Cup in Intimate Wrap)</t>
      </is>
    </nc>
    <odxf/>
    <ndxf/>
  </rcc>
  <rcc rId="1612" sId="1" odxf="1" dxf="1">
    <nc r="H418">
      <v>206.91</v>
    </nc>
    <odxf/>
    <ndxf/>
  </rcc>
  <rcc rId="1613" sId="1" odxf="1" dxf="1">
    <nc r="I418">
      <v>68.97</v>
    </nc>
    <odxf/>
    <ndxf/>
  </rcc>
  <rcc rId="1614" sId="1" odxf="1" dxf="1">
    <nc r="J418">
      <v>200</v>
    </nc>
    <odxf/>
    <ndxf/>
  </rcc>
  <rcc rId="1615" sId="1" odxf="1" dxf="1">
    <nc r="K418">
      <v>0</v>
    </nc>
    <odxf/>
    <ndxf/>
  </rcc>
  <rcc rId="1616" sId="1" odxf="1" dxf="1" numFmtId="19">
    <nc r="L418">
      <v>46241.111111111109</v>
    </nc>
    <odxf/>
    <ndxf/>
  </rcc>
  <rcc rId="1617" sId="1" odxf="1" dxf="1" numFmtId="19">
    <nc r="M418">
      <v>46244.125</v>
    </nc>
    <odxf/>
    <ndxf/>
  </rcc>
  <rfmt sheetId="1" sqref="N418" start="0" length="0">
    <dxf/>
  </rfmt>
  <rfmt sheetId="1" sqref="O418" start="0" length="0">
    <dxf/>
  </rfmt>
  <rfmt sheetId="1" sqref="P418" start="0" length="0">
    <dxf/>
  </rfmt>
  <rfmt sheetId="1" sqref="Q418" start="0" length="0">
    <dxf/>
  </rfmt>
  <rfmt sheetId="1" sqref="R418" start="0" length="0">
    <dxf/>
  </rfmt>
  <rfmt sheetId="1" sqref="S418" start="0" length="0">
    <dxf/>
  </rfmt>
  <rfmt sheetId="1" sqref="T418" start="0" length="0">
    <dxf/>
  </rfmt>
  <rfmt sheetId="1" sqref="U418" start="0" length="0">
    <dxf/>
  </rfmt>
  <rfmt sheetId="1" sqref="V418" start="0" length="0">
    <dxf/>
  </rfmt>
  <rfmt sheetId="1" sqref="W418" start="0" length="0">
    <dxf/>
  </rfmt>
  <rfmt sheetId="1" sqref="X418" start="0" length="0">
    <dxf/>
  </rfmt>
  <rfmt sheetId="1" sqref="Y418" start="0" length="0">
    <dxf/>
  </rfmt>
  <rfmt sheetId="1" sqref="Z418" start="0" length="0">
    <dxf/>
  </rfmt>
  <rcc rId="1618" sId="1" odxf="1" dxf="1">
    <nc r="AA418" t="inlineStr">
      <is>
        <t>1</t>
      </is>
    </nc>
    <odxf/>
    <ndxf/>
  </rcc>
  <rcc rId="1619" sId="1" odxf="1" dxf="1">
    <nc r="AB418" t="inlineStr">
      <is>
        <t>0</t>
      </is>
    </nc>
    <odxf/>
    <ndxf/>
  </rcc>
  <rfmt sheetId="1" sqref="A418:XFD418" start="0" length="0">
    <dxf/>
  </rfmt>
  <rcc rId="1620" sId="1" odxf="1" dxf="1">
    <nc r="A419" t="inlineStr">
      <is>
        <t>Zone 3</t>
      </is>
    </nc>
    <odxf/>
    <ndxf/>
  </rcc>
  <rcc rId="1621" sId="1" odxf="1" dxf="1">
    <nc r="B419" t="inlineStr">
      <is>
        <t>NG2</t>
      </is>
    </nc>
    <odxf/>
    <ndxf/>
  </rcc>
  <rcc rId="1622" sId="1" odxf="1" dxf="1">
    <nc r="C419">
      <v>3</v>
    </nc>
    <odxf/>
    <ndxf/>
  </rcc>
  <rfmt sheetId="1" sqref="D419" start="0" length="0">
    <dxf/>
  </rfmt>
  <rcc rId="1623" sId="1" odxf="1" dxf="1">
    <nc r="E419" t="inlineStr">
      <is>
        <t>W1027497/1</t>
      </is>
    </nc>
    <odxf/>
    <ndxf/>
  </rcc>
  <rcc rId="1624" sId="1" odxf="1" dxf="1">
    <nc r="F419" t="inlineStr">
      <is>
        <t>FLX1/10001</t>
      </is>
    </nc>
    <odxf/>
    <ndxf/>
  </rcc>
  <rcc rId="1625" sId="1" odxf="1" dxf="1">
    <nc r="G419" t="inlineStr">
      <is>
        <t>FLEX Bulk (Cup in Intimate Wrap)</t>
      </is>
    </nc>
    <odxf/>
    <ndxf/>
  </rcc>
  <rcc rId="1626" sId="1" odxf="1" dxf="1">
    <nc r="H419">
      <v>517.23</v>
    </nc>
    <odxf/>
    <ndxf/>
  </rcc>
  <rcc rId="1627" sId="1" odxf="1" dxf="1">
    <nc r="I419">
      <v>172.41</v>
    </nc>
    <odxf/>
    <ndxf/>
  </rcc>
  <rcc rId="1628" sId="1" odxf="1" dxf="1">
    <nc r="J419">
      <v>500</v>
    </nc>
    <odxf/>
    <ndxf/>
  </rcc>
  <rcc rId="1629" sId="1" odxf="1" dxf="1">
    <nc r="K419">
      <v>0</v>
    </nc>
    <odxf/>
    <ndxf/>
  </rcc>
  <rcc rId="1630" sId="1" odxf="1" dxf="1" numFmtId="19">
    <nc r="L419">
      <v>46244.131944444445</v>
    </nc>
    <odxf/>
    <ndxf/>
  </rcc>
  <rcc rId="1631" sId="1" odxf="1" dxf="1" numFmtId="19">
    <nc r="M419">
      <v>46251.458333333336</v>
    </nc>
    <odxf/>
    <ndxf/>
  </rcc>
  <rfmt sheetId="1" sqref="N419" start="0" length="0">
    <dxf/>
  </rfmt>
  <rfmt sheetId="1" sqref="O419" start="0" length="0">
    <dxf/>
  </rfmt>
  <rfmt sheetId="1" sqref="P419" start="0" length="0">
    <dxf/>
  </rfmt>
  <rfmt sheetId="1" sqref="Q419" start="0" length="0">
    <dxf/>
  </rfmt>
  <rfmt sheetId="1" sqref="R419" start="0" length="0">
    <dxf/>
  </rfmt>
  <rfmt sheetId="1" sqref="S419" start="0" length="0">
    <dxf/>
  </rfmt>
  <rfmt sheetId="1" sqref="T419" start="0" length="0">
    <dxf/>
  </rfmt>
  <rfmt sheetId="1" sqref="U419" start="0" length="0">
    <dxf/>
  </rfmt>
  <rfmt sheetId="1" sqref="V419" start="0" length="0">
    <dxf/>
  </rfmt>
  <rfmt sheetId="1" sqref="W419" start="0" length="0">
    <dxf/>
  </rfmt>
  <rfmt sheetId="1" sqref="X419" start="0" length="0">
    <dxf/>
  </rfmt>
  <rfmt sheetId="1" sqref="Y419" start="0" length="0">
    <dxf/>
  </rfmt>
  <rfmt sheetId="1" sqref="Z419" start="0" length="0">
    <dxf/>
  </rfmt>
  <rcc rId="1632" sId="1" odxf="1" dxf="1">
    <nc r="AA419" t="inlineStr">
      <is>
        <t>1</t>
      </is>
    </nc>
    <odxf/>
    <ndxf/>
  </rcc>
  <rcc rId="1633" sId="1" odxf="1" dxf="1">
    <nc r="AB419" t="inlineStr">
      <is>
        <t>0</t>
      </is>
    </nc>
    <odxf/>
    <ndxf/>
  </rcc>
  <rfmt sheetId="1" sqref="A419:XFD419" start="0" length="0">
    <dxf/>
  </rfmt>
  <rcc rId="1634" sId="1" odxf="1" dxf="1">
    <nc r="A420" t="inlineStr">
      <is>
        <t>Zone 3</t>
      </is>
    </nc>
    <odxf/>
    <ndxf/>
  </rcc>
  <rcc rId="1635" sId="1" odxf="1" dxf="1">
    <nc r="B420" t="inlineStr">
      <is>
        <t>NG2</t>
      </is>
    </nc>
    <odxf/>
    <ndxf/>
  </rcc>
  <rcc rId="1636" sId="1" odxf="1" dxf="1">
    <nc r="C420">
      <v>3</v>
    </nc>
    <odxf/>
    <ndxf/>
  </rcc>
  <rfmt sheetId="1" sqref="D420" start="0" length="0">
    <dxf/>
  </rfmt>
  <rcc rId="1637" sId="1" odxf="1" dxf="1">
    <nc r="E420" t="inlineStr">
      <is>
        <t>W1027500/1</t>
      </is>
    </nc>
    <odxf/>
    <ndxf/>
  </rcc>
  <rcc rId="1638" sId="1" odxf="1" dxf="1">
    <nc r="F420" t="inlineStr">
      <is>
        <t>FLX1/10001</t>
      </is>
    </nc>
    <odxf/>
    <ndxf/>
  </rcc>
  <rcc rId="1639" sId="1" odxf="1" dxf="1">
    <nc r="G420" t="inlineStr">
      <is>
        <t>FLEX Bulk (Cup in Intimate Wrap)</t>
      </is>
    </nc>
    <odxf/>
    <ndxf/>
  </rcc>
  <rcc rId="1640" sId="1" odxf="1" dxf="1">
    <nc r="H420">
      <v>517.23</v>
    </nc>
    <odxf/>
    <ndxf/>
  </rcc>
  <rcc rId="1641" sId="1" odxf="1" dxf="1">
    <nc r="I420">
      <v>172.41</v>
    </nc>
    <odxf/>
    <ndxf/>
  </rcc>
  <rcc rId="1642" sId="1" odxf="1" dxf="1">
    <nc r="J420">
      <v>500</v>
    </nc>
    <odxf/>
    <ndxf/>
  </rcc>
  <rcc rId="1643" sId="1" odxf="1" dxf="1">
    <nc r="K420">
      <v>0</v>
    </nc>
    <odxf/>
    <ndxf/>
  </rcc>
  <rcc rId="1644" sId="1" odxf="1" dxf="1" numFmtId="19">
    <nc r="L420">
      <v>46251.465277777781</v>
    </nc>
    <odxf/>
    <ndxf/>
  </rcc>
  <rcc rId="1645" sId="1" odxf="1" dxf="1" numFmtId="19">
    <nc r="M420">
      <v>46258.791666666664</v>
    </nc>
    <odxf/>
    <ndxf/>
  </rcc>
  <rfmt sheetId="1" sqref="N420" start="0" length="0">
    <dxf/>
  </rfmt>
  <rfmt sheetId="1" sqref="O420" start="0" length="0">
    <dxf/>
  </rfmt>
  <rfmt sheetId="1" sqref="P420" start="0" length="0">
    <dxf/>
  </rfmt>
  <rfmt sheetId="1" sqref="Q420" start="0" length="0">
    <dxf/>
  </rfmt>
  <rfmt sheetId="1" sqref="R420" start="0" length="0">
    <dxf/>
  </rfmt>
  <rfmt sheetId="1" sqref="S420" start="0" length="0">
    <dxf/>
  </rfmt>
  <rfmt sheetId="1" sqref="T420" start="0" length="0">
    <dxf/>
  </rfmt>
  <rfmt sheetId="1" sqref="U420" start="0" length="0">
    <dxf/>
  </rfmt>
  <rfmt sheetId="1" sqref="V420" start="0" length="0">
    <dxf/>
  </rfmt>
  <rfmt sheetId="1" sqref="W420" start="0" length="0">
    <dxf/>
  </rfmt>
  <rfmt sheetId="1" sqref="X420" start="0" length="0">
    <dxf/>
  </rfmt>
  <rfmt sheetId="1" sqref="Y420" start="0" length="0">
    <dxf/>
  </rfmt>
  <rfmt sheetId="1" sqref="Z420" start="0" length="0">
    <dxf/>
  </rfmt>
  <rcc rId="1646" sId="1" odxf="1" dxf="1">
    <nc r="AA420" t="inlineStr">
      <is>
        <t>1</t>
      </is>
    </nc>
    <odxf/>
    <ndxf/>
  </rcc>
  <rcc rId="1647" sId="1" odxf="1" dxf="1">
    <nc r="AB420" t="inlineStr">
      <is>
        <t>0</t>
      </is>
    </nc>
    <odxf/>
    <ndxf/>
  </rcc>
  <rfmt sheetId="1" sqref="A420:XFD420" start="0" length="0">
    <dxf/>
  </rfmt>
  <rcc rId="1648" sId="1" odxf="1" dxf="1">
    <nc r="A421" t="inlineStr">
      <is>
        <t>Zone 3</t>
      </is>
    </nc>
    <odxf/>
    <ndxf/>
  </rcc>
  <rcc rId="1649" sId="1" odxf="1" dxf="1">
    <nc r="B421" t="inlineStr">
      <is>
        <t>NG2</t>
      </is>
    </nc>
    <odxf/>
    <ndxf/>
  </rcc>
  <rcc rId="1650" sId="1" odxf="1" dxf="1">
    <nc r="C421">
      <v>3</v>
    </nc>
    <odxf/>
    <ndxf/>
  </rcc>
  <rfmt sheetId="1" sqref="D421" start="0" length="0">
    <dxf/>
  </rfmt>
  <rcc rId="1651" sId="1" odxf="1" dxf="1">
    <nc r="E421" t="inlineStr">
      <is>
        <t>W1029877/1</t>
      </is>
    </nc>
    <odxf/>
    <ndxf/>
  </rcc>
  <rcc rId="1652" sId="1" odxf="1" dxf="1">
    <nc r="F421" t="inlineStr">
      <is>
        <t>INS1/00002</t>
      </is>
    </nc>
    <odxf/>
    <ndxf/>
  </rcc>
  <rcc rId="1653" sId="1" odxf="1" dxf="1">
    <nc r="G421" t="inlineStr">
      <is>
        <t>Softdisc Bulk (Purple Intimate Wrap)</t>
      </is>
    </nc>
    <odxf/>
    <ndxf/>
  </rcc>
  <rcc rId="1654" sId="1" odxf="1" dxf="1">
    <nc r="H421">
      <v>382.77</v>
    </nc>
    <odxf/>
    <ndxf/>
  </rcc>
  <rcc rId="1655" sId="1" odxf="1" dxf="1">
    <nc r="I421">
      <v>127.59</v>
    </nc>
    <odxf/>
    <ndxf/>
  </rcc>
  <rcc rId="1656" sId="1" odxf="1" dxf="1">
    <nc r="J421">
      <v>370</v>
    </nc>
    <odxf/>
    <ndxf/>
  </rcc>
  <rcc rId="1657" sId="1" odxf="1" dxf="1">
    <nc r="K421">
      <v>0</v>
    </nc>
    <odxf/>
    <ndxf/>
  </rcc>
  <rcc rId="1658" sId="1" odxf="1" dxf="1" numFmtId="19">
    <nc r="L421">
      <v>46258.798611111109</v>
    </nc>
    <odxf/>
    <ndxf/>
  </rcc>
  <rcc rId="1659" sId="1" odxf="1" dxf="1" numFmtId="19">
    <nc r="M421">
      <v>46264.256944444445</v>
    </nc>
    <odxf/>
    <ndxf/>
  </rcc>
  <rfmt sheetId="1" sqref="N421" start="0" length="0">
    <dxf/>
  </rfmt>
  <rfmt sheetId="1" sqref="O421" start="0" length="0">
    <dxf/>
  </rfmt>
  <rfmt sheetId="1" sqref="P421" start="0" length="0">
    <dxf/>
  </rfmt>
  <rfmt sheetId="1" sqref="Q421" start="0" length="0">
    <dxf/>
  </rfmt>
  <rfmt sheetId="1" sqref="R421" start="0" length="0">
    <dxf/>
  </rfmt>
  <rfmt sheetId="1" sqref="S421" start="0" length="0">
    <dxf/>
  </rfmt>
  <rfmt sheetId="1" sqref="T421" start="0" length="0">
    <dxf/>
  </rfmt>
  <rfmt sheetId="1" sqref="U421" start="0" length="0">
    <dxf/>
  </rfmt>
  <rfmt sheetId="1" sqref="V421" start="0" length="0">
    <dxf/>
  </rfmt>
  <rfmt sheetId="1" sqref="W421" start="0" length="0">
    <dxf/>
  </rfmt>
  <rfmt sheetId="1" sqref="X421" start="0" length="0">
    <dxf/>
  </rfmt>
  <rfmt sheetId="1" sqref="Y421" start="0" length="0">
    <dxf/>
  </rfmt>
  <rfmt sheetId="1" sqref="Z421" start="0" length="0">
    <dxf/>
  </rfmt>
  <rcc rId="1660" sId="1" odxf="1" dxf="1">
    <nc r="AA421" t="inlineStr">
      <is>
        <t>1</t>
      </is>
    </nc>
    <odxf/>
    <ndxf/>
  </rcc>
  <rcc rId="1661" sId="1" odxf="1" dxf="1">
    <nc r="AB421" t="inlineStr">
      <is>
        <t>0</t>
      </is>
    </nc>
    <odxf/>
    <ndxf/>
  </rcc>
  <rfmt sheetId="1" sqref="A421:XFD421" start="0" length="0">
    <dxf/>
  </rfmt>
  <rcc rId="1662" sId="1" odxf="1" dxf="1">
    <nc r="A422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663" sId="1" odxf="1" dxf="1">
    <nc r="B422" t="inlineStr">
      <is>
        <t>NG2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664" sId="1" odxf="1" dxf="1">
    <nc r="C422">
      <v>3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D422" start="0" length="0">
    <dxf>
      <border outline="0">
        <bottom style="medium">
          <color indexed="64"/>
        </bottom>
      </border>
    </dxf>
  </rfmt>
  <rcc rId="1665" sId="1" odxf="1" dxf="1">
    <nc r="E422" t="inlineStr">
      <is>
        <t>W1028749/1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666" sId="1" odxf="1" dxf="1">
    <nc r="F422" t="inlineStr">
      <is>
        <t>FLX1/10001B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667" sId="1" odxf="1" dxf="1">
    <nc r="G422" t="inlineStr">
      <is>
        <t>FLEX Bulk (Cup in Blank Intimate Wrap)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668" sId="1" odxf="1" dxf="1">
    <nc r="H422">
      <v>362.07</v>
    </nc>
    <odxf>
      <border outline="0">
        <bottom/>
      </border>
    </odxf>
    <ndxf>
      <border outline="0">
        <bottom style="medium">
          <color indexed="64"/>
        </bottom>
      </border>
    </ndxf>
  </rcc>
  <rcc rId="1669" sId="1" odxf="1" dxf="1">
    <nc r="I422">
      <v>120.69</v>
    </nc>
    <odxf>
      <border outline="0">
        <bottom/>
      </border>
    </odxf>
    <ndxf>
      <border outline="0">
        <bottom style="medium">
          <color indexed="64"/>
        </bottom>
      </border>
    </ndxf>
  </rcc>
  <rcc rId="1670" sId="1" odxf="1" dxf="1">
    <nc r="J422">
      <v>350</v>
    </nc>
    <odxf>
      <border outline="0">
        <bottom/>
      </border>
    </odxf>
    <ndxf>
      <border outline="0">
        <bottom style="medium">
          <color indexed="64"/>
        </bottom>
      </border>
    </ndxf>
  </rcc>
  <rcc rId="1671" sId="1" odxf="1" dxf="1">
    <nc r="K422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1672" sId="1" odxf="1" dxf="1" numFmtId="19">
    <nc r="L422">
      <v>46266</v>
    </nc>
    <odxf>
      <border outline="0">
        <bottom/>
      </border>
    </odxf>
    <ndxf>
      <border outline="0">
        <bottom style="medium">
          <color indexed="64"/>
        </bottom>
      </border>
    </ndxf>
  </rcc>
  <rcc rId="1673" sId="1" odxf="1" dxf="1" numFmtId="19">
    <nc r="M422">
      <v>46271.173611111109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422" start="0" length="0">
    <dxf>
      <border outline="0">
        <bottom style="medium">
          <color indexed="64"/>
        </bottom>
      </border>
    </dxf>
  </rfmt>
  <rfmt sheetId="1" sqref="O422" start="0" length="0">
    <dxf>
      <border outline="0">
        <bottom style="medium">
          <color indexed="64"/>
        </bottom>
      </border>
    </dxf>
  </rfmt>
  <rfmt sheetId="1" sqref="P422" start="0" length="0">
    <dxf>
      <border outline="0">
        <bottom style="medium">
          <color indexed="64"/>
        </bottom>
      </border>
    </dxf>
  </rfmt>
  <rfmt sheetId="1" sqref="Q422" start="0" length="0">
    <dxf>
      <border outline="0">
        <bottom style="medium">
          <color indexed="64"/>
        </bottom>
      </border>
    </dxf>
  </rfmt>
  <rfmt sheetId="1" sqref="R422" start="0" length="0">
    <dxf>
      <border outline="0">
        <bottom style="medium">
          <color indexed="64"/>
        </bottom>
      </border>
    </dxf>
  </rfmt>
  <rfmt sheetId="1" sqref="S422" start="0" length="0">
    <dxf>
      <border outline="0">
        <bottom style="medium">
          <color indexed="64"/>
        </bottom>
      </border>
    </dxf>
  </rfmt>
  <rfmt sheetId="1" sqref="T422" start="0" length="0">
    <dxf>
      <border outline="0">
        <bottom style="medium">
          <color indexed="64"/>
        </bottom>
      </border>
    </dxf>
  </rfmt>
  <rfmt sheetId="1" sqref="U422" start="0" length="0">
    <dxf>
      <border outline="0">
        <bottom style="medium">
          <color indexed="64"/>
        </bottom>
      </border>
    </dxf>
  </rfmt>
  <rfmt sheetId="1" sqref="V422" start="0" length="0">
    <dxf>
      <border outline="0">
        <bottom style="medium">
          <color indexed="64"/>
        </bottom>
      </border>
    </dxf>
  </rfmt>
  <rfmt sheetId="1" sqref="W422" start="0" length="0">
    <dxf>
      <border outline="0">
        <bottom style="medium">
          <color indexed="64"/>
        </bottom>
      </border>
    </dxf>
  </rfmt>
  <rfmt sheetId="1" sqref="X422" start="0" length="0">
    <dxf>
      <border outline="0">
        <bottom style="medium">
          <color indexed="64"/>
        </bottom>
      </border>
    </dxf>
  </rfmt>
  <rfmt sheetId="1" sqref="Y422" start="0" length="0">
    <dxf>
      <border outline="0">
        <bottom style="medium">
          <color indexed="64"/>
        </bottom>
      </border>
    </dxf>
  </rfmt>
  <rfmt sheetId="1" sqref="Z422" start="0" length="0">
    <dxf>
      <border outline="0">
        <bottom style="medium">
          <color indexed="64"/>
        </bottom>
      </border>
    </dxf>
  </rfmt>
  <rcc rId="1674" sId="1" odxf="1" dxf="1">
    <nc r="AA422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1675" sId="1" odxf="1" dxf="1">
    <nc r="AB422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422:XFD422" start="0" length="0">
    <dxf>
      <border outline="0">
        <bottom style="medium">
          <color indexed="64"/>
        </bottom>
      </border>
    </dxf>
  </rfmt>
  <rrc rId="1676" sId="1" ref="A423:XFD423" action="deleteRow">
    <rfmt sheetId="1" xfDxf="1" sqref="A423:XFD423" start="0" length="0"/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77" sId="1" ref="A423:XFD423" action="deleteRow">
    <rfmt sheetId="1" xfDxf="1" sqref="A423:XFD423" start="0" length="0"/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78" sId="1" ref="A423:XFD423" action="deleteRow">
    <rfmt sheetId="1" xfDxf="1" sqref="A423:XFD423" start="0" length="0"/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79" sId="1" ref="A423:XFD423" action="deleteRow">
    <rfmt sheetId="1" xfDxf="1" sqref="A423:XFD423" start="0" length="0"/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80" sId="1" ref="A423:XFD423" action="deleteRow">
    <rfmt sheetId="1" xfDxf="1" sqref="A423:XFD423" start="0" length="0"/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81" sId="1" ref="A423:XFD423" action="deleteRow">
    <rfmt sheetId="1" xfDxf="1" sqref="A423:XFD423" start="0" length="0">
      <dxf/>
    </rfmt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82" sId="1" ref="A423:XFD423" action="deleteRow">
    <rfmt sheetId="1" xfDxf="1" sqref="A423:XFD423" start="0" length="0"/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83" sId="1" ref="A423:XFD423" action="deleteRow">
    <rfmt sheetId="1" xfDxf="1" sqref="A423:XFD423" start="0" length="0"/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84" sId="1" ref="A423:XFD423" action="deleteRow">
    <rfmt sheetId="1" xfDxf="1" sqref="A423:XFD423" start="0" length="0"/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85" sId="1" ref="A423:XFD423" action="deleteRow">
    <rfmt sheetId="1" xfDxf="1" sqref="A423:XFD423" start="0" length="0"/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86" sId="1" ref="A423:XFD423" action="deleteRow">
    <rfmt sheetId="1" xfDxf="1" sqref="A423:XFD423" start="0" length="0"/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87" sId="1" ref="A423:XFD423" action="deleteRow">
    <rfmt sheetId="1" xfDxf="1" sqref="A423:XFD423" start="0" length="0"/>
    <rfmt sheetId="1" sqref="L423" start="0" length="0">
      <dxf>
        <numFmt numFmtId="164" formatCode="mm\-dd\-yyyy"/>
      </dxf>
    </rfmt>
    <rfmt sheetId="1" sqref="M423" start="0" length="0">
      <dxf>
        <numFmt numFmtId="164" formatCode="mm\-dd\-yyyy"/>
      </dxf>
    </rfmt>
  </rrc>
  <rrc rId="1688" sId="1" ref="A565:XFD565" action="deleteRow">
    <rfmt sheetId="1" xfDxf="1" sqref="A565:XFD565" start="0" length="0">
      <dxf>
        <fill>
          <patternFill patternType="solid">
            <bgColor rgb="FFFFFF00"/>
          </patternFill>
        </fill>
      </dxf>
    </rfmt>
    <rcc rId="0" sId="1">
      <nc r="A565" t="inlineStr">
        <is>
          <t>Zone 3</t>
        </is>
      </nc>
    </rcc>
    <rcc rId="0" sId="1">
      <nc r="B565" t="inlineStr">
        <is>
          <t>NG2</t>
        </is>
      </nc>
    </rcc>
    <rcc rId="0" sId="1">
      <nc r="C565">
        <v>3</v>
      </nc>
    </rcc>
    <rcc rId="0" sId="1">
      <nc r="E565" t="inlineStr">
        <is>
          <t>W1028748/1</t>
        </is>
      </nc>
    </rcc>
    <rcc rId="0" sId="1">
      <nc r="F565" t="inlineStr">
        <is>
          <t>FLX1/10001</t>
        </is>
      </nc>
    </rcc>
    <rcc rId="0" sId="1">
      <nc r="G565" t="inlineStr">
        <is>
          <t>FLEX Bulk (Cup in Intimate Wrap)</t>
        </is>
      </nc>
    </rcc>
    <rcc rId="0" sId="1">
      <nc r="H565">
        <v>387.93</v>
      </nc>
    </rcc>
    <rcc rId="0" sId="1">
      <nc r="I565">
        <v>129.31</v>
      </nc>
    </rcc>
    <rcc rId="0" sId="1">
      <nc r="J565">
        <v>375</v>
      </nc>
    </rcc>
    <rcc rId="0" sId="1">
      <nc r="K565">
        <v>0</v>
      </nc>
    </rcc>
    <rcc rId="0" sId="1" dxf="1" numFmtId="19">
      <nc r="L565">
        <v>46203.395833333336</v>
      </nc>
      <ndxf>
        <numFmt numFmtId="164" formatCode="mm\-dd\-yyyy"/>
      </ndxf>
    </rcc>
    <rcc rId="0" sId="1" dxf="1" numFmtId="19">
      <nc r="M565">
        <v>46213.923611111109</v>
      </nc>
      <ndxf>
        <numFmt numFmtId="164" formatCode="mm\-dd\-yyyy"/>
      </ndxf>
    </rcc>
    <rcc rId="0" sId="1">
      <nc r="O565" t="inlineStr">
        <is>
          <t>p</t>
        </is>
      </nc>
    </rcc>
    <rcc rId="0" sId="1">
      <nc r="AA565" t="inlineStr">
        <is>
          <t>1</t>
        </is>
      </nc>
    </rcc>
    <rcc rId="0" sId="1">
      <nc r="AB565" t="inlineStr">
        <is>
          <t>0</t>
        </is>
      </nc>
    </rcc>
  </rrc>
  <rrc rId="1689" sId="1" ref="A565:XFD565" action="deleteRow">
    <rfmt sheetId="1" xfDxf="1" sqref="A565:XFD565" start="0" length="0"/>
    <rcc rId="0" sId="1">
      <nc r="A565" t="inlineStr">
        <is>
          <t>Zone 3</t>
        </is>
      </nc>
    </rcc>
    <rcc rId="0" sId="1">
      <nc r="B565" t="inlineStr">
        <is>
          <t>NG2</t>
        </is>
      </nc>
    </rcc>
    <rcc rId="0" sId="1">
      <nc r="C565">
        <v>3</v>
      </nc>
    </rcc>
    <rcc rId="0" sId="1">
      <nc r="E565" t="inlineStr">
        <is>
          <t>W1027495/1</t>
        </is>
      </nc>
    </rcc>
    <rcc rId="0" sId="1">
      <nc r="F565" t="inlineStr">
        <is>
          <t>FLX1/10001</t>
        </is>
      </nc>
    </rcc>
    <rcc rId="0" sId="1">
      <nc r="G565" t="inlineStr">
        <is>
          <t>FLEX Bulk (Cup in Intimate Wrap)</t>
        </is>
      </nc>
    </rcc>
    <rcc rId="0" sId="1">
      <nc r="H565">
        <v>517.23</v>
      </nc>
    </rcc>
    <rcc rId="0" sId="1">
      <nc r="I565">
        <v>172.41</v>
      </nc>
    </rcc>
    <rcc rId="0" sId="1">
      <nc r="J565">
        <v>500</v>
      </nc>
    </rcc>
    <rcc rId="0" sId="1">
      <nc r="K565">
        <v>0</v>
      </nc>
    </rcc>
    <rcc rId="0" sId="1" dxf="1" numFmtId="19">
      <nc r="L565">
        <v>46213.930555555555</v>
      </nc>
      <ndxf>
        <numFmt numFmtId="164" formatCode="mm\-dd\-yyyy"/>
      </ndxf>
    </rcc>
    <rcc rId="0" sId="1" dxf="1" numFmtId="19">
      <nc r="M565">
        <v>46221.256944444445</v>
      </nc>
      <ndxf>
        <numFmt numFmtId="164" formatCode="mm\-dd\-yyyy"/>
      </ndxf>
    </rcc>
    <rcc rId="0" sId="1">
      <nc r="O565" t="inlineStr">
        <is>
          <t>p</t>
        </is>
      </nc>
    </rcc>
    <rcc rId="0" sId="1">
      <nc r="AA565" t="inlineStr">
        <is>
          <t>1</t>
        </is>
      </nc>
    </rcc>
    <rcc rId="0" sId="1">
      <nc r="AB565" t="inlineStr">
        <is>
          <t>0</t>
        </is>
      </nc>
    </rcc>
  </rrc>
  <rrc rId="1690" sId="1" ref="A565:XFD565" action="deleteRow">
    <rfmt sheetId="1" xfDxf="1" sqref="A565:XFD565" start="0" length="0"/>
    <rcc rId="0" sId="1">
      <nc r="A565" t="inlineStr">
        <is>
          <t>Zone 3</t>
        </is>
      </nc>
    </rcc>
    <rcc rId="0" sId="1">
      <nc r="B565" t="inlineStr">
        <is>
          <t>NG2</t>
        </is>
      </nc>
    </rcc>
    <rcc rId="0" sId="1">
      <nc r="C565">
        <v>3</v>
      </nc>
    </rcc>
    <rcc rId="0" sId="1">
      <nc r="E565" t="inlineStr">
        <is>
          <t>W1019433/1</t>
        </is>
      </nc>
    </rcc>
    <rcc rId="0" sId="1">
      <nc r="F565" t="inlineStr">
        <is>
          <t>FLX3/10155</t>
        </is>
      </nc>
    </rcc>
    <rcc rId="0" sId="1">
      <nc r="G565" t="inlineStr">
        <is>
          <t>Plant + Bulk (Cup in Intimate Wrap)</t>
        </is>
      </nc>
    </rcc>
    <rcc rId="0" sId="1">
      <nc r="H565">
        <v>206.91</v>
      </nc>
    </rcc>
    <rcc rId="0" sId="1">
      <nc r="I565">
        <v>68.97</v>
      </nc>
    </rcc>
    <rcc rId="0" sId="1">
      <nc r="J565">
        <v>200</v>
      </nc>
    </rcc>
    <rcc rId="0" sId="1">
      <nc r="K565">
        <v>0</v>
      </nc>
    </rcc>
    <rcc rId="0" sId="1" dxf="1" numFmtId="19">
      <nc r="L565">
        <v>46197.354166666664</v>
      </nc>
      <ndxf>
        <numFmt numFmtId="164" formatCode="mm\-dd\-yyyy"/>
      </ndxf>
    </rcc>
    <rcc rId="0" sId="1" dxf="1" numFmtId="19">
      <nc r="M565">
        <v>46200.368055555555</v>
      </nc>
      <ndxf>
        <numFmt numFmtId="164" formatCode="mm\-dd\-yyyy"/>
      </ndxf>
    </rcc>
    <rcc rId="0" sId="1">
      <nc r="AA565" t="inlineStr">
        <is>
          <t>1</t>
        </is>
      </nc>
    </rcc>
    <rcc rId="0" sId="1">
      <nc r="AB565" t="inlineStr">
        <is>
          <t>0</t>
        </is>
      </nc>
    </rcc>
  </rrc>
  <rrc rId="1691" sId="1" ref="A565:XFD565" action="deleteRow">
    <rfmt sheetId="1" xfDxf="1" sqref="A565:XFD565" start="0" length="0"/>
    <rcc rId="0" sId="1">
      <nc r="A565" t="inlineStr">
        <is>
          <t>Zone 3</t>
        </is>
      </nc>
    </rcc>
    <rcc rId="0" sId="1">
      <nc r="B565" t="inlineStr">
        <is>
          <t>NG2</t>
        </is>
      </nc>
    </rcc>
    <rcc rId="0" sId="1">
      <nc r="C565">
        <v>3</v>
      </nc>
    </rcc>
    <rcc rId="0" sId="1">
      <nc r="E565" t="inlineStr">
        <is>
          <t>W1027816/1</t>
        </is>
      </nc>
    </rcc>
    <rcc rId="0" sId="1">
      <nc r="F565" t="inlineStr">
        <is>
          <t>FLX3/10155</t>
        </is>
      </nc>
    </rcc>
    <rcc rId="0" sId="1">
      <nc r="G565" t="inlineStr">
        <is>
          <t>Plant + Bulk (Cup in Intimate Wrap)</t>
        </is>
      </nc>
    </rcc>
    <rcc rId="0" sId="1">
      <nc r="H565">
        <v>155.16</v>
      </nc>
    </rcc>
    <rcc rId="0" sId="1">
      <nc r="I565">
        <v>51.72</v>
      </nc>
    </rcc>
    <rcc rId="0" sId="1">
      <nc r="J565">
        <v>150</v>
      </nc>
    </rcc>
    <rcc rId="0" sId="1">
      <nc r="K565">
        <v>0</v>
      </nc>
    </rcc>
    <rcc rId="0" sId="1" dxf="1" numFmtId="19">
      <nc r="L565">
        <v>46221.263888888891</v>
      </nc>
      <ndxf>
        <numFmt numFmtId="164" formatCode="mm\-dd\-yyyy"/>
      </ndxf>
    </rcc>
    <rcc rId="0" sId="1" dxf="1" numFmtId="19">
      <nc r="M565">
        <v>46223.5625</v>
      </nc>
      <ndxf>
        <numFmt numFmtId="164" formatCode="mm\-dd\-yyyy"/>
      </ndxf>
    </rcc>
    <rcc rId="0" sId="1">
      <nc r="AA565" t="inlineStr">
        <is>
          <t>1</t>
        </is>
      </nc>
    </rcc>
    <rcc rId="0" sId="1">
      <nc r="AB565" t="inlineStr">
        <is>
          <t>0</t>
        </is>
      </nc>
    </rcc>
  </rrc>
  <rrc rId="1692" sId="1" ref="A565:XFD565" action="deleteRow">
    <rfmt sheetId="1" xfDxf="1" sqref="A565:XFD565" start="0" length="0"/>
    <rcc rId="0" sId="1">
      <nc r="A565" t="inlineStr">
        <is>
          <t>Zone 3</t>
        </is>
      </nc>
    </rcc>
    <rcc rId="0" sId="1">
      <nc r="B565" t="inlineStr">
        <is>
          <t>NG2</t>
        </is>
      </nc>
    </rcc>
    <rcc rId="0" sId="1">
      <nc r="C565">
        <v>3</v>
      </nc>
    </rcc>
    <rcc rId="0" sId="1">
      <nc r="E565" t="inlineStr">
        <is>
          <t>W1027496/1</t>
        </is>
      </nc>
    </rcc>
    <rcc rId="0" sId="1">
      <nc r="F565" t="inlineStr">
        <is>
          <t>FLX1/10001</t>
        </is>
      </nc>
    </rcc>
    <rcc rId="0" sId="1">
      <nc r="G565" t="inlineStr">
        <is>
          <t>FLEX Bulk (Cup in Intimate Wrap)</t>
        </is>
      </nc>
    </rcc>
    <rcc rId="0" sId="1">
      <nc r="H565">
        <v>517.23</v>
      </nc>
    </rcc>
    <rcc rId="0" sId="1">
      <nc r="I565">
        <v>172.41</v>
      </nc>
    </rcc>
    <rcc rId="0" sId="1">
      <nc r="J565">
        <v>500</v>
      </nc>
    </rcc>
    <rcc rId="0" sId="1">
      <nc r="K565">
        <v>0</v>
      </nc>
    </rcc>
    <rcc rId="0" sId="1" dxf="1" numFmtId="19">
      <nc r="L565">
        <v>46227.3125</v>
      </nc>
      <ndxf>
        <numFmt numFmtId="164" formatCode="mm\-dd\-yyyy"/>
      </ndxf>
    </rcc>
    <rcc rId="0" sId="1" dxf="1" numFmtId="19">
      <nc r="M565">
        <v>46234.638888888891</v>
      </nc>
      <ndxf>
        <numFmt numFmtId="164" formatCode="mm\-dd\-yyyy"/>
      </ndxf>
    </rcc>
    <rcc rId="0" sId="1">
      <nc r="AA565" t="inlineStr">
        <is>
          <t>1</t>
        </is>
      </nc>
    </rcc>
    <rcc rId="0" sId="1">
      <nc r="AB565" t="inlineStr">
        <is>
          <t>0</t>
        </is>
      </nc>
    </rcc>
  </rrc>
  <rrc rId="1693" sId="1" ref="A565:XFD565" action="deleteRow">
    <rfmt sheetId="1" xfDxf="1" sqref="A565:XFD565" start="0" length="0"/>
    <rcc rId="0" sId="1">
      <nc r="A565" t="inlineStr">
        <is>
          <t>Zone 3</t>
        </is>
      </nc>
    </rcc>
    <rcc rId="0" sId="1">
      <nc r="B565" t="inlineStr">
        <is>
          <t>NG2</t>
        </is>
      </nc>
    </rcc>
    <rcc rId="0" sId="1">
      <nc r="C565">
        <v>3</v>
      </nc>
    </rcc>
    <rcc rId="0" sId="1">
      <nc r="E565" t="inlineStr">
        <is>
          <t>W1028750/1</t>
        </is>
      </nc>
    </rcc>
    <rcc rId="0" sId="1">
      <nc r="F565" t="inlineStr">
        <is>
          <t>FLX1/10001B</t>
        </is>
      </nc>
    </rcc>
    <rcc rId="0" sId="1">
      <nc r="G565" t="inlineStr">
        <is>
          <t>FLEX Bulk (Cup in Blank Intimate Wrap)</t>
        </is>
      </nc>
    </rcc>
    <rcc rId="0" sId="1">
      <nc r="H565">
        <v>382.77</v>
      </nc>
    </rcc>
    <rcc rId="0" sId="1">
      <nc r="I565">
        <v>127.59</v>
      </nc>
    </rcc>
    <rcc rId="0" sId="1">
      <nc r="J565">
        <v>370</v>
      </nc>
    </rcc>
    <rcc rId="0" sId="1">
      <nc r="K565">
        <v>0</v>
      </nc>
    </rcc>
    <rcc rId="0" sId="1" dxf="1" numFmtId="19">
      <nc r="L565">
        <v>46234.645833333336</v>
      </nc>
      <ndxf>
        <numFmt numFmtId="164" formatCode="mm\-dd\-yyyy"/>
      </ndxf>
    </rcc>
    <rcc rId="0" sId="1" dxf="1" numFmtId="19">
      <nc r="M565">
        <v>46241.104166666664</v>
      </nc>
      <ndxf>
        <numFmt numFmtId="164" formatCode="mm\-dd\-yyyy"/>
      </ndxf>
    </rcc>
    <rcc rId="0" sId="1">
      <nc r="AA565" t="inlineStr">
        <is>
          <t>1</t>
        </is>
      </nc>
    </rcc>
    <rcc rId="0" sId="1">
      <nc r="AB565" t="inlineStr">
        <is>
          <t>0</t>
        </is>
      </nc>
    </rcc>
  </rrc>
  <rrc rId="1694" sId="1" ref="A565:XFD565" action="deleteRow">
    <rfmt sheetId="1" xfDxf="1" sqref="A565:XFD565" start="0" length="0"/>
    <rcc rId="0" sId="1">
      <nc r="A565" t="inlineStr">
        <is>
          <t>Zone 3</t>
        </is>
      </nc>
    </rcc>
    <rcc rId="0" sId="1">
      <nc r="B565" t="inlineStr">
        <is>
          <t>NG2</t>
        </is>
      </nc>
    </rcc>
    <rcc rId="0" sId="1">
      <nc r="C565">
        <v>3</v>
      </nc>
    </rcc>
    <rcc rId="0" sId="1">
      <nc r="E565" t="inlineStr">
        <is>
          <t>W1025321/1</t>
        </is>
      </nc>
    </rcc>
    <rcc rId="0" sId="1">
      <nc r="F565" t="inlineStr">
        <is>
          <t>FLX3/10155</t>
        </is>
      </nc>
    </rcc>
    <rcc rId="0" sId="1">
      <nc r="G565" t="inlineStr">
        <is>
          <t>Plant + Bulk (Cup in Intimate Wrap)</t>
        </is>
      </nc>
    </rcc>
    <rcc rId="0" sId="1">
      <nc r="H565">
        <v>206.91</v>
      </nc>
    </rcc>
    <rcc rId="0" sId="1">
      <nc r="I565">
        <v>68.97</v>
      </nc>
    </rcc>
    <rcc rId="0" sId="1">
      <nc r="J565">
        <v>200</v>
      </nc>
    </rcc>
    <rcc rId="0" sId="1">
      <nc r="K565">
        <v>0</v>
      </nc>
    </rcc>
    <rcc rId="0" sId="1" dxf="1" numFmtId="19">
      <nc r="L565">
        <v>46241.111111111109</v>
      </nc>
      <ndxf>
        <numFmt numFmtId="164" formatCode="mm\-dd\-yyyy"/>
      </ndxf>
    </rcc>
    <rcc rId="0" sId="1" dxf="1" numFmtId="19">
      <nc r="M565">
        <v>46244.125</v>
      </nc>
      <ndxf>
        <numFmt numFmtId="164" formatCode="mm\-dd\-yyyy"/>
      </ndxf>
    </rcc>
    <rcc rId="0" sId="1">
      <nc r="AA565" t="inlineStr">
        <is>
          <t>1</t>
        </is>
      </nc>
    </rcc>
    <rcc rId="0" sId="1">
      <nc r="AB565" t="inlineStr">
        <is>
          <t>0</t>
        </is>
      </nc>
    </rcc>
  </rrc>
  <rrc rId="1695" sId="1" ref="A565:XFD565" action="deleteRow">
    <rfmt sheetId="1" xfDxf="1" sqref="A565:XFD565" start="0" length="0"/>
    <rcc rId="0" sId="1">
      <nc r="A565" t="inlineStr">
        <is>
          <t>Zone 3</t>
        </is>
      </nc>
    </rcc>
    <rcc rId="0" sId="1">
      <nc r="B565" t="inlineStr">
        <is>
          <t>NG2</t>
        </is>
      </nc>
    </rcc>
    <rcc rId="0" sId="1">
      <nc r="C565">
        <v>3</v>
      </nc>
    </rcc>
    <rcc rId="0" sId="1">
      <nc r="E565" t="inlineStr">
        <is>
          <t>W1027497/1</t>
        </is>
      </nc>
    </rcc>
    <rcc rId="0" sId="1">
      <nc r="F565" t="inlineStr">
        <is>
          <t>FLX1/10001</t>
        </is>
      </nc>
    </rcc>
    <rcc rId="0" sId="1">
      <nc r="G565" t="inlineStr">
        <is>
          <t>FLEX Bulk (Cup in Intimate Wrap)</t>
        </is>
      </nc>
    </rcc>
    <rcc rId="0" sId="1">
      <nc r="H565">
        <v>517.23</v>
      </nc>
    </rcc>
    <rcc rId="0" sId="1">
      <nc r="I565">
        <v>172.41</v>
      </nc>
    </rcc>
    <rcc rId="0" sId="1">
      <nc r="J565">
        <v>500</v>
      </nc>
    </rcc>
    <rcc rId="0" sId="1">
      <nc r="K565">
        <v>0</v>
      </nc>
    </rcc>
    <rcc rId="0" sId="1" dxf="1" numFmtId="19">
      <nc r="L565">
        <v>46244.131944444445</v>
      </nc>
      <ndxf>
        <numFmt numFmtId="164" formatCode="mm\-dd\-yyyy"/>
      </ndxf>
    </rcc>
    <rcc rId="0" sId="1" dxf="1" numFmtId="19">
      <nc r="M565">
        <v>46251.458333333336</v>
      </nc>
      <ndxf>
        <numFmt numFmtId="164" formatCode="mm\-dd\-yyyy"/>
      </ndxf>
    </rcc>
    <rcc rId="0" sId="1">
      <nc r="AA565" t="inlineStr">
        <is>
          <t>1</t>
        </is>
      </nc>
    </rcc>
    <rcc rId="0" sId="1">
      <nc r="AB565" t="inlineStr">
        <is>
          <t>0</t>
        </is>
      </nc>
    </rcc>
  </rrc>
  <rrc rId="1696" sId="1" ref="A565:XFD565" action="deleteRow">
    <rfmt sheetId="1" xfDxf="1" sqref="A565:XFD565" start="0" length="0"/>
    <rcc rId="0" sId="1">
      <nc r="A565" t="inlineStr">
        <is>
          <t>Zone 3</t>
        </is>
      </nc>
    </rcc>
    <rcc rId="0" sId="1">
      <nc r="B565" t="inlineStr">
        <is>
          <t>NG2</t>
        </is>
      </nc>
    </rcc>
    <rcc rId="0" sId="1">
      <nc r="C565">
        <v>3</v>
      </nc>
    </rcc>
    <rcc rId="0" sId="1">
      <nc r="E565" t="inlineStr">
        <is>
          <t>W1027500/1</t>
        </is>
      </nc>
    </rcc>
    <rcc rId="0" sId="1">
      <nc r="F565" t="inlineStr">
        <is>
          <t>FLX1/10001</t>
        </is>
      </nc>
    </rcc>
    <rcc rId="0" sId="1">
      <nc r="G565" t="inlineStr">
        <is>
          <t>FLEX Bulk (Cup in Intimate Wrap)</t>
        </is>
      </nc>
    </rcc>
    <rcc rId="0" sId="1">
      <nc r="H565">
        <v>517.23</v>
      </nc>
    </rcc>
    <rcc rId="0" sId="1">
      <nc r="I565">
        <v>172.41</v>
      </nc>
    </rcc>
    <rcc rId="0" sId="1">
      <nc r="J565">
        <v>500</v>
      </nc>
    </rcc>
    <rcc rId="0" sId="1">
      <nc r="K565">
        <v>0</v>
      </nc>
    </rcc>
    <rcc rId="0" sId="1" dxf="1" numFmtId="19">
      <nc r="L565">
        <v>46251.465277777781</v>
      </nc>
      <ndxf>
        <numFmt numFmtId="164" formatCode="mm\-dd\-yyyy"/>
      </ndxf>
    </rcc>
    <rcc rId="0" sId="1" dxf="1" numFmtId="19">
      <nc r="M565">
        <v>46258.791666666664</v>
      </nc>
      <ndxf>
        <numFmt numFmtId="164" formatCode="mm\-dd\-yyyy"/>
      </ndxf>
    </rcc>
    <rcc rId="0" sId="1">
      <nc r="AA565" t="inlineStr">
        <is>
          <t>1</t>
        </is>
      </nc>
    </rcc>
    <rcc rId="0" sId="1">
      <nc r="AB565" t="inlineStr">
        <is>
          <t>0</t>
        </is>
      </nc>
    </rcc>
  </rrc>
  <rrc rId="1697" sId="1" ref="A565:XFD565" action="deleteRow">
    <rfmt sheetId="1" xfDxf="1" sqref="A565:XFD565" start="0" length="0"/>
    <rcc rId="0" sId="1">
      <nc r="A565" t="inlineStr">
        <is>
          <t>Zone 3</t>
        </is>
      </nc>
    </rcc>
    <rcc rId="0" sId="1">
      <nc r="B565" t="inlineStr">
        <is>
          <t>NG2</t>
        </is>
      </nc>
    </rcc>
    <rcc rId="0" sId="1">
      <nc r="C565">
        <v>3</v>
      </nc>
    </rcc>
    <rcc rId="0" sId="1">
      <nc r="E565" t="inlineStr">
        <is>
          <t>W1029877/1</t>
        </is>
      </nc>
    </rcc>
    <rcc rId="0" sId="1">
      <nc r="F565" t="inlineStr">
        <is>
          <t>INS1/00002</t>
        </is>
      </nc>
    </rcc>
    <rcc rId="0" sId="1">
      <nc r="G565" t="inlineStr">
        <is>
          <t>Softdisc Bulk (Purple Intimate Wrap)</t>
        </is>
      </nc>
    </rcc>
    <rcc rId="0" sId="1">
      <nc r="H565">
        <v>382.77</v>
      </nc>
    </rcc>
    <rcc rId="0" sId="1">
      <nc r="I565">
        <v>127.59</v>
      </nc>
    </rcc>
    <rcc rId="0" sId="1">
      <nc r="J565">
        <v>370</v>
      </nc>
    </rcc>
    <rcc rId="0" sId="1">
      <nc r="K565">
        <v>0</v>
      </nc>
    </rcc>
    <rcc rId="0" sId="1" dxf="1" numFmtId="19">
      <nc r="L565">
        <v>46258.798611111109</v>
      </nc>
      <ndxf>
        <numFmt numFmtId="164" formatCode="mm\-dd\-yyyy"/>
      </ndxf>
    </rcc>
    <rcc rId="0" sId="1" dxf="1" numFmtId="19">
      <nc r="M565">
        <v>46264.256944444445</v>
      </nc>
      <ndxf>
        <numFmt numFmtId="164" formatCode="mm\-dd\-yyyy"/>
      </ndxf>
    </rcc>
    <rcc rId="0" sId="1">
      <nc r="AA565" t="inlineStr">
        <is>
          <t>1</t>
        </is>
      </nc>
    </rcc>
    <rcc rId="0" sId="1">
      <nc r="AB565" t="inlineStr">
        <is>
          <t>0</t>
        </is>
      </nc>
    </rcc>
  </rrc>
  <rrc rId="1698" sId="1" ref="A565:XFD565" action="deleteRow">
    <rfmt sheetId="1" xfDxf="1" sqref="A565:XFD565" start="0" length="0">
      <dxf>
        <border outline="0">
          <bottom style="medium">
            <color indexed="64"/>
          </bottom>
        </border>
      </dxf>
    </rfmt>
    <rcc rId="0" sId="1">
      <nc r="A565" t="inlineStr">
        <is>
          <t>Zone 3</t>
        </is>
      </nc>
    </rcc>
    <rcc rId="0" sId="1">
      <nc r="B565" t="inlineStr">
        <is>
          <t>NG2</t>
        </is>
      </nc>
    </rcc>
    <rcc rId="0" sId="1">
      <nc r="C565">
        <v>3</v>
      </nc>
    </rcc>
    <rcc rId="0" sId="1">
      <nc r="E565" t="inlineStr">
        <is>
          <t>W1028749/1</t>
        </is>
      </nc>
    </rcc>
    <rcc rId="0" sId="1">
      <nc r="F565" t="inlineStr">
        <is>
          <t>FLX1/10001B</t>
        </is>
      </nc>
    </rcc>
    <rcc rId="0" sId="1">
      <nc r="G565" t="inlineStr">
        <is>
          <t>FLEX Bulk (Cup in Blank Intimate Wrap)</t>
        </is>
      </nc>
    </rcc>
    <rcc rId="0" sId="1">
      <nc r="H565">
        <v>362.07</v>
      </nc>
    </rcc>
    <rcc rId="0" sId="1">
      <nc r="I565">
        <v>120.69</v>
      </nc>
    </rcc>
    <rcc rId="0" sId="1">
      <nc r="J565">
        <v>350</v>
      </nc>
    </rcc>
    <rcc rId="0" sId="1">
      <nc r="K565">
        <v>0</v>
      </nc>
    </rcc>
    <rcc rId="0" sId="1" dxf="1" numFmtId="19">
      <nc r="L565">
        <v>46266</v>
      </nc>
      <ndxf>
        <numFmt numFmtId="164" formatCode="mm\-dd\-yyyy"/>
      </ndxf>
    </rcc>
    <rcc rId="0" sId="1" dxf="1" numFmtId="19">
      <nc r="M565">
        <v>46271.173611111109</v>
      </nc>
      <ndxf>
        <numFmt numFmtId="164" formatCode="mm\-dd\-yyyy"/>
      </ndxf>
    </rcc>
    <rcc rId="0" sId="1">
      <nc r="AA565" t="inlineStr">
        <is>
          <t>1</t>
        </is>
      </nc>
    </rcc>
    <rcc rId="0" sId="1">
      <nc r="AB565" t="inlineStr">
        <is>
          <t>0</t>
        </is>
      </nc>
    </rcc>
  </rrc>
  <rfmt sheetId="1" sqref="A564:XFD564" start="0" length="0">
    <dxf>
      <border>
        <bottom style="thin">
          <color indexed="64"/>
        </bottom>
      </border>
    </dxf>
  </rfmt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9" sId="1">
    <oc r="J713">
      <v>8400</v>
    </oc>
    <nc r="J713">
      <v>16800</v>
    </nc>
  </rcc>
  <rcc rId="1700" sId="1">
    <oc r="J644">
      <v>15000</v>
    </oc>
    <nc r="J644">
      <v>6000</v>
    </nc>
  </rcc>
  <rrc rId="1701" sId="1" ref="A645:XFD645" action="insertRow"/>
  <rm rId="1702" sheetId="1" source="A647:XFD647" destination="A645:XFD645" sourceSheetId="1">
    <rfmt sheetId="1" xfDxf="1" sqref="A645:XFD645" start="0" length="0"/>
    <rfmt sheetId="1" sqref="L645" start="0" length="0">
      <dxf>
        <numFmt numFmtId="164" formatCode="mm\-dd\-yyyy"/>
      </dxf>
    </rfmt>
    <rfmt sheetId="1" sqref="M645" start="0" length="0">
      <dxf>
        <numFmt numFmtId="164" formatCode="mm\-dd\-yyyy"/>
      </dxf>
    </rfmt>
  </rm>
  <rrc rId="1703" sId="1" ref="A647:XFD647" action="deleteRow">
    <rfmt sheetId="1" xfDxf="1" sqref="A647:XFD647" start="0" length="0"/>
    <rfmt sheetId="1" sqref="L647" start="0" length="0">
      <dxf>
        <numFmt numFmtId="164" formatCode="mm\-dd\-yyyy"/>
      </dxf>
    </rfmt>
    <rfmt sheetId="1" sqref="M647" start="0" length="0">
      <dxf>
        <numFmt numFmtId="164" formatCode="mm\-dd\-yyyy"/>
      </dxf>
    </rfmt>
  </rrc>
  <rfmt sheetId="1" sqref="A645:XFD645" start="0" length="0">
    <dxf>
      <border>
        <bottom/>
      </border>
    </dxf>
  </rfmt>
  <rfmt sheetId="1" sqref="A646:XFD646" start="0" length="0">
    <dxf>
      <border>
        <bottom style="thin">
          <color indexed="64"/>
        </bottom>
      </border>
    </dxf>
  </rfmt>
  <rcv guid="{A9066737-D214-4998-B3AE-C1B60D50E4FC}" action="delete"/>
  <rcv guid="{A9066737-D214-4998-B3AE-C1B60D50E4FC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04" sId="1" ref="A234:XFD235" action="insertRow"/>
  <rcc rId="1705" sId="1">
    <nc r="A234" t="inlineStr">
      <is>
        <t>Zone 1</t>
      </is>
    </nc>
  </rcc>
  <rcc rId="1706" sId="1">
    <nc r="B234" t="inlineStr">
      <is>
        <t>Blue Scalpel</t>
      </is>
    </nc>
  </rcc>
  <rcc rId="1707" sId="1">
    <nc r="C234">
      <v>2</v>
    </nc>
  </rcc>
  <rcc rId="1708" sId="1" odxf="1" dxf="1">
    <nc r="E234" t="inlineStr">
      <is>
        <t>W1021924/1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709" sId="1">
    <nc r="F234" t="inlineStr">
      <is>
        <t>SMI1/73-0211</t>
      </is>
    </nc>
  </rcc>
  <rcc rId="1710" sId="1">
    <nc r="G234" t="inlineStr">
      <is>
        <t>#11 Disp Scalpel Non-Sterile</t>
      </is>
    </nc>
  </rcc>
  <rcc rId="1711" sId="1">
    <nc r="J234">
      <v>30</v>
    </nc>
  </rcc>
  <rcc rId="1712" sId="1">
    <nc r="K234">
      <v>0</v>
    </nc>
  </rcc>
  <rfmt sheetId="1" sqref="N234" start="0" length="0">
    <dxf>
      <fill>
        <patternFill patternType="none">
          <bgColor indexed="65"/>
        </patternFill>
      </fill>
    </dxf>
  </rfmt>
  <rcc rId="1713" sId="1" odxf="1" dxf="1">
    <nc r="O234" t="inlineStr">
      <is>
        <t>P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fmt sheetId="1" sqref="P234" start="0" length="0">
    <dxf>
      <fill>
        <patternFill patternType="none">
          <bgColor indexed="65"/>
        </patternFill>
      </fill>
    </dxf>
  </rfmt>
  <rfmt sheetId="1" sqref="Q234" start="0" length="0">
    <dxf>
      <fill>
        <patternFill patternType="none">
          <bgColor indexed="65"/>
        </patternFill>
      </fill>
    </dxf>
  </rfmt>
  <rfmt sheetId="1" sqref="R234" start="0" length="0">
    <dxf>
      <fill>
        <patternFill patternType="none">
          <bgColor indexed="65"/>
        </patternFill>
      </fill>
    </dxf>
  </rfmt>
  <rfmt sheetId="1" sqref="S234" start="0" length="0">
    <dxf>
      <fill>
        <patternFill patternType="none">
          <bgColor indexed="65"/>
        </patternFill>
      </fill>
    </dxf>
  </rfmt>
  <rcc rId="1714" sId="1">
    <nc r="A235" t="inlineStr">
      <is>
        <t>Zone 1</t>
      </is>
    </nc>
  </rcc>
  <rcc rId="1715" sId="1">
    <nc r="B235" t="inlineStr">
      <is>
        <t>Blue Scalpel</t>
      </is>
    </nc>
  </rcc>
  <rcc rId="1716" sId="1">
    <nc r="C235">
      <v>2</v>
    </nc>
  </rcc>
  <rcc rId="1717" sId="1" odxf="1" dxf="1">
    <nc r="E235" t="inlineStr">
      <is>
        <t>W1021925/1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718" sId="1">
    <nc r="F235" t="inlineStr">
      <is>
        <t>SMI1/73-0211</t>
      </is>
    </nc>
  </rcc>
  <rcc rId="1719" sId="1">
    <nc r="G235" t="inlineStr">
      <is>
        <t>#11 Disp Scalpel Non-Sterile</t>
      </is>
    </nc>
  </rcc>
  <rcc rId="1720" sId="1">
    <nc r="J235">
      <v>30</v>
    </nc>
  </rcc>
  <rcc rId="1721" sId="1">
    <nc r="K235">
      <v>0</v>
    </nc>
  </rcc>
  <rfmt sheetId="1" sqref="N235" start="0" length="0">
    <dxf>
      <fill>
        <patternFill patternType="none">
          <bgColor indexed="65"/>
        </patternFill>
      </fill>
    </dxf>
  </rfmt>
  <rfmt sheetId="1" sqref="O235" start="0" length="0">
    <dxf>
      <fill>
        <patternFill patternType="none">
          <bgColor indexed="65"/>
        </patternFill>
      </fill>
    </dxf>
  </rfmt>
  <rfmt sheetId="1" sqref="P235" start="0" length="0">
    <dxf>
      <fill>
        <patternFill patternType="none">
          <bgColor indexed="65"/>
        </patternFill>
      </fill>
    </dxf>
  </rfmt>
  <rfmt sheetId="1" sqref="Q235" start="0" length="0">
    <dxf>
      <fill>
        <patternFill patternType="none">
          <bgColor indexed="65"/>
        </patternFill>
      </fill>
    </dxf>
  </rfmt>
  <rfmt sheetId="1" sqref="R235" start="0" length="0">
    <dxf>
      <fill>
        <patternFill patternType="none">
          <bgColor indexed="65"/>
        </patternFill>
      </fill>
    </dxf>
  </rfmt>
  <rfmt sheetId="1" sqref="S235" start="0" length="0">
    <dxf>
      <fill>
        <patternFill patternType="none">
          <bgColor indexed="65"/>
        </patternFill>
      </fill>
    </dxf>
  </rfmt>
  <rfmt sheetId="1" sqref="A233:XFD233" start="0" length="0">
    <dxf>
      <border>
        <bottom style="medium">
          <color indexed="64"/>
        </bottom>
      </border>
    </dxf>
  </rfmt>
  <rfmt sheetId="1" sqref="A235:XFD235" start="0" length="0">
    <dxf>
      <border>
        <bottom style="medium">
          <color indexed="64"/>
        </bottom>
      </border>
    </dxf>
  </rfmt>
  <rfmt sheetId="1" sqref="A227:XFD227" start="0" length="0">
    <dxf>
      <border>
        <bottom style="medium">
          <color indexed="64"/>
        </bottom>
      </border>
    </dxf>
  </rfmt>
  <rrc rId="1722" sId="1" ref="A236:XFD236" action="deleteRow">
    <rfmt sheetId="1" xfDxf="1" sqref="A236:XFD236" start="0" length="0"/>
    <rcc rId="0" sId="1">
      <nc r="A236" t="inlineStr">
        <is>
          <t>Zone 1</t>
        </is>
      </nc>
    </rcc>
    <rcc rId="0" sId="1">
      <nc r="B236" t="inlineStr">
        <is>
          <t>Mini Staker</t>
        </is>
      </nc>
    </rcc>
    <rcc rId="0" sId="1">
      <nc r="C236">
        <v>1</v>
      </nc>
    </rcc>
    <rcc rId="0" sId="1">
      <nc r="E236" t="inlineStr">
        <is>
          <t>W1029152/1</t>
        </is>
      </nc>
    </rcc>
    <rcc rId="0" sId="1">
      <nc r="F236" t="inlineStr">
        <is>
          <t>SMI1/73-0911-K</t>
        </is>
      </nc>
    </rcc>
    <rcc rId="0" sId="1">
      <nc r="G236" t="inlineStr">
        <is>
          <t>#11 Mini Disposable Scalpel Non-Sterile</t>
        </is>
      </nc>
    </rcc>
    <rcc rId="0" sId="1">
      <nc r="H236">
        <v>72</v>
      </nc>
    </rcc>
    <rcc rId="0" sId="1">
      <nc r="I236">
        <v>68</v>
      </nc>
    </rcc>
    <rcc rId="0" sId="1">
      <nc r="J236">
        <v>36</v>
      </nc>
    </rcc>
    <rcc rId="0" sId="1">
      <nc r="K236">
        <v>2</v>
      </nc>
    </rcc>
    <rcc rId="0" sId="1" dxf="1" numFmtId="19">
      <nc r="L236">
        <v>46209.291666666664</v>
      </nc>
      <ndxf>
        <numFmt numFmtId="164" formatCode="mm\-dd\-yyyy"/>
      </ndxf>
    </rcc>
    <rcc rId="0" sId="1" dxf="1" numFmtId="19">
      <nc r="M236">
        <v>46219.451388888891</v>
      </nc>
      <ndxf>
        <numFmt numFmtId="164" formatCode="mm\-dd\-yyyy"/>
      </ndxf>
    </rcc>
    <rcc rId="0" sId="1">
      <nc r="AA236" t="inlineStr">
        <is>
          <t>1</t>
        </is>
      </nc>
    </rcc>
    <rcc rId="0" sId="1">
      <nc r="AB236" t="inlineStr">
        <is>
          <t>0</t>
        </is>
      </nc>
    </rcc>
  </rrc>
  <rfmt sheetId="1" sqref="A238:XFD238" start="0" length="0">
    <dxf>
      <border>
        <bottom style="medium">
          <color indexed="64"/>
        </bottom>
      </border>
    </dxf>
  </rfmt>
  <rfmt sheetId="1" sqref="A242:XFD242" start="0" length="0">
    <dxf>
      <border>
        <bottom style="medium">
          <color indexed="64"/>
        </bottom>
      </border>
    </dxf>
  </rfmt>
  <rcc rId="1723" sId="1">
    <oc r="G241" t="inlineStr">
      <is>
        <t>#10 SafetyScalpel Bulk NonSterile 500/cs</t>
      </is>
    </oc>
    <nc r="G241" t="inlineStr">
      <is>
        <t>#11 SafetyScalpel Bulk NonSterile 500/cs</t>
      </is>
    </nc>
  </rcc>
  <rcc rId="1724" sId="1">
    <oc r="E241" t="inlineStr">
      <is>
        <t>W1021857-4/1</t>
      </is>
    </oc>
    <nc r="E241" t="inlineStr">
      <is>
        <t>W1030264-4/1</t>
      </is>
    </nc>
  </rcc>
  <rcc rId="1725" sId="1">
    <oc r="F241" t="inlineStr">
      <is>
        <t>SMI1/73-1810</t>
      </is>
    </oc>
    <nc r="F241" t="inlineStr">
      <is>
        <t>SMI1/73-+F241:J2411811</t>
      </is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726" sId="1" ref="A243:XFD243" action="deleteRow">
    <rfmt sheetId="1" xfDxf="1" sqref="A243:XFD243" start="0" length="0"/>
    <rcc rId="0" sId="1">
      <nc r="A243" t="inlineStr">
        <is>
          <t>Zone 1</t>
        </is>
      </nc>
    </rcc>
    <rcc rId="0" sId="1">
      <nc r="B243" t="inlineStr">
        <is>
          <t>PPSS</t>
        </is>
      </nc>
    </rcc>
    <rcc rId="0" sId="1">
      <nc r="C243">
        <v>1</v>
      </nc>
    </rcc>
    <rcc rId="0" sId="1">
      <nc r="E243" t="inlineStr">
        <is>
          <t>W1030192-4/1</t>
        </is>
      </nc>
    </rcc>
    <rcc rId="0" sId="1">
      <nc r="F243" t="inlineStr">
        <is>
          <t>SMI1/73-1711</t>
        </is>
      </nc>
    </rcc>
    <rcc rId="0" sId="1">
      <nc r="G243" t="inlineStr">
        <is>
          <t>#11 Non-Sterile Bulkk PPSS Scalpel 500/cs</t>
        </is>
      </nc>
    </rcc>
    <rcc rId="0" sId="1">
      <nc r="H243">
        <v>85.47</v>
      </nc>
    </rcc>
    <rcc rId="0" sId="1">
      <nc r="I243">
        <v>85.47</v>
      </nc>
    </rcc>
    <rcc rId="0" sId="1">
      <nc r="J243">
        <v>10000</v>
      </nc>
    </rcc>
    <rcc rId="0" sId="1">
      <nc r="K243">
        <v>0</v>
      </nc>
    </rcc>
    <rcc rId="0" sId="1" dxf="1" numFmtId="19">
      <nc r="L243">
        <v>46209.291666666664</v>
      </nc>
      <ndxf>
        <numFmt numFmtId="164" formatCode="mm\-dd\-yyyy"/>
      </ndxf>
    </rcc>
    <rcc rId="0" sId="1" dxf="1" numFmtId="19">
      <nc r="M243">
        <v>46223.513888888891</v>
      </nc>
      <ndxf>
        <numFmt numFmtId="164" formatCode="mm\-dd\-yyyy"/>
      </ndxf>
    </rcc>
    <rcc rId="0" sId="1">
      <nc r="AA243" t="inlineStr">
        <is>
          <t>1</t>
        </is>
      </nc>
    </rcc>
    <rcc rId="0" sId="1">
      <nc r="AB243" t="inlineStr">
        <is>
          <t>4</t>
        </is>
      </nc>
    </rcc>
  </rrc>
  <rfmt sheetId="1" sqref="A243:XFD243">
    <dxf>
      <fill>
        <patternFill patternType="solid">
          <bgColor theme="8" tint="0.39997558519241921"/>
        </patternFill>
      </fill>
    </dxf>
  </rfmt>
  <rfmt sheetId="1" sqref="A239:XFD239">
    <dxf>
      <fill>
        <patternFill>
          <bgColor theme="8" tint="0.39997558519241921"/>
        </patternFill>
      </fill>
    </dxf>
  </rfmt>
  <rfmt sheetId="1" sqref="A236:XFD236">
    <dxf>
      <fill>
        <patternFill patternType="solid">
          <bgColor theme="8" tint="0.39997558519241921"/>
        </patternFill>
      </fill>
    </dxf>
  </rfmt>
  <rfmt sheetId="1" sqref="A234:XFD234">
    <dxf>
      <fill>
        <patternFill patternType="solid">
          <bgColor theme="8" tint="0.39997558519241921"/>
        </patternFill>
      </fill>
    </dxf>
  </rfmt>
  <rrc rId="1727" sId="1" ref="A244:XFD244" action="deleteRow">
    <rfmt sheetId="1" xfDxf="1" sqref="A244:XFD244" start="0" length="0"/>
    <rcc rId="0" sId="1">
      <nc r="A244" t="inlineStr">
        <is>
          <t>Zone 1</t>
        </is>
      </nc>
    </rcc>
    <rcc rId="0" sId="1">
      <nc r="B244" t="inlineStr">
        <is>
          <t>Scalpel Packing</t>
        </is>
      </nc>
    </rcc>
    <rcc rId="0" sId="1">
      <nc r="C244">
        <v>2</v>
      </nc>
    </rcc>
    <rcc rId="0" sId="1">
      <nc r="E244" t="inlineStr">
        <is>
          <t>W1022548/1</t>
        </is>
      </nc>
    </rcc>
    <rcc rId="0" sId="1">
      <nc r="F244" t="inlineStr">
        <is>
          <t>SMI1/73-0611</t>
        </is>
      </nc>
    </rcc>
    <rcc rId="0" sId="1">
      <nc r="G244" t="inlineStr">
        <is>
          <t>#11 Safety Scalpel sterile</t>
        </is>
      </nc>
    </rcc>
    <rcc rId="0" sId="1">
      <nc r="H244">
        <v>69.2</v>
      </nc>
    </rcc>
    <rcc rId="0" sId="1">
      <nc r="I244">
        <v>34.6</v>
      </nc>
    </rcc>
    <rcc rId="0" sId="1">
      <nc r="J244">
        <v>127</v>
      </nc>
    </rcc>
    <rcc rId="0" sId="1">
      <nc r="K244">
        <v>0</v>
      </nc>
    </rcc>
    <rcc rId="0" sId="1" dxf="1" numFmtId="19">
      <nc r="L244">
        <v>46213.569444444445</v>
      </nc>
      <ndxf>
        <numFmt numFmtId="164" formatCode="mm\-dd\-yyyy"/>
      </ndxf>
    </rcc>
    <rcc rId="0" sId="1" dxf="1" numFmtId="19">
      <nc r="M244">
        <v>46220.361111111109</v>
      </nc>
      <ndxf>
        <numFmt numFmtId="164" formatCode="mm\-dd\-yyyy"/>
      </ndxf>
    </rcc>
    <rcc rId="0" sId="1">
      <nc r="AA244" t="inlineStr">
        <is>
          <t>1</t>
        </is>
      </nc>
    </rcc>
    <rcc rId="0" sId="1">
      <nc r="AB244" t="inlineStr">
        <is>
          <t>0</t>
        </is>
      </nc>
    </rcc>
  </rrc>
  <rrc rId="1728" sId="1" ref="A244:XFD244" action="deleteRow">
    <rfmt sheetId="1" xfDxf="1" sqref="A244:XFD244" start="0" length="0"/>
    <rcc rId="0" sId="1">
      <nc r="A244" t="inlineStr">
        <is>
          <t>Zone 1</t>
        </is>
      </nc>
    </rcc>
    <rcc rId="0" sId="1">
      <nc r="B244" t="inlineStr">
        <is>
          <t>Scalpel Packing</t>
        </is>
      </nc>
    </rcc>
    <rcc rId="0" sId="1">
      <nc r="C244">
        <v>1</v>
      </nc>
    </rcc>
    <rcc rId="0" sId="1">
      <nc r="E244" t="inlineStr">
        <is>
          <t>W1023759/1</t>
        </is>
      </nc>
    </rcc>
    <rcc rId="0" sId="1">
      <nc r="F244" t="inlineStr">
        <is>
          <t>SMI1/73-1815</t>
        </is>
      </nc>
    </rcc>
    <rcc rId="0" sId="1">
      <nc r="G244" t="inlineStr">
        <is>
          <t>#15 Safety Scalpel Bulk Non-Sterile</t>
        </is>
      </nc>
    </rcc>
    <rcc rId="0" sId="1">
      <nc r="H244">
        <v>11.36</v>
      </nc>
    </rcc>
    <rcc rId="0" sId="1">
      <nc r="I244">
        <v>11.36</v>
      </nc>
    </rcc>
    <rcc rId="0" sId="1">
      <nc r="J244">
        <v>10</v>
      </nc>
    </rcc>
    <rcc rId="0" sId="1">
      <nc r="K244">
        <v>0</v>
      </nc>
    </rcc>
    <rcc rId="0" sId="1" dxf="1" numFmtId="19">
      <nc r="L244">
        <v>46220.368055555555</v>
      </nc>
      <ndxf>
        <numFmt numFmtId="164" formatCode="mm\-dd\-yyyy"/>
      </ndxf>
    </rcc>
    <rcc rId="0" sId="1" dxf="1" numFmtId="19">
      <nc r="M244">
        <v>46223.527777777781</v>
      </nc>
      <ndxf>
        <numFmt numFmtId="164" formatCode="mm\-dd\-yyyy"/>
      </ndxf>
    </rcc>
    <rcc rId="0" sId="1">
      <nc r="AA244" t="inlineStr">
        <is>
          <t>1</t>
        </is>
      </nc>
    </rcc>
    <rcc rId="0" sId="1">
      <nc r="AB244" t="inlineStr">
        <is>
          <t>0</t>
        </is>
      </nc>
    </rcc>
  </rrc>
  <rrc rId="1729" sId="1" ref="A244:XFD244" action="deleteRow">
    <rfmt sheetId="1" xfDxf="1" sqref="A244:XFD244" start="0" length="0"/>
    <rcc rId="0" sId="1">
      <nc r="A244" t="inlineStr">
        <is>
          <t>Zone 1</t>
        </is>
      </nc>
    </rcc>
    <rcc rId="0" sId="1">
      <nc r="B244" t="inlineStr">
        <is>
          <t>Scalpel Packing</t>
        </is>
      </nc>
    </rcc>
    <rcc rId="0" sId="1">
      <nc r="C244">
        <v>1</v>
      </nc>
    </rcc>
    <rcc rId="0" sId="1">
      <nc r="E244" t="inlineStr">
        <is>
          <t>W1021857/1</t>
        </is>
      </nc>
    </rcc>
    <rcc rId="0" sId="1">
      <nc r="F244" t="inlineStr">
        <is>
          <t>SMI1/73-1810</t>
        </is>
      </nc>
    </rcc>
    <rcc rId="0" sId="1">
      <nc r="G244" t="inlineStr">
        <is>
          <t>#10 SafetyScalpel Bulk NonSterile 500/cs</t>
        </is>
      </nc>
    </rcc>
    <rcc rId="0" sId="1">
      <nc r="H244">
        <v>34.090000000000003</v>
      </nc>
    </rcc>
    <rcc rId="0" sId="1">
      <nc r="I244">
        <v>34.090000000000003</v>
      </nc>
    </rcc>
    <rcc rId="0" sId="1">
      <nc r="J244">
        <v>30</v>
      </nc>
    </rcc>
    <rcc rId="0" sId="1">
      <nc r="K244">
        <v>0</v>
      </nc>
    </rcc>
    <rcc rId="0" sId="1" dxf="1" numFmtId="19">
      <nc r="L244">
        <v>46224.430555555555</v>
      </nc>
      <ndxf>
        <numFmt numFmtId="164" formatCode="mm\-dd\-yyyy"/>
      </ndxf>
    </rcc>
    <rcc rId="0" sId="1" dxf="1" numFmtId="19">
      <nc r="M244">
        <v>46230.534722222219</v>
      </nc>
      <ndxf>
        <numFmt numFmtId="164" formatCode="mm\-dd\-yyyy"/>
      </ndxf>
    </rcc>
    <rcc rId="0" sId="1">
      <nc r="AA244" t="inlineStr">
        <is>
          <t>1</t>
        </is>
      </nc>
    </rcc>
    <rcc rId="0" sId="1">
      <nc r="AB244" t="inlineStr">
        <is>
          <t>0</t>
        </is>
      </nc>
    </rcc>
  </rrc>
  <rrc rId="1730" sId="1" ref="A244:XFD244" action="deleteRow">
    <rfmt sheetId="1" xfDxf="1" sqref="A244:XFD244" start="0" length="0"/>
    <rcc rId="0" sId="1">
      <nc r="A244" t="inlineStr">
        <is>
          <t>Zone 1</t>
        </is>
      </nc>
    </rcc>
    <rcc rId="0" sId="1">
      <nc r="B244" t="inlineStr">
        <is>
          <t>SPSS # 3</t>
        </is>
      </nc>
    </rcc>
    <rcc rId="0" sId="1">
      <nc r="C244">
        <v>3</v>
      </nc>
    </rcc>
    <rcc rId="0" sId="1">
      <nc r="E244" t="inlineStr">
        <is>
          <t>W1024614/1</t>
        </is>
      </nc>
    </rcc>
    <rcc rId="0" sId="1">
      <nc r="F244" t="inlineStr">
        <is>
          <t>SMI1/73-8010</t>
        </is>
      </nc>
    </rcc>
    <rcc rId="0" sId="1">
      <nc r="G244" t="inlineStr">
        <is>
          <t>SPSS Cart #10-Sterile</t>
        </is>
      </nc>
    </rcc>
    <rcc rId="0" sId="1">
      <nc r="H244">
        <v>56.61</v>
      </nc>
    </rcc>
    <rcc rId="0" sId="1">
      <nc r="I244">
        <v>5.03</v>
      </nc>
    </rcc>
    <rcc rId="0" sId="1">
      <nc r="J244">
        <v>30</v>
      </nc>
    </rcc>
    <rcc rId="0" sId="1">
      <nc r="K244">
        <v>22</v>
      </nc>
    </rcc>
    <rcc rId="0" sId="1" dxf="1" numFmtId="19">
      <nc r="L244">
        <v>46209.291666666664</v>
      </nc>
      <ndxf>
        <numFmt numFmtId="164" formatCode="mm\-dd\-yyyy"/>
      </ndxf>
    </rcc>
    <rcc rId="0" sId="1" dxf="1" numFmtId="19">
      <nc r="M244">
        <v>46209.5</v>
      </nc>
      <ndxf>
        <numFmt numFmtId="164" formatCode="mm\-dd\-yyyy"/>
      </ndxf>
    </rcc>
    <rcc rId="0" sId="1">
      <nc r="AA244" t="inlineStr">
        <is>
          <t>1</t>
        </is>
      </nc>
    </rcc>
    <rcc rId="0" sId="1">
      <nc r="AB244" t="inlineStr">
        <is>
          <t>0</t>
        </is>
      </nc>
    </rcc>
  </rrc>
  <rfmt sheetId="1" sqref="A244:XFD244">
    <dxf>
      <fill>
        <patternFill patternType="solid">
          <bgColor theme="8" tint="0.39997558519241921"/>
        </patternFill>
      </fill>
    </dxf>
  </rfmt>
  <rrc rId="1731" sId="1" ref="A245:XFD245" action="insertRow"/>
  <rfmt sheetId="1" sqref="A245:XFD245">
    <dxf>
      <fill>
        <patternFill patternType="none">
          <bgColor auto="1"/>
        </patternFill>
      </fill>
    </dxf>
  </rfmt>
  <rcc rId="1732" sId="1" odxf="1">
    <nc r="A245" t="inlineStr">
      <is>
        <t>Zone 1</t>
      </is>
    </nc>
    <odxf/>
  </rcc>
  <rcc rId="1733" sId="1" odxf="1">
    <nc r="C245">
      <v>3</v>
    </nc>
    <odxf/>
  </rcc>
  <rcc rId="1734" sId="1">
    <nc r="B245" t="inlineStr">
      <is>
        <t>SPSS # 4</t>
      </is>
    </nc>
  </rcc>
  <rfmt sheetId="1" sqref="E245">
    <dxf>
      <border diagonalUp="0" diagonalDown="0" outline="0">
        <left/>
        <right/>
        <top/>
        <bottom/>
      </border>
    </dxf>
  </rfmt>
  <rcc rId="1735" sId="1" xfDxf="1" dxf="1">
    <nc r="F245" t="inlineStr">
      <is>
        <t>SMI1/73-9222</t>
      </is>
    </nc>
  </rcc>
  <rcc rId="1736" sId="1">
    <nc r="G245" t="inlineStr">
      <is>
        <t>SPSS Cart #22-Non Sterile</t>
      </is>
    </nc>
  </rcc>
  <rcc rId="1737" sId="1">
    <nc r="E245" t="inlineStr">
      <is>
        <t>W1030263/1</t>
      </is>
    </nc>
  </rcc>
  <rrc rId="1738" sId="1" ref="A246:XFD246" action="deleteRow">
    <rfmt sheetId="1" xfDxf="1" sqref="A246:XFD246" start="0" length="0"/>
    <rcc rId="0" sId="1">
      <nc r="A246" t="inlineStr">
        <is>
          <t>Zone 1</t>
        </is>
      </nc>
    </rcc>
    <rcc rId="0" sId="1">
      <nc r="B246" t="inlineStr">
        <is>
          <t>SPSS # 3</t>
        </is>
      </nc>
    </rcc>
    <rcc rId="0" sId="1">
      <nc r="C246">
        <v>3</v>
      </nc>
    </rcc>
    <rcc rId="0" sId="1">
      <nc r="E246" t="inlineStr">
        <is>
          <t>W1024627/1</t>
        </is>
      </nc>
    </rcc>
    <rcc rId="0" sId="1">
      <nc r="F246" t="inlineStr">
        <is>
          <t>SMI1/73-8015</t>
        </is>
      </nc>
    </rcc>
    <rcc rId="0" sId="1">
      <nc r="G246" t="inlineStr">
        <is>
          <t>SPSS Cart #15-Sterile</t>
        </is>
      </nc>
    </rcc>
    <rcc rId="0" sId="1">
      <nc r="H246">
        <v>75.48</v>
      </nc>
    </rcc>
    <rcc rId="0" sId="1">
      <nc r="I246">
        <v>25.16</v>
      </nc>
    </rcc>
    <rcc rId="0" sId="1">
      <nc r="J246">
        <v>40</v>
      </nc>
    </rcc>
    <rcc rId="0" sId="1">
      <nc r="K246">
        <v>0</v>
      </nc>
    </rcc>
    <rcc rId="0" sId="1" dxf="1" numFmtId="19">
      <nc r="L246">
        <v>46212.576388888891</v>
      </nc>
      <ndxf>
        <numFmt numFmtId="164" formatCode="mm\-dd\-yyyy"/>
      </ndxf>
    </rcc>
    <rcc rId="0" sId="1" dxf="1" numFmtId="19">
      <nc r="M246">
        <v>46218.305555555555</v>
      </nc>
      <ndxf>
        <numFmt numFmtId="164" formatCode="mm\-dd\-yyyy"/>
      </ndxf>
    </rcc>
    <rcc rId="0" sId="1">
      <nc r="AA246" t="inlineStr">
        <is>
          <t>1</t>
        </is>
      </nc>
    </rcc>
    <rcc rId="0" sId="1">
      <nc r="AB246" t="inlineStr">
        <is>
          <t>0</t>
        </is>
      </nc>
    </rcc>
  </rrc>
  <rrc rId="1739" sId="1" ref="A246:XFD246" action="deleteRow">
    <rfmt sheetId="1" xfDxf="1" sqref="A246:XFD246" start="0" length="0"/>
    <rcc rId="0" sId="1">
      <nc r="A246" t="inlineStr">
        <is>
          <t>Zone 1</t>
        </is>
      </nc>
    </rcc>
    <rcc rId="0" sId="1">
      <nc r="B246" t="inlineStr">
        <is>
          <t>SPSS # 3</t>
        </is>
      </nc>
    </rcc>
    <rcc rId="0" sId="1">
      <nc r="C246">
        <v>3</v>
      </nc>
    </rcc>
    <rcc rId="0" sId="1">
      <nc r="E246" t="inlineStr">
        <is>
          <t>W1024615/1</t>
        </is>
      </nc>
    </rcc>
    <rcc rId="0" sId="1">
      <nc r="F246" t="inlineStr">
        <is>
          <t>SMI1/73-8010</t>
        </is>
      </nc>
    </rcc>
    <rcc rId="0" sId="1">
      <nc r="G246" t="inlineStr">
        <is>
          <t>SPSS Cart #10-Sterile</t>
        </is>
      </nc>
    </rcc>
    <rcc rId="0" sId="1">
      <nc r="H246">
        <v>75.48</v>
      </nc>
    </rcc>
    <rcc rId="0" sId="1">
      <nc r="I246">
        <v>25.16</v>
      </nc>
    </rcc>
    <rcc rId="0" sId="1">
      <nc r="J246">
        <v>40</v>
      </nc>
    </rcc>
    <rcc rId="0" sId="1">
      <nc r="K246">
        <v>0</v>
      </nc>
    </rcc>
    <rcc rId="0" sId="1" dxf="1" numFmtId="19">
      <nc r="L246">
        <v>46218.3125</v>
      </nc>
      <ndxf>
        <numFmt numFmtId="164" formatCode="mm\-dd\-yyyy"/>
      </ndxf>
    </rcc>
    <rcc rId="0" sId="1" dxf="1" numFmtId="19">
      <nc r="M246">
        <v>46223.375</v>
      </nc>
      <ndxf>
        <numFmt numFmtId="164" formatCode="mm\-dd\-yyyy"/>
      </ndxf>
    </rcc>
    <rcc rId="0" sId="1">
      <nc r="AA246" t="inlineStr">
        <is>
          <t>1</t>
        </is>
      </nc>
    </rcc>
    <rcc rId="0" sId="1">
      <nc r="AB246" t="inlineStr">
        <is>
          <t>0</t>
        </is>
      </nc>
    </rcc>
  </rrc>
  <rrc rId="1740" sId="1" ref="A246:XFD246" action="deleteRow">
    <rfmt sheetId="1" xfDxf="1" sqref="A246:XFD246" start="0" length="0"/>
    <rcc rId="0" sId="1">
      <nc r="A246" t="inlineStr">
        <is>
          <t>Zone 1</t>
        </is>
      </nc>
    </rcc>
    <rcc rId="0" sId="1">
      <nc r="B246" t="inlineStr">
        <is>
          <t>SPSS # 3</t>
        </is>
      </nc>
    </rcc>
    <rcc rId="0" sId="1">
      <nc r="C246">
        <v>3</v>
      </nc>
    </rcc>
    <rcc rId="0" sId="1">
      <nc r="E246" t="inlineStr">
        <is>
          <t>W1024628/1</t>
        </is>
      </nc>
    </rcc>
    <rcc rId="0" sId="1">
      <nc r="F246" t="inlineStr">
        <is>
          <t>SMI1/73-8015</t>
        </is>
      </nc>
    </rcc>
    <rcc rId="0" sId="1">
      <nc r="G246" t="inlineStr">
        <is>
          <t>SPSS Cart #15-Sterile</t>
        </is>
      </nc>
    </rcc>
    <rcc rId="0" sId="1">
      <nc r="H246">
        <v>75.48</v>
      </nc>
    </rcc>
    <rcc rId="0" sId="1">
      <nc r="I246">
        <v>25.16</v>
      </nc>
    </rcc>
    <rcc rId="0" sId="1">
      <nc r="J246">
        <v>40</v>
      </nc>
    </rcc>
    <rcc rId="0" sId="1">
      <nc r="K246">
        <v>0</v>
      </nc>
    </rcc>
    <rcc rId="0" sId="1" dxf="1" numFmtId="19">
      <nc r="L246">
        <v>46223.381944444445</v>
      </nc>
      <ndxf>
        <numFmt numFmtId="164" formatCode="mm\-dd\-yyyy"/>
      </ndxf>
    </rcc>
    <rcc rId="0" sId="1" dxf="1" numFmtId="19">
      <nc r="M246">
        <v>46226.444444444445</v>
      </nc>
      <ndxf>
        <numFmt numFmtId="164" formatCode="mm\-dd\-yyyy"/>
      </ndxf>
    </rcc>
    <rcc rId="0" sId="1">
      <nc r="AA246" t="inlineStr">
        <is>
          <t>1</t>
        </is>
      </nc>
    </rcc>
    <rcc rId="0" sId="1">
      <nc r="AB246" t="inlineStr">
        <is>
          <t>0</t>
        </is>
      </nc>
    </rcc>
  </rrc>
  <rrc rId="1741" sId="1" ref="A246:XFD246" action="deleteRow">
    <rfmt sheetId="1" xfDxf="1" sqref="A246:XFD246" start="0" length="0"/>
    <rcc rId="0" sId="1">
      <nc r="A246" t="inlineStr">
        <is>
          <t>Zone 1</t>
        </is>
      </nc>
    </rcc>
    <rcc rId="0" sId="1">
      <nc r="B246" t="inlineStr">
        <is>
          <t>SPSS # 3</t>
        </is>
      </nc>
    </rcc>
    <rcc rId="0" sId="1">
      <nc r="C246">
        <v>3</v>
      </nc>
    </rcc>
    <rcc rId="0" sId="1">
      <nc r="E246" t="inlineStr">
        <is>
          <t>W1024616/1</t>
        </is>
      </nc>
    </rcc>
    <rcc rId="0" sId="1">
      <nc r="F246" t="inlineStr">
        <is>
          <t>SMI1/73-8010</t>
        </is>
      </nc>
    </rcc>
    <rcc rId="0" sId="1">
      <nc r="G246" t="inlineStr">
        <is>
          <t>SPSS Cart #10-Sterile</t>
        </is>
      </nc>
    </rcc>
    <rcc rId="0" sId="1">
      <nc r="H246">
        <v>75.48</v>
      </nc>
    </rcc>
    <rcc rId="0" sId="1">
      <nc r="I246">
        <v>25.16</v>
      </nc>
    </rcc>
    <rcc rId="0" sId="1">
      <nc r="J246">
        <v>40</v>
      </nc>
    </rcc>
    <rcc rId="0" sId="1">
      <nc r="K246">
        <v>0</v>
      </nc>
    </rcc>
    <rcc rId="0" sId="1" dxf="1" numFmtId="19">
      <nc r="L246">
        <v>46226.451388888891</v>
      </nc>
      <ndxf>
        <numFmt numFmtId="164" formatCode="mm\-dd\-yyyy"/>
      </ndxf>
    </rcc>
    <rcc rId="0" sId="1" dxf="1" numFmtId="19">
      <nc r="M246">
        <v>46231.513888888891</v>
      </nc>
      <ndxf>
        <numFmt numFmtId="164" formatCode="mm\-dd\-yyyy"/>
      </ndxf>
    </rcc>
    <rcc rId="0" sId="1">
      <nc r="AA246" t="inlineStr">
        <is>
          <t>1</t>
        </is>
      </nc>
    </rcc>
    <rcc rId="0" sId="1">
      <nc r="AB246" t="inlineStr">
        <is>
          <t>0</t>
        </is>
      </nc>
    </rcc>
  </rrc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43:XFD243" start="0" length="0">
    <dxf>
      <border>
        <bottom style="medium">
          <color indexed="64"/>
        </bottom>
      </border>
    </dxf>
  </rfmt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2" sId="1" numFmtId="19">
    <oc r="L16">
      <v>46217.291666666664</v>
    </oc>
    <nc r="L16"/>
  </rcc>
  <rcc rId="1743" sId="1" numFmtId="19">
    <oc r="M16">
      <v>46217.375</v>
    </oc>
    <nc r="M16"/>
  </rcc>
  <rcc rId="1744" sId="1">
    <oc r="AA16" t="inlineStr">
      <is>
        <t>1</t>
      </is>
    </oc>
    <nc r="AA16"/>
  </rcc>
  <rcc rId="1745" sId="1">
    <oc r="AB16" t="inlineStr">
      <is>
        <t>0</t>
      </is>
    </oc>
    <nc r="AB16"/>
  </rcc>
  <rcc rId="1746" sId="1" numFmtId="19">
    <oc r="L17">
      <v>46217.381944444445</v>
    </oc>
    <nc r="L17"/>
  </rcc>
  <rcc rId="1747" sId="1" numFmtId="19">
    <oc r="M17">
      <v>46217.465277777781</v>
    </oc>
    <nc r="M17"/>
  </rcc>
  <rcc rId="1748" sId="1">
    <oc r="AA17" t="inlineStr">
      <is>
        <t>1</t>
      </is>
    </oc>
    <nc r="AA17"/>
  </rcc>
  <rcc rId="1749" sId="1">
    <oc r="AB17" t="inlineStr">
      <is>
        <t>0</t>
      </is>
    </oc>
    <nc r="AB17"/>
  </rcc>
  <rcc rId="1750" sId="1" numFmtId="19">
    <oc r="L18">
      <v>46217.472222222219</v>
    </oc>
    <nc r="L18"/>
  </rcc>
  <rcc rId="1751" sId="1" numFmtId="19">
    <oc r="M18">
      <v>46217.555555555555</v>
    </oc>
    <nc r="M18"/>
  </rcc>
  <rcc rId="1752" sId="1">
    <oc r="AA18" t="inlineStr">
      <is>
        <t>1</t>
      </is>
    </oc>
    <nc r="AA18"/>
  </rcc>
  <rcc rId="1753" sId="1">
    <oc r="AB18" t="inlineStr">
      <is>
        <t>0</t>
      </is>
    </oc>
    <nc r="AB18"/>
  </rcc>
  <rcc rId="1754" sId="1" numFmtId="19">
    <oc r="L19">
      <v>46217.5625</v>
    </oc>
    <nc r="L19"/>
  </rcc>
  <rcc rId="1755" sId="1" numFmtId="19">
    <oc r="M19">
      <v>46218.340277777781</v>
    </oc>
    <nc r="M19"/>
  </rcc>
  <rcc rId="1756" sId="1">
    <oc r="AA19" t="inlineStr">
      <is>
        <t>1</t>
      </is>
    </oc>
    <nc r="AA19"/>
  </rcc>
  <rcc rId="1757" sId="1">
    <oc r="AB19" t="inlineStr">
      <is>
        <t>0</t>
      </is>
    </oc>
    <nc r="AB19"/>
  </rcc>
  <rcc rId="1758" sId="1" numFmtId="19">
    <oc r="L20">
      <v>46218.347222222219</v>
    </oc>
    <nc r="L20"/>
  </rcc>
  <rcc rId="1759" sId="1" numFmtId="19">
    <oc r="M20">
      <v>46218.347222222219</v>
    </oc>
    <nc r="M20"/>
  </rcc>
  <rcc rId="1760" sId="1">
    <oc r="AA20" t="inlineStr">
      <is>
        <t>1</t>
      </is>
    </oc>
    <nc r="AA20"/>
  </rcc>
  <rcc rId="1761" sId="1">
    <oc r="AB20" t="inlineStr">
      <is>
        <t>0</t>
      </is>
    </oc>
    <nc r="AB20"/>
  </rcc>
  <rcc rId="1762" sId="1" numFmtId="19">
    <oc r="L21">
      <v>46218.354166666664</v>
    </oc>
    <nc r="L21"/>
  </rcc>
  <rcc rId="1763" sId="1" numFmtId="19">
    <oc r="M21">
      <v>46218.4375</v>
    </oc>
    <nc r="M21"/>
  </rcc>
  <rcc rId="1764" sId="1">
    <oc r="AA21" t="inlineStr">
      <is>
        <t>1</t>
      </is>
    </oc>
    <nc r="AA21"/>
  </rcc>
  <rcc rId="1765" sId="1">
    <oc r="AB21" t="inlineStr">
      <is>
        <t>0</t>
      </is>
    </oc>
    <nc r="AB21"/>
  </rcc>
  <rcc rId="1766" sId="1" numFmtId="19">
    <oc r="L22">
      <v>46218.444444444445</v>
    </oc>
    <nc r="L22"/>
  </rcc>
  <rcc rId="1767" sId="1" numFmtId="19">
    <oc r="M22">
      <v>46218.527777777781</v>
    </oc>
    <nc r="M22"/>
  </rcc>
  <rcc rId="1768" sId="1">
    <oc r="AA22" t="inlineStr">
      <is>
        <t>1</t>
      </is>
    </oc>
    <nc r="AA22"/>
  </rcc>
  <rcc rId="1769" sId="1">
    <oc r="AB22" t="inlineStr">
      <is>
        <t>0</t>
      </is>
    </oc>
    <nc r="AB22"/>
  </rcc>
  <rcc rId="1770" sId="1" numFmtId="19">
    <oc r="L23">
      <v>46218.534722222219</v>
    </oc>
    <nc r="L23"/>
  </rcc>
  <rcc rId="1771" sId="1" numFmtId="19">
    <oc r="M23">
      <v>46218.618055555555</v>
    </oc>
    <nc r="M23"/>
  </rcc>
  <rcc rId="1772" sId="1">
    <oc r="AA23" t="inlineStr">
      <is>
        <t>1</t>
      </is>
    </oc>
    <nc r="AA23"/>
  </rcc>
  <rcc rId="1773" sId="1">
    <oc r="AB23" t="inlineStr">
      <is>
        <t>0</t>
      </is>
    </oc>
    <nc r="AB23"/>
  </rcc>
  <rcc rId="1774" sId="1" numFmtId="19">
    <oc r="L24">
      <v>46219.291666666664</v>
    </oc>
    <nc r="L24"/>
  </rcc>
  <rcc rId="1775" sId="1" numFmtId="19">
    <oc r="M24">
      <v>46219.375</v>
    </oc>
    <nc r="M24"/>
  </rcc>
  <rcc rId="1776" sId="1">
    <oc r="AA24" t="inlineStr">
      <is>
        <t>1</t>
      </is>
    </oc>
    <nc r="AA24"/>
  </rcc>
  <rcc rId="1777" sId="1">
    <oc r="AB24" t="inlineStr">
      <is>
        <t>0</t>
      </is>
    </oc>
    <nc r="AB24"/>
  </rcc>
  <rcc rId="1778" sId="1" numFmtId="19">
    <oc r="L25">
      <v>46219.381944444445</v>
    </oc>
    <nc r="L25"/>
  </rcc>
  <rcc rId="1779" sId="1" numFmtId="19">
    <oc r="M25">
      <v>46219.465277777781</v>
    </oc>
    <nc r="M25"/>
  </rcc>
  <rcc rId="1780" sId="1">
    <oc r="AA25" t="inlineStr">
      <is>
        <t>1</t>
      </is>
    </oc>
    <nc r="AA25"/>
  </rcc>
  <rcc rId="1781" sId="1">
    <oc r="AB25" t="inlineStr">
      <is>
        <t>0</t>
      </is>
    </oc>
    <nc r="AB25"/>
  </rcc>
  <rcc rId="1782" sId="1" numFmtId="19">
    <oc r="L26">
      <v>46219.472222222219</v>
    </oc>
    <nc r="L26"/>
  </rcc>
  <rcc rId="1783" sId="1" numFmtId="19">
    <oc r="M26">
      <v>46219.555555555555</v>
    </oc>
    <nc r="M26"/>
  </rcc>
  <rcc rId="1784" sId="1">
    <oc r="AA26" t="inlineStr">
      <is>
        <t>1</t>
      </is>
    </oc>
    <nc r="AA26"/>
  </rcc>
  <rcc rId="1785" sId="1">
    <oc r="AB26" t="inlineStr">
      <is>
        <t>0</t>
      </is>
    </oc>
    <nc r="AB26"/>
  </rcc>
  <rcc rId="1786" sId="1" numFmtId="19">
    <oc r="L27">
      <v>46219.5625</v>
    </oc>
    <nc r="L27"/>
  </rcc>
  <rcc rId="1787" sId="1" numFmtId="19">
    <oc r="M27">
      <v>46220.3125</v>
    </oc>
    <nc r="M27"/>
  </rcc>
  <rcc rId="1788" sId="1">
    <oc r="AA27" t="inlineStr">
      <is>
        <t>1</t>
      </is>
    </oc>
    <nc r="AA27"/>
  </rcc>
  <rcc rId="1789" sId="1">
    <oc r="AB27" t="inlineStr">
      <is>
        <t>0</t>
      </is>
    </oc>
    <nc r="AB27"/>
  </rcc>
  <rcc rId="1790" sId="1">
    <oc r="A28" t="inlineStr">
      <is>
        <t>Zone 1</t>
      </is>
    </oc>
    <nc r="A28"/>
  </rcc>
  <rcc rId="1791" sId="1">
    <oc r="B28" t="inlineStr">
      <is>
        <t>Blade Coat</t>
      </is>
    </oc>
    <nc r="B28"/>
  </rcc>
  <rcc rId="1792" sId="1">
    <oc r="C28">
      <v>1</v>
    </oc>
    <nc r="C28"/>
  </rcc>
  <rcc rId="1793" sId="1">
    <oc r="E28" t="inlineStr">
      <is>
        <t>W1029595/1</t>
      </is>
    </oc>
    <nc r="E28"/>
  </rcc>
  <rcc rId="1794" sId="1" numFmtId="19">
    <oc r="L28">
      <v>46220.319444444445</v>
    </oc>
    <nc r="L28"/>
  </rcc>
  <rcc rId="1795" sId="1" numFmtId="19">
    <oc r="M28">
      <v>46220.402777777781</v>
    </oc>
    <nc r="M28"/>
  </rcc>
  <rcc rId="1796" sId="1">
    <oc r="AA28" t="inlineStr">
      <is>
        <t>1</t>
      </is>
    </oc>
    <nc r="AA28"/>
  </rcc>
  <rcc rId="1797" sId="1">
    <oc r="AB28" t="inlineStr">
      <is>
        <t>0</t>
      </is>
    </oc>
    <nc r="AB28"/>
  </rcc>
  <rcc rId="1798" sId="1">
    <oc r="A29" t="inlineStr">
      <is>
        <t>Zone 1</t>
      </is>
    </oc>
    <nc r="A29"/>
  </rcc>
  <rcc rId="1799" sId="1">
    <oc r="B29" t="inlineStr">
      <is>
        <t>Blade Coat</t>
      </is>
    </oc>
    <nc r="B29"/>
  </rcc>
  <rcc rId="1800" sId="1">
    <oc r="C29">
      <v>1</v>
    </oc>
    <nc r="C29"/>
  </rcc>
  <rcc rId="1801" sId="1">
    <oc r="E29" t="inlineStr">
      <is>
        <t>W1029596/1</t>
      </is>
    </oc>
    <nc r="E29"/>
  </rcc>
  <rcc rId="1802" sId="1">
    <oc r="F29" t="inlineStr">
      <is>
        <t>SMI3/73-0015-0101</t>
      </is>
    </oc>
    <nc r="F29"/>
  </rcc>
  <rcc rId="1803" sId="1">
    <oc r="G29" t="inlineStr">
      <is>
        <t>#15 SS SURG BLD Polymer Coated</t>
      </is>
    </oc>
    <nc r="G29"/>
  </rcc>
  <rcc rId="1804" sId="1">
    <oc r="H29">
      <v>2.12</v>
    </oc>
    <nc r="H29"/>
  </rcc>
  <rcc rId="1805" sId="1">
    <oc r="I29">
      <v>2.12</v>
    </oc>
    <nc r="I29"/>
  </rcc>
  <rcc rId="1806" sId="1">
    <oc r="J29">
      <v>15000</v>
    </oc>
    <nc r="J29"/>
  </rcc>
  <rcc rId="1807" sId="1">
    <oc r="K29">
      <v>0</v>
    </oc>
    <nc r="K29"/>
  </rcc>
  <rcc rId="1808" sId="1" numFmtId="19">
    <oc r="L29">
      <v>46220.409722222219</v>
    </oc>
    <nc r="L29"/>
  </rcc>
  <rcc rId="1809" sId="1" numFmtId="19">
    <oc r="M29">
      <v>46220.493055555555</v>
    </oc>
    <nc r="M29"/>
  </rcc>
  <rcc rId="1810" sId="1">
    <oc r="AA29" t="inlineStr">
      <is>
        <t>1</t>
      </is>
    </oc>
    <nc r="AA29"/>
  </rcc>
  <rcc rId="1811" sId="1">
    <oc r="AB29" t="inlineStr">
      <is>
        <t>0</t>
      </is>
    </oc>
    <nc r="AB29"/>
  </rcc>
  <rcc rId="1812" sId="1">
    <oc r="A30" t="inlineStr">
      <is>
        <t>Zone 1</t>
      </is>
    </oc>
    <nc r="A30"/>
  </rcc>
  <rcc rId="1813" sId="1">
    <oc r="B30" t="inlineStr">
      <is>
        <t>Blade Coat</t>
      </is>
    </oc>
    <nc r="B30"/>
  </rcc>
  <rcc rId="1814" sId="1">
    <oc r="C30">
      <v>1</v>
    </oc>
    <nc r="C30"/>
  </rcc>
  <rcc rId="1815" sId="1">
    <oc r="E30" t="inlineStr">
      <is>
        <t>W1029597/1</t>
      </is>
    </oc>
    <nc r="E30"/>
  </rcc>
  <rcc rId="1816" sId="1">
    <oc r="F30" t="inlineStr">
      <is>
        <t>SMI3/73-0015-0101</t>
      </is>
    </oc>
    <nc r="F30"/>
  </rcc>
  <rcc rId="1817" sId="1">
    <oc r="G30" t="inlineStr">
      <is>
        <t>#15 SS SURG BLD Polymer Coated</t>
      </is>
    </oc>
    <nc r="G30"/>
  </rcc>
  <rcc rId="1818" sId="1">
    <oc r="H30">
      <v>2.12</v>
    </oc>
    <nc r="H30"/>
  </rcc>
  <rcc rId="1819" sId="1">
    <oc r="I30">
      <v>2.12</v>
    </oc>
    <nc r="I30"/>
  </rcc>
  <rcc rId="1820" sId="1">
    <oc r="J30">
      <v>15000</v>
    </oc>
    <nc r="J30"/>
  </rcc>
  <rcc rId="1821" sId="1">
    <oc r="K30">
      <v>0</v>
    </oc>
    <nc r="K30"/>
  </rcc>
  <rcc rId="1822" sId="1" numFmtId="19">
    <oc r="L30">
      <v>46220.5</v>
    </oc>
    <nc r="L30"/>
  </rcc>
  <rcc rId="1823" sId="1" numFmtId="19">
    <oc r="M30">
      <v>46220.583333333336</v>
    </oc>
    <nc r="M30"/>
  </rcc>
  <rcc rId="1824" sId="1">
    <oc r="AA30" t="inlineStr">
      <is>
        <t>1</t>
      </is>
    </oc>
    <nc r="AA30"/>
  </rcc>
  <rcc rId="1825" sId="1">
    <oc r="AB30" t="inlineStr">
      <is>
        <t>0</t>
      </is>
    </oc>
    <nc r="AB30"/>
  </rcc>
  <rcc rId="1826" sId="1">
    <oc r="A31" t="inlineStr">
      <is>
        <t>Zone 1</t>
      </is>
    </oc>
    <nc r="A31"/>
  </rcc>
  <rcc rId="1827" sId="1">
    <oc r="B31" t="inlineStr">
      <is>
        <t>Blade Coat</t>
      </is>
    </oc>
    <nc r="B31"/>
  </rcc>
  <rcc rId="1828" sId="1">
    <oc r="C31">
      <v>1</v>
    </oc>
    <nc r="C31"/>
  </rcc>
  <rcc rId="1829" sId="1">
    <oc r="E31" t="inlineStr">
      <is>
        <t>W1029598/1</t>
      </is>
    </oc>
    <nc r="E31"/>
  </rcc>
  <rcc rId="1830" sId="1">
    <oc r="F31" t="inlineStr">
      <is>
        <t>SMI3/73-0015-0101</t>
      </is>
    </oc>
    <nc r="F31"/>
  </rcc>
  <rcc rId="1831" sId="1">
    <oc r="G31" t="inlineStr">
      <is>
        <t>#15 SS SURG BLD Polymer Coated</t>
      </is>
    </oc>
    <nc r="G31"/>
  </rcc>
  <rcc rId="1832" sId="1">
    <oc r="H31">
      <v>2.12</v>
    </oc>
    <nc r="H31"/>
  </rcc>
  <rcc rId="1833" sId="1">
    <oc r="I31">
      <v>2.12</v>
    </oc>
    <nc r="I31"/>
  </rcc>
  <rcc rId="1834" sId="1">
    <oc r="J31">
      <v>15000</v>
    </oc>
    <nc r="J31"/>
  </rcc>
  <rcc rId="1835" sId="1">
    <oc r="K31">
      <v>0</v>
    </oc>
    <nc r="K31"/>
  </rcc>
  <rcc rId="1836" sId="1" numFmtId="19">
    <oc r="L31">
      <v>46220.590277777781</v>
    </oc>
    <nc r="L31"/>
  </rcc>
  <rcc rId="1837" sId="1" numFmtId="19">
    <oc r="M31">
      <v>46223.340277777781</v>
    </oc>
    <nc r="M31"/>
  </rcc>
  <rcc rId="1838" sId="1">
    <oc r="AA31" t="inlineStr">
      <is>
        <t>1</t>
      </is>
    </oc>
    <nc r="AA31"/>
  </rcc>
  <rcc rId="1839" sId="1">
    <oc r="AB31" t="inlineStr">
      <is>
        <t>0</t>
      </is>
    </oc>
    <nc r="AB31"/>
  </rcc>
  <rcc rId="1840" sId="1">
    <oc r="A32" t="inlineStr">
      <is>
        <t>Zone 1</t>
      </is>
    </oc>
    <nc r="A32"/>
  </rcc>
  <rcc rId="1841" sId="1">
    <oc r="B32" t="inlineStr">
      <is>
        <t>Blade Coat</t>
      </is>
    </oc>
    <nc r="B32"/>
  </rcc>
  <rcc rId="1842" sId="1">
    <oc r="C32">
      <v>1</v>
    </oc>
    <nc r="C32"/>
  </rcc>
  <rcc rId="1843" sId="1">
    <oc r="E32" t="inlineStr">
      <is>
        <t>W1028765/1</t>
      </is>
    </oc>
    <nc r="E32"/>
  </rcc>
  <rcc rId="1844" sId="1">
    <oc r="F32" t="inlineStr">
      <is>
        <t>SMI3/73-0010-0101</t>
      </is>
    </oc>
    <nc r="F32"/>
  </rcc>
  <rcc rId="1845" sId="1">
    <oc r="G32" t="inlineStr">
      <is>
        <t>#10 SS SURG BLD Polymer Coated</t>
      </is>
    </oc>
    <nc r="G32"/>
  </rcc>
  <rcc rId="1846" sId="1">
    <oc r="H32">
      <v>2.12</v>
    </oc>
    <nc r="H32"/>
  </rcc>
  <rcc rId="1847" sId="1">
    <oc r="I32">
      <v>2.12</v>
    </oc>
    <nc r="I32"/>
  </rcc>
  <rcc rId="1848" sId="1">
    <oc r="J32">
      <v>15000</v>
    </oc>
    <nc r="J32"/>
  </rcc>
  <rcc rId="1849" sId="1">
    <oc r="K32">
      <v>0</v>
    </oc>
    <nc r="K32"/>
  </rcc>
  <rcc rId="1850" sId="1" numFmtId="19">
    <oc r="L32">
      <v>46223.347222222219</v>
    </oc>
    <nc r="L32"/>
  </rcc>
  <rcc rId="1851" sId="1" numFmtId="19">
    <oc r="M32">
      <v>46223.430555555555</v>
    </oc>
    <nc r="M32"/>
  </rcc>
  <rcc rId="1852" sId="1">
    <oc r="AA32" t="inlineStr">
      <is>
        <t>1</t>
      </is>
    </oc>
    <nc r="AA32"/>
  </rcc>
  <rcc rId="1853" sId="1">
    <oc r="AB32" t="inlineStr">
      <is>
        <t>0</t>
      </is>
    </oc>
    <nc r="AB32"/>
  </rcc>
  <rcc rId="1854" sId="1">
    <oc r="A33" t="inlineStr">
      <is>
        <t>Zone 1</t>
      </is>
    </oc>
    <nc r="A33"/>
  </rcc>
  <rcc rId="1855" sId="1">
    <oc r="B33" t="inlineStr">
      <is>
        <t>Blade Coat</t>
      </is>
    </oc>
    <nc r="B33"/>
  </rcc>
  <rcc rId="1856" sId="1">
    <oc r="C33">
      <v>1</v>
    </oc>
    <nc r="C33"/>
  </rcc>
  <rcc rId="1857" sId="1">
    <oc r="E33" t="inlineStr">
      <is>
        <t>W1029588/1</t>
      </is>
    </oc>
    <nc r="E33"/>
  </rcc>
  <rcc rId="1858" sId="1">
    <oc r="F33" t="inlineStr">
      <is>
        <t>SMI3/73-0010-0101</t>
      </is>
    </oc>
    <nc r="F33"/>
  </rcc>
  <rcc rId="1859" sId="1">
    <oc r="G33" t="inlineStr">
      <is>
        <t>#10 SS SURG BLD Polymer Coated</t>
      </is>
    </oc>
    <nc r="G33"/>
  </rcc>
  <rcc rId="1860" sId="1">
    <oc r="H33">
      <v>2.12</v>
    </oc>
    <nc r="H33"/>
  </rcc>
  <rcc rId="1861" sId="1">
    <oc r="I33">
      <v>0.88</v>
    </oc>
    <nc r="I33"/>
  </rcc>
  <rcc rId="1862" sId="1">
    <oc r="J33">
      <v>15000</v>
    </oc>
    <nc r="J33"/>
  </rcc>
  <rcc rId="1863" sId="1">
    <oc r="K33">
      <v>8805</v>
    </oc>
    <nc r="K33"/>
  </rcc>
  <rcc rId="1864" sId="1" numFmtId="19">
    <oc r="L33">
      <v>46223.4375</v>
    </oc>
    <nc r="L33"/>
  </rcc>
  <rcc rId="1865" sId="1" numFmtId="19">
    <oc r="M33">
      <v>46223.472222222219</v>
    </oc>
    <nc r="M33"/>
  </rcc>
  <rcc rId="1866" sId="1">
    <oc r="AA33" t="inlineStr">
      <is>
        <t>1</t>
      </is>
    </oc>
    <nc r="AA33"/>
  </rcc>
  <rcc rId="1867" sId="1">
    <oc r="AB33" t="inlineStr">
      <is>
        <t>0</t>
      </is>
    </oc>
    <nc r="AB33"/>
  </rcc>
  <rcc rId="1868" sId="1">
    <oc r="A34" t="inlineStr">
      <is>
        <t>Zone 1</t>
      </is>
    </oc>
    <nc r="A34"/>
  </rcc>
  <rcc rId="1869" sId="1">
    <oc r="B34" t="inlineStr">
      <is>
        <t>Blade Coat</t>
      </is>
    </oc>
    <nc r="B34"/>
  </rcc>
  <rcc rId="1870" sId="1">
    <oc r="C34">
      <v>1</v>
    </oc>
    <nc r="C34"/>
  </rcc>
  <rcc rId="1871" sId="1">
    <oc r="E34" t="inlineStr">
      <is>
        <t>W1029590/1</t>
      </is>
    </oc>
    <nc r="E34"/>
  </rcc>
  <rcc rId="1872" sId="1">
    <oc r="F34" t="inlineStr">
      <is>
        <t>SMI3/73-0010-0101</t>
      </is>
    </oc>
    <nc r="F34"/>
  </rcc>
  <rcc rId="1873" sId="1">
    <oc r="G34" t="inlineStr">
      <is>
        <t>#10 SS SURG BLD Polymer Coated</t>
      </is>
    </oc>
    <nc r="G34"/>
  </rcc>
  <rcc rId="1874" sId="1">
    <oc r="H34">
      <v>2.12</v>
    </oc>
    <nc r="H34"/>
  </rcc>
  <rcc rId="1875" sId="1">
    <oc r="I34">
      <v>0.46</v>
    </oc>
    <nc r="I34"/>
  </rcc>
  <rcc rId="1876" sId="1">
    <oc r="J34">
      <v>15000</v>
    </oc>
    <nc r="J34"/>
  </rcc>
  <rcc rId="1877" sId="1">
    <oc r="K34">
      <v>11769</v>
    </oc>
    <nc r="K34"/>
  </rcc>
  <rcc rId="1878" sId="1" numFmtId="19">
    <oc r="L34">
      <v>46223.479166666664</v>
    </oc>
    <nc r="L34"/>
  </rcc>
  <rcc rId="1879" sId="1" numFmtId="19">
    <oc r="M34">
      <v>46223.493055555555</v>
    </oc>
    <nc r="M34"/>
  </rcc>
  <rcc rId="1880" sId="1">
    <oc r="AA34" t="inlineStr">
      <is>
        <t>1</t>
      </is>
    </oc>
    <nc r="AA34"/>
  </rcc>
  <rcc rId="1881" sId="1">
    <oc r="AB34" t="inlineStr">
      <is>
        <t>0</t>
      </is>
    </oc>
    <nc r="AB34"/>
  </rcc>
  <rcc rId="1882" sId="1">
    <oc r="A35" t="inlineStr">
      <is>
        <t>Zone 1</t>
      </is>
    </oc>
    <nc r="A35"/>
  </rcc>
  <rcc rId="1883" sId="1">
    <oc r="B35" t="inlineStr">
      <is>
        <t>Blade Coat</t>
      </is>
    </oc>
    <nc r="B35"/>
  </rcc>
  <rcc rId="1884" sId="1">
    <oc r="C35">
      <v>1</v>
    </oc>
    <nc r="C35"/>
  </rcc>
  <rcc rId="1885" sId="1">
    <oc r="E35" t="inlineStr">
      <is>
        <t>W1029591/1</t>
      </is>
    </oc>
    <nc r="E35"/>
  </rcc>
  <rcc rId="1886" sId="1">
    <oc r="F35" t="inlineStr">
      <is>
        <t>SMI3/73-0010-0101</t>
      </is>
    </oc>
    <nc r="F35"/>
  </rcc>
  <rcc rId="1887" sId="1">
    <oc r="G35" t="inlineStr">
      <is>
        <t>#10 SS SURG BLD Polymer Coated</t>
      </is>
    </oc>
    <nc r="G35"/>
  </rcc>
  <rcc rId="1888" sId="1">
    <oc r="H35">
      <v>2.12</v>
    </oc>
    <nc r="H35"/>
  </rcc>
  <rcc rId="1889" sId="1">
    <oc r="I35">
      <v>0.99</v>
    </oc>
    <nc r="I35"/>
  </rcc>
  <rcc rId="1890" sId="1">
    <oc r="J35">
      <v>15000</v>
    </oc>
    <nc r="J35"/>
  </rcc>
  <rcc rId="1891" sId="1">
    <oc r="K35">
      <v>8013</v>
    </oc>
    <nc r="K35"/>
  </rcc>
  <rcc rId="1892" sId="1" numFmtId="19">
    <oc r="L35">
      <v>46223.5</v>
    </oc>
    <nc r="L35"/>
  </rcc>
  <rcc rId="1893" sId="1" numFmtId="19">
    <oc r="M35">
      <v>46223.534722222219</v>
    </oc>
    <nc r="M35"/>
  </rcc>
  <rcc rId="1894" sId="1">
    <oc r="AA35" t="inlineStr">
      <is>
        <t>1</t>
      </is>
    </oc>
    <nc r="AA35"/>
  </rcc>
  <rcc rId="1895" sId="1">
    <oc r="AB35" t="inlineStr">
      <is>
        <t>0</t>
      </is>
    </oc>
    <nc r="AB35"/>
  </rcc>
  <rcc rId="1896" sId="1">
    <oc r="A36" t="inlineStr">
      <is>
        <t>Zone 1</t>
      </is>
    </oc>
    <nc r="A36"/>
  </rcc>
  <rcc rId="1897" sId="1">
    <oc r="B36" t="inlineStr">
      <is>
        <t>Blade Coat</t>
      </is>
    </oc>
    <nc r="B36"/>
  </rcc>
  <rcc rId="1898" sId="1">
    <oc r="C36">
      <v>1</v>
    </oc>
    <nc r="C36"/>
  </rcc>
  <rcc rId="1899" sId="1">
    <oc r="E36" t="inlineStr">
      <is>
        <t>W1029592/1</t>
      </is>
    </oc>
    <nc r="E36"/>
  </rcc>
  <rcc rId="1900" sId="1">
    <oc r="F36" t="inlineStr">
      <is>
        <t>SMI3/73-0010-0101</t>
      </is>
    </oc>
    <nc r="F36"/>
  </rcc>
  <rcc rId="1901" sId="1">
    <oc r="G36" t="inlineStr">
      <is>
        <t>#10 SS SURG BLD Polymer Coated</t>
      </is>
    </oc>
    <nc r="G36"/>
  </rcc>
  <rcc rId="1902" sId="1">
    <oc r="H36">
      <v>2.12</v>
    </oc>
    <nc r="H36"/>
  </rcc>
  <rcc rId="1903" sId="1">
    <oc r="I36">
      <v>0.94</v>
    </oc>
    <nc r="I36"/>
  </rcc>
  <rcc rId="1904" sId="1">
    <oc r="J36">
      <v>15000</v>
    </oc>
    <nc r="J36"/>
  </rcc>
  <rcc rId="1905" sId="1">
    <oc r="K36">
      <v>8330</v>
    </oc>
    <nc r="K36"/>
  </rcc>
  <rcc rId="1906" sId="1" numFmtId="19">
    <oc r="L36">
      <v>46223.541666666664</v>
    </oc>
    <nc r="L36"/>
  </rcc>
  <rcc rId="1907" sId="1" numFmtId="19">
    <oc r="M36">
      <v>46223.576388888891</v>
    </oc>
    <nc r="M36"/>
  </rcc>
  <rcc rId="1908" sId="1">
    <oc r="AA36" t="inlineStr">
      <is>
        <t>1</t>
      </is>
    </oc>
    <nc r="AA36"/>
  </rcc>
  <rcc rId="1909" sId="1">
    <oc r="AB36" t="inlineStr">
      <is>
        <t>0</t>
      </is>
    </oc>
    <nc r="AB36"/>
  </rcc>
  <rcc rId="1910" sId="1">
    <oc r="A37" t="inlineStr">
      <is>
        <t>Zone 1</t>
      </is>
    </oc>
    <nc r="A37"/>
  </rcc>
  <rcc rId="1911" sId="1">
    <oc r="B37" t="inlineStr">
      <is>
        <t>Blade Coat</t>
      </is>
    </oc>
    <nc r="B37"/>
  </rcc>
  <rcc rId="1912" sId="1">
    <oc r="C37">
      <v>1</v>
    </oc>
    <nc r="C37"/>
  </rcc>
  <rcc rId="1913" sId="1">
    <oc r="E37" t="inlineStr">
      <is>
        <t>W1029901/1</t>
      </is>
    </oc>
    <nc r="E37"/>
  </rcc>
  <rcc rId="1914" sId="1">
    <oc r="F37" t="inlineStr">
      <is>
        <t>SMI3/73-0015-0101</t>
      </is>
    </oc>
    <nc r="F37"/>
  </rcc>
  <rcc rId="1915" sId="1">
    <oc r="G37" t="inlineStr">
      <is>
        <t>#15 SS SURG BLD Polymer Coated</t>
      </is>
    </oc>
    <nc r="G37"/>
  </rcc>
  <rcc rId="1916" sId="1">
    <oc r="H37">
      <v>2.5499999999999998</v>
    </oc>
    <nc r="H37"/>
  </rcc>
  <rcc rId="1917" sId="1">
    <oc r="I37">
      <v>2.5499999999999998</v>
    </oc>
    <nc r="I37"/>
  </rcc>
  <rcc rId="1918" sId="1">
    <oc r="J37">
      <v>18000</v>
    </oc>
    <nc r="J37"/>
  </rcc>
  <rcc rId="1919" sId="1">
    <oc r="K37">
      <v>0</v>
    </oc>
    <nc r="K37"/>
  </rcc>
  <rcc rId="1920" sId="1" numFmtId="19">
    <oc r="L37">
      <v>46223.583333333336</v>
    </oc>
    <nc r="L37"/>
  </rcc>
  <rcc rId="1921" sId="1" numFmtId="19">
    <oc r="M37">
      <v>46224.354166666664</v>
    </oc>
    <nc r="M37"/>
  </rcc>
  <rcc rId="1922" sId="1">
    <oc r="AA37" t="inlineStr">
      <is>
        <t>1</t>
      </is>
    </oc>
    <nc r="AA37"/>
  </rcc>
  <rcc rId="1923" sId="1">
    <oc r="AB37" t="inlineStr">
      <is>
        <t>0</t>
      </is>
    </oc>
    <nc r="AB37"/>
  </rcc>
  <rcc rId="1924" sId="1">
    <oc r="A38" t="inlineStr">
      <is>
        <t>Zone 1</t>
      </is>
    </oc>
    <nc r="A38"/>
  </rcc>
  <rcc rId="1925" sId="1">
    <oc r="B38" t="inlineStr">
      <is>
        <t>Blade Coat</t>
      </is>
    </oc>
    <nc r="B38"/>
  </rcc>
  <rcc rId="1926" sId="1">
    <oc r="C38">
      <v>1</v>
    </oc>
    <nc r="C38"/>
  </rcc>
  <rcc rId="1927" sId="1">
    <oc r="E38" t="inlineStr">
      <is>
        <t>W1029902/1</t>
      </is>
    </oc>
    <nc r="E38"/>
  </rcc>
  <rcc rId="1928" sId="1">
    <oc r="F38" t="inlineStr">
      <is>
        <t>SMI3/73-0015-0101</t>
      </is>
    </oc>
    <nc r="F38"/>
  </rcc>
  <rcc rId="1929" sId="1">
    <oc r="G38" t="inlineStr">
      <is>
        <t>#15 SS SURG BLD Polymer Coated</t>
      </is>
    </oc>
    <nc r="G38"/>
  </rcc>
  <rcc rId="1930" sId="1">
    <oc r="H38">
      <v>2.5499999999999998</v>
    </oc>
    <nc r="H38"/>
  </rcc>
  <rcc rId="1931" sId="1">
    <oc r="I38">
      <v>2.5499999999999998</v>
    </oc>
    <nc r="I38"/>
  </rcc>
  <rcc rId="1932" sId="1">
    <oc r="J38">
      <v>18000</v>
    </oc>
    <nc r="J38"/>
  </rcc>
  <rcc rId="1933" sId="1">
    <oc r="K38">
      <v>0</v>
    </oc>
    <nc r="K38"/>
  </rcc>
  <rcc rId="1934" sId="1" numFmtId="19">
    <oc r="L38">
      <v>46224.361111111109</v>
    </oc>
    <nc r="L38"/>
  </rcc>
  <rcc rId="1935" sId="1" numFmtId="19">
    <oc r="M38">
      <v>46224.465277777781</v>
    </oc>
    <nc r="M38"/>
  </rcc>
  <rcc rId="1936" sId="1">
    <oc r="AA38" t="inlineStr">
      <is>
        <t>1</t>
      </is>
    </oc>
    <nc r="AA38"/>
  </rcc>
  <rcc rId="1937" sId="1">
    <oc r="AB38" t="inlineStr">
      <is>
        <t>0</t>
      </is>
    </oc>
    <nc r="AB38"/>
  </rcc>
  <rcc rId="1938" sId="1">
    <oc r="A39" t="inlineStr">
      <is>
        <t>Zone 1</t>
      </is>
    </oc>
    <nc r="A39"/>
  </rcc>
  <rcc rId="1939" sId="1">
    <oc r="B39" t="inlineStr">
      <is>
        <t>Blade Coat</t>
      </is>
    </oc>
    <nc r="B39"/>
  </rcc>
  <rcc rId="1940" sId="1">
    <oc r="C39">
      <v>1</v>
    </oc>
    <nc r="C39"/>
  </rcc>
  <rcc rId="1941" sId="1">
    <oc r="E39" t="inlineStr">
      <is>
        <t>W1029903/1</t>
      </is>
    </oc>
    <nc r="E39"/>
  </rcc>
  <rcc rId="1942" sId="1">
    <oc r="F39" t="inlineStr">
      <is>
        <t>SMI3/73-0015-0101</t>
      </is>
    </oc>
    <nc r="F39"/>
  </rcc>
  <rcc rId="1943" sId="1">
    <oc r="G39" t="inlineStr">
      <is>
        <t>#15 SS SURG BLD Polymer Coated</t>
      </is>
    </oc>
    <nc r="G39"/>
  </rcc>
  <rcc rId="1944" sId="1">
    <oc r="H39">
      <v>2.5499999999999998</v>
    </oc>
    <nc r="H39"/>
  </rcc>
  <rcc rId="1945" sId="1">
    <oc r="I39">
      <v>2.5499999999999998</v>
    </oc>
    <nc r="I39"/>
  </rcc>
  <rcc rId="1946" sId="1">
    <oc r="J39">
      <v>18000</v>
    </oc>
    <nc r="J39"/>
  </rcc>
  <rcc rId="1947" sId="1">
    <oc r="K39">
      <v>0</v>
    </oc>
    <nc r="K39"/>
  </rcc>
  <rcc rId="1948" sId="1" numFmtId="19">
    <oc r="L39">
      <v>46224.472222222219</v>
    </oc>
    <nc r="L39"/>
  </rcc>
  <rcc rId="1949" sId="1" numFmtId="19">
    <oc r="M39">
      <v>46224.576388888891</v>
    </oc>
    <nc r="M39"/>
  </rcc>
  <rcc rId="1950" sId="1">
    <oc r="AA39" t="inlineStr">
      <is>
        <t>1</t>
      </is>
    </oc>
    <nc r="AA39"/>
  </rcc>
  <rcc rId="1951" sId="1">
    <oc r="AB39" t="inlineStr">
      <is>
        <t>0</t>
      </is>
    </oc>
    <nc r="AB39"/>
  </rcc>
  <rcc rId="1952" sId="1">
    <oc r="A40" t="inlineStr">
      <is>
        <t>Zone 1</t>
      </is>
    </oc>
    <nc r="A40"/>
  </rcc>
  <rcc rId="1953" sId="1">
    <oc r="B40" t="inlineStr">
      <is>
        <t>Blade Coat</t>
      </is>
    </oc>
    <nc r="B40"/>
  </rcc>
  <rcc rId="1954" sId="1">
    <oc r="C40">
      <v>1</v>
    </oc>
    <nc r="C40"/>
  </rcc>
  <rcc rId="1955" sId="1">
    <oc r="E40" t="inlineStr">
      <is>
        <t>W1029904/1</t>
      </is>
    </oc>
    <nc r="E40"/>
  </rcc>
  <rcc rId="1956" sId="1">
    <oc r="F40" t="inlineStr">
      <is>
        <t>SMI3/73-0015-0101</t>
      </is>
    </oc>
    <nc r="F40"/>
  </rcc>
  <rcc rId="1957" sId="1">
    <oc r="G40" t="inlineStr">
      <is>
        <t>#15 SS SURG BLD Polymer Coated</t>
      </is>
    </oc>
    <nc r="G40"/>
  </rcc>
  <rcc rId="1958" sId="1">
    <oc r="H40">
      <v>2.5499999999999998</v>
    </oc>
    <nc r="H40"/>
  </rcc>
  <rcc rId="1959" sId="1">
    <oc r="I40">
      <v>2.5499999999999998</v>
    </oc>
    <nc r="I40"/>
  </rcc>
  <rcc rId="1960" sId="1">
    <oc r="J40">
      <v>18000</v>
    </oc>
    <nc r="J40"/>
  </rcc>
  <rcc rId="1961" sId="1">
    <oc r="K40">
      <v>0</v>
    </oc>
    <nc r="K40"/>
  </rcc>
  <rcc rId="1962" sId="1" numFmtId="19">
    <oc r="L40">
      <v>46224.583333333336</v>
    </oc>
    <nc r="L40"/>
  </rcc>
  <rcc rId="1963" sId="1" numFmtId="19">
    <oc r="M40">
      <v>46225.354166666664</v>
    </oc>
    <nc r="M40"/>
  </rcc>
  <rcc rId="1964" sId="1">
    <oc r="AA40" t="inlineStr">
      <is>
        <t>1</t>
      </is>
    </oc>
    <nc r="AA40"/>
  </rcc>
  <rcc rId="1965" sId="1">
    <oc r="AB40" t="inlineStr">
      <is>
        <t>0</t>
      </is>
    </oc>
    <nc r="AB40"/>
  </rcc>
  <rcc rId="1966" sId="1">
    <oc r="A41" t="inlineStr">
      <is>
        <t>Zone 1</t>
      </is>
    </oc>
    <nc r="A41"/>
  </rcc>
  <rcc rId="1967" sId="1">
    <oc r="B41" t="inlineStr">
      <is>
        <t>Blade Coat</t>
      </is>
    </oc>
    <nc r="B41"/>
  </rcc>
  <rcc rId="1968" sId="1">
    <oc r="C41">
      <v>1</v>
    </oc>
    <nc r="C41"/>
  </rcc>
  <rcc rId="1969" sId="1">
    <oc r="E41" t="inlineStr">
      <is>
        <t>W1029905/1</t>
      </is>
    </oc>
    <nc r="E41"/>
  </rcc>
  <rcc rId="1970" sId="1">
    <oc r="F41" t="inlineStr">
      <is>
        <t>SMI3/73-0015-0101</t>
      </is>
    </oc>
    <nc r="F41"/>
  </rcc>
  <rcc rId="1971" sId="1">
    <oc r="G41" t="inlineStr">
      <is>
        <t>#15 SS SURG BLD Polymer Coated</t>
      </is>
    </oc>
    <nc r="G41"/>
  </rcc>
  <rcc rId="1972" sId="1">
    <oc r="H41">
      <v>2.5499999999999998</v>
    </oc>
    <nc r="H41"/>
  </rcc>
  <rcc rId="1973" sId="1">
    <oc r="I41">
      <v>2.5499999999999998</v>
    </oc>
    <nc r="I41"/>
  </rcc>
  <rcc rId="1974" sId="1">
    <oc r="J41">
      <v>18000</v>
    </oc>
    <nc r="J41"/>
  </rcc>
  <rcc rId="1975" sId="1">
    <oc r="K41">
      <v>0</v>
    </oc>
    <nc r="K41"/>
  </rcc>
  <rcc rId="1976" sId="1" numFmtId="19">
    <oc r="L41">
      <v>46225.361111111109</v>
    </oc>
    <nc r="L41"/>
  </rcc>
  <rcc rId="1977" sId="1" numFmtId="19">
    <oc r="M41">
      <v>46225.465277777781</v>
    </oc>
    <nc r="M41"/>
  </rcc>
  <rcc rId="1978" sId="1">
    <oc r="AA41" t="inlineStr">
      <is>
        <t>1</t>
      </is>
    </oc>
    <nc r="AA41"/>
  </rcc>
  <rcc rId="1979" sId="1">
    <oc r="AB41" t="inlineStr">
      <is>
        <t>0</t>
      </is>
    </oc>
    <nc r="AB41"/>
  </rcc>
  <rcc rId="1980" sId="1">
    <oc r="A42" t="inlineStr">
      <is>
        <t>Zone 1</t>
      </is>
    </oc>
    <nc r="A42"/>
  </rcc>
  <rcc rId="1981" sId="1">
    <oc r="B42" t="inlineStr">
      <is>
        <t>Blade Coat</t>
      </is>
    </oc>
    <nc r="B42"/>
  </rcc>
  <rcc rId="1982" sId="1">
    <oc r="C42">
      <v>1</v>
    </oc>
    <nc r="C42"/>
  </rcc>
  <rcc rId="1983" sId="1">
    <oc r="E42" t="inlineStr">
      <is>
        <t>W1029906/1</t>
      </is>
    </oc>
    <nc r="E42"/>
  </rcc>
  <rcc rId="1984" sId="1">
    <oc r="F42" t="inlineStr">
      <is>
        <t>SMI3/73-0015-0101</t>
      </is>
    </oc>
    <nc r="F42"/>
  </rcc>
  <rcc rId="1985" sId="1">
    <oc r="G42" t="inlineStr">
      <is>
        <t>#15 SS SURG BLD Polymer Coated</t>
      </is>
    </oc>
    <nc r="G42"/>
  </rcc>
  <rcc rId="1986" sId="1">
    <oc r="H42">
      <v>2.5499999999999998</v>
    </oc>
    <nc r="H42"/>
  </rcc>
  <rcc rId="1987" sId="1">
    <oc r="I42">
      <v>2.5499999999999998</v>
    </oc>
    <nc r="I42"/>
  </rcc>
  <rcc rId="1988" sId="1">
    <oc r="J42">
      <v>18000</v>
    </oc>
    <nc r="J42"/>
  </rcc>
  <rcc rId="1989" sId="1">
    <oc r="K42">
      <v>0</v>
    </oc>
    <nc r="K42"/>
  </rcc>
  <rcc rId="1990" sId="1" numFmtId="19">
    <oc r="L42">
      <v>46225.472222222219</v>
    </oc>
    <nc r="L42"/>
  </rcc>
  <rcc rId="1991" sId="1" numFmtId="19">
    <oc r="M42">
      <v>46225.576388888891</v>
    </oc>
    <nc r="M42"/>
  </rcc>
  <rcc rId="1992" sId="1">
    <oc r="AA42" t="inlineStr">
      <is>
        <t>1</t>
      </is>
    </oc>
    <nc r="AA42"/>
  </rcc>
  <rcc rId="1993" sId="1">
    <oc r="AB42" t="inlineStr">
      <is>
        <t>0</t>
      </is>
    </oc>
    <nc r="AB42"/>
  </rcc>
  <rcc rId="1994" sId="1">
    <oc r="A43" t="inlineStr">
      <is>
        <t>Zone 1</t>
      </is>
    </oc>
    <nc r="A43"/>
  </rcc>
  <rcc rId="1995" sId="1">
    <oc r="B43" t="inlineStr">
      <is>
        <t>Blade Coat</t>
      </is>
    </oc>
    <nc r="B43"/>
  </rcc>
  <rcc rId="1996" sId="1">
    <oc r="C43">
      <v>1</v>
    </oc>
    <nc r="C43"/>
  </rcc>
  <rcc rId="1997" sId="1">
    <oc r="E43" t="inlineStr">
      <is>
        <t>W1029907/1</t>
      </is>
    </oc>
    <nc r="E43"/>
  </rcc>
  <rcc rId="1998" sId="1">
    <oc r="F43" t="inlineStr">
      <is>
        <t>SMI3/73-0015-0101</t>
      </is>
    </oc>
    <nc r="F43"/>
  </rcc>
  <rcc rId="1999" sId="1">
    <oc r="G43" t="inlineStr">
      <is>
        <t>#15 SS SURG BLD Polymer Coated</t>
      </is>
    </oc>
    <nc r="G43"/>
  </rcc>
  <rcc rId="2000" sId="1">
    <oc r="H43">
      <v>2.5499999999999998</v>
    </oc>
    <nc r="H43"/>
  </rcc>
  <rcc rId="2001" sId="1">
    <oc r="I43">
      <v>2.5499999999999998</v>
    </oc>
    <nc r="I43"/>
  </rcc>
  <rcc rId="2002" sId="1">
    <oc r="J43">
      <v>18000</v>
    </oc>
    <nc r="J43"/>
  </rcc>
  <rcc rId="2003" sId="1">
    <oc r="K43">
      <v>0</v>
    </oc>
    <nc r="K43"/>
  </rcc>
  <rcc rId="2004" sId="1" numFmtId="19">
    <oc r="L43">
      <v>46225.583333333336</v>
    </oc>
    <nc r="L43"/>
  </rcc>
  <rcc rId="2005" sId="1" numFmtId="19">
    <oc r="M43">
      <v>46226.354166666664</v>
    </oc>
    <nc r="M43"/>
  </rcc>
  <rcc rId="2006" sId="1">
    <oc r="AA43" t="inlineStr">
      <is>
        <t>1</t>
      </is>
    </oc>
    <nc r="AA43"/>
  </rcc>
  <rcc rId="2007" sId="1">
    <oc r="AB43" t="inlineStr">
      <is>
        <t>0</t>
      </is>
    </oc>
    <nc r="AB43"/>
  </rcc>
  <rcc rId="2008" sId="1">
    <oc r="A44" t="inlineStr">
      <is>
        <t>Zone 1</t>
      </is>
    </oc>
    <nc r="A44"/>
  </rcc>
  <rcc rId="2009" sId="1">
    <oc r="B44" t="inlineStr">
      <is>
        <t>Blade Coat</t>
      </is>
    </oc>
    <nc r="B44"/>
  </rcc>
  <rcc rId="2010" sId="1">
    <oc r="C44">
      <v>1</v>
    </oc>
    <nc r="C44"/>
  </rcc>
  <rcc rId="2011" sId="1">
    <oc r="E44" t="inlineStr">
      <is>
        <t>W1029908/1</t>
      </is>
    </oc>
    <nc r="E44"/>
  </rcc>
  <rcc rId="2012" sId="1">
    <oc r="F44" t="inlineStr">
      <is>
        <t>SMI3/73-0015-0101</t>
      </is>
    </oc>
    <nc r="F44"/>
  </rcc>
  <rcc rId="2013" sId="1">
    <oc r="G44" t="inlineStr">
      <is>
        <t>#15 SS SURG BLD Polymer Coated</t>
      </is>
    </oc>
    <nc r="G44"/>
  </rcc>
  <rcc rId="2014" sId="1">
    <oc r="H44">
      <v>2.5499999999999998</v>
    </oc>
    <nc r="H44"/>
  </rcc>
  <rcc rId="2015" sId="1">
    <oc r="I44">
      <v>2.5499999999999998</v>
    </oc>
    <nc r="I44"/>
  </rcc>
  <rcc rId="2016" sId="1">
    <oc r="J44">
      <v>18000</v>
    </oc>
    <nc r="J44"/>
  </rcc>
  <rcc rId="2017" sId="1">
    <oc r="K44">
      <v>0</v>
    </oc>
    <nc r="K44"/>
  </rcc>
  <rcc rId="2018" sId="1" numFmtId="19">
    <oc r="L44">
      <v>46226.361111111109</v>
    </oc>
    <nc r="L44"/>
  </rcc>
  <rcc rId="2019" sId="1" numFmtId="19">
    <oc r="M44">
      <v>46226.465277777781</v>
    </oc>
    <nc r="M44"/>
  </rcc>
  <rcc rId="2020" sId="1">
    <oc r="AA44" t="inlineStr">
      <is>
        <t>1</t>
      </is>
    </oc>
    <nc r="AA44"/>
  </rcc>
  <rcc rId="2021" sId="1">
    <oc r="AB44" t="inlineStr">
      <is>
        <t>0</t>
      </is>
    </oc>
    <nc r="AB44"/>
  </rcc>
  <rcc rId="2022" sId="1">
    <oc r="A45" t="inlineStr">
      <is>
        <t>Zone 1</t>
      </is>
    </oc>
    <nc r="A45"/>
  </rcc>
  <rcc rId="2023" sId="1">
    <oc r="B45" t="inlineStr">
      <is>
        <t>Blade Coat</t>
      </is>
    </oc>
    <nc r="B45"/>
  </rcc>
  <rcc rId="2024" sId="1">
    <oc r="C45">
      <v>1</v>
    </oc>
    <nc r="C45"/>
  </rcc>
  <rcc rId="2025" sId="1">
    <oc r="E45" t="inlineStr">
      <is>
        <t>W1029909/1</t>
      </is>
    </oc>
    <nc r="E45"/>
  </rcc>
  <rcc rId="2026" sId="1">
    <oc r="F45" t="inlineStr">
      <is>
        <t>SMI3/73-0015-0101</t>
      </is>
    </oc>
    <nc r="F45"/>
  </rcc>
  <rcc rId="2027" sId="1">
    <oc r="G45" t="inlineStr">
      <is>
        <t>#15 SS SURG BLD Polymer Coated</t>
      </is>
    </oc>
    <nc r="G45"/>
  </rcc>
  <rcc rId="2028" sId="1">
    <oc r="H45">
      <v>2.5499999999999998</v>
    </oc>
    <nc r="H45"/>
  </rcc>
  <rcc rId="2029" sId="1">
    <oc r="I45">
      <v>2.5499999999999998</v>
    </oc>
    <nc r="I45"/>
  </rcc>
  <rcc rId="2030" sId="1">
    <oc r="J45">
      <v>18000</v>
    </oc>
    <nc r="J45"/>
  </rcc>
  <rcc rId="2031" sId="1">
    <oc r="K45">
      <v>0</v>
    </oc>
    <nc r="K45"/>
  </rcc>
  <rcc rId="2032" sId="1" numFmtId="19">
    <oc r="L45">
      <v>46226.472222222219</v>
    </oc>
    <nc r="L45"/>
  </rcc>
  <rcc rId="2033" sId="1" numFmtId="19">
    <oc r="M45">
      <v>46226.576388888891</v>
    </oc>
    <nc r="M45"/>
  </rcc>
  <rcc rId="2034" sId="1">
    <oc r="AA45" t="inlineStr">
      <is>
        <t>1</t>
      </is>
    </oc>
    <nc r="AA45"/>
  </rcc>
  <rcc rId="2035" sId="1">
    <oc r="AB45" t="inlineStr">
      <is>
        <t>0</t>
      </is>
    </oc>
    <nc r="AB45"/>
  </rcc>
  <rcc rId="2036" sId="1">
    <oc r="A46" t="inlineStr">
      <is>
        <t>Zone 1</t>
      </is>
    </oc>
    <nc r="A46"/>
  </rcc>
  <rcc rId="2037" sId="1">
    <oc r="B46" t="inlineStr">
      <is>
        <t>Blade Coat</t>
      </is>
    </oc>
    <nc r="B46"/>
  </rcc>
  <rcc rId="2038" sId="1">
    <oc r="C46">
      <v>1</v>
    </oc>
    <nc r="C46"/>
  </rcc>
  <rcc rId="2039" sId="1">
    <oc r="E46" t="inlineStr">
      <is>
        <t>W1029790/1</t>
      </is>
    </oc>
    <nc r="E46"/>
  </rcc>
  <rcc rId="2040" sId="1">
    <oc r="F46" t="inlineStr">
      <is>
        <t>SMI3/73-0010R-0101</t>
      </is>
    </oc>
    <nc r="F46"/>
  </rcc>
  <rcc rId="2041" sId="1">
    <oc r="G46" t="inlineStr">
      <is>
        <t>#10R SS SURG BLD Polymer Coated</t>
      </is>
    </oc>
    <nc r="G46"/>
  </rcc>
  <rcc rId="2042" sId="1">
    <oc r="H46">
      <v>2.8</v>
    </oc>
    <nc r="H46"/>
  </rcc>
  <rcc rId="2043" sId="1">
    <oc r="I46">
      <v>2.8</v>
    </oc>
    <nc r="I46"/>
  </rcc>
  <rcc rId="2044" sId="1">
    <oc r="J46">
      <v>19800</v>
    </oc>
    <nc r="J46"/>
  </rcc>
  <rcc rId="2045" sId="1">
    <oc r="K46">
      <v>0</v>
    </oc>
    <nc r="K46"/>
  </rcc>
  <rcc rId="2046" sId="1" numFmtId="19">
    <oc r="L46">
      <v>46227.291666666664</v>
    </oc>
    <nc r="L46"/>
  </rcc>
  <rcc rId="2047" sId="1" numFmtId="19">
    <oc r="M46">
      <v>46227.402777777781</v>
    </oc>
    <nc r="M46"/>
  </rcc>
  <rcc rId="2048" sId="1">
    <oc r="AA46" t="inlineStr">
      <is>
        <t>1</t>
      </is>
    </oc>
    <nc r="AA46"/>
  </rcc>
  <rcc rId="2049" sId="1">
    <oc r="AB46" t="inlineStr">
      <is>
        <t>0</t>
      </is>
    </oc>
    <nc r="AB46"/>
  </rcc>
  <rcc rId="2050" sId="1">
    <oc r="A47" t="inlineStr">
      <is>
        <t>Zone 1</t>
      </is>
    </oc>
    <nc r="A47"/>
  </rcc>
  <rcc rId="2051" sId="1">
    <oc r="B47" t="inlineStr">
      <is>
        <t>Blade Coat</t>
      </is>
    </oc>
    <nc r="B47"/>
  </rcc>
  <rcc rId="2052" sId="1">
    <oc r="C47">
      <v>1</v>
    </oc>
    <nc r="C47"/>
  </rcc>
  <rcc rId="2053" sId="1">
    <oc r="E47" t="inlineStr">
      <is>
        <t>W1029791/1</t>
      </is>
    </oc>
    <nc r="E47"/>
  </rcc>
  <rcc rId="2054" sId="1">
    <oc r="F47" t="inlineStr">
      <is>
        <t>SMI3/73-0010R-0101</t>
      </is>
    </oc>
    <nc r="F47"/>
  </rcc>
  <rcc rId="2055" sId="1">
    <oc r="G47" t="inlineStr">
      <is>
        <t>#10R SS SURG BLD Polymer Coated</t>
      </is>
    </oc>
    <nc r="G47"/>
  </rcc>
  <rcc rId="2056" sId="1">
    <oc r="H47">
      <v>2.8</v>
    </oc>
    <nc r="H47"/>
  </rcc>
  <rcc rId="2057" sId="1">
    <oc r="I47">
      <v>2.8</v>
    </oc>
    <nc r="I47"/>
  </rcc>
  <rcc rId="2058" sId="1">
    <oc r="J47">
      <v>19800</v>
    </oc>
    <nc r="J47"/>
  </rcc>
  <rcc rId="2059" sId="1">
    <oc r="K47">
      <v>0</v>
    </oc>
    <nc r="K47"/>
  </rcc>
  <rcc rId="2060" sId="1" numFmtId="19">
    <oc r="L47">
      <v>46227.409722222219</v>
    </oc>
    <nc r="L47"/>
  </rcc>
  <rcc rId="2061" sId="1" numFmtId="19">
    <oc r="M47">
      <v>46227.520833333336</v>
    </oc>
    <nc r="M47"/>
  </rcc>
  <rcc rId="2062" sId="1">
    <oc r="AA47" t="inlineStr">
      <is>
        <t>1</t>
      </is>
    </oc>
    <nc r="AA47"/>
  </rcc>
  <rcc rId="2063" sId="1">
    <oc r="AB47" t="inlineStr">
      <is>
        <t>0</t>
      </is>
    </oc>
    <nc r="AB47"/>
  </rcc>
  <rcc rId="2064" sId="1">
    <oc r="A48" t="inlineStr">
      <is>
        <t>Zone 1</t>
      </is>
    </oc>
    <nc r="A48"/>
  </rcc>
  <rcc rId="2065" sId="1">
    <oc r="B48" t="inlineStr">
      <is>
        <t>Blade Coat</t>
      </is>
    </oc>
    <nc r="B48"/>
  </rcc>
  <rcc rId="2066" sId="1">
    <oc r="C48">
      <v>1</v>
    </oc>
    <nc r="C48"/>
  </rcc>
  <rcc rId="2067" sId="1">
    <oc r="E48" t="inlineStr">
      <is>
        <t>W1029792/1</t>
      </is>
    </oc>
    <nc r="E48"/>
  </rcc>
  <rcc rId="2068" sId="1">
    <oc r="F48" t="inlineStr">
      <is>
        <t>SMI3/73-0010R-0101</t>
      </is>
    </oc>
    <nc r="F48"/>
  </rcc>
  <rcc rId="2069" sId="1">
    <oc r="G48" t="inlineStr">
      <is>
        <t>#10R SS SURG BLD Polymer Coated</t>
      </is>
    </oc>
    <nc r="G48"/>
  </rcc>
  <rcc rId="2070" sId="1">
    <oc r="H48">
      <v>2.8</v>
    </oc>
    <nc r="H48"/>
  </rcc>
  <rcc rId="2071" sId="1">
    <oc r="I48">
      <v>2.8</v>
    </oc>
    <nc r="I48"/>
  </rcc>
  <rcc rId="2072" sId="1">
    <oc r="J48">
      <v>19800</v>
    </oc>
    <nc r="J48"/>
  </rcc>
  <rcc rId="2073" sId="1">
    <oc r="K48">
      <v>0</v>
    </oc>
    <nc r="K48"/>
  </rcc>
  <rcc rId="2074" sId="1" numFmtId="19">
    <oc r="L48">
      <v>46227.527777777781</v>
    </oc>
    <nc r="L48"/>
  </rcc>
  <rcc rId="2075" sId="1" numFmtId="19">
    <oc r="M48">
      <v>46230.305555555555</v>
    </oc>
    <nc r="M48"/>
  </rcc>
  <rcc rId="2076" sId="1">
    <oc r="AA48" t="inlineStr">
      <is>
        <t>1</t>
      </is>
    </oc>
    <nc r="AA48"/>
  </rcc>
  <rcc rId="2077" sId="1">
    <oc r="AB48" t="inlineStr">
      <is>
        <t>0</t>
      </is>
    </oc>
    <nc r="AB48"/>
  </rcc>
  <rcc rId="2078" sId="1">
    <oc r="A49" t="inlineStr">
      <is>
        <t>Zone 1</t>
      </is>
    </oc>
    <nc r="A49"/>
  </rcc>
  <rcc rId="2079" sId="1">
    <oc r="B49" t="inlineStr">
      <is>
        <t>Blade Coat</t>
      </is>
    </oc>
    <nc r="B49"/>
  </rcc>
  <rcc rId="2080" sId="1">
    <oc r="C49">
      <v>1</v>
    </oc>
    <nc r="C49"/>
  </rcc>
  <rcc rId="2081" sId="1">
    <oc r="E49" t="inlineStr">
      <is>
        <t>W1028991/1</t>
      </is>
    </oc>
    <nc r="E49"/>
  </rcc>
  <rcc rId="2082" sId="1">
    <oc r="F49" t="inlineStr">
      <is>
        <t>SMI3/73-0011-0101</t>
      </is>
    </oc>
    <nc r="F49"/>
  </rcc>
  <rcc rId="2083" sId="1">
    <oc r="G49" t="inlineStr">
      <is>
        <t>#11 SS SURG BLD Polymer Coated</t>
      </is>
    </oc>
    <nc r="G49"/>
  </rcc>
  <rcc rId="2084" sId="1">
    <oc r="H49">
      <v>2.12</v>
    </oc>
    <nc r="H49"/>
  </rcc>
  <rcc rId="2085" sId="1">
    <oc r="I49">
      <v>2.12</v>
    </oc>
    <nc r="I49"/>
  </rcc>
  <rcc rId="2086" sId="1">
    <oc r="J49">
      <v>15000</v>
    </oc>
    <nc r="J49"/>
  </rcc>
  <rcc rId="2087" sId="1">
    <oc r="K49">
      <v>0</v>
    </oc>
    <nc r="K49"/>
  </rcc>
  <rcc rId="2088" sId="1" numFmtId="19">
    <oc r="L49">
      <v>46230.3125</v>
    </oc>
    <nc r="L49"/>
  </rcc>
  <rcc rId="2089" sId="1" numFmtId="19">
    <oc r="M49">
      <v>46230.395833333336</v>
    </oc>
    <nc r="M49"/>
  </rcc>
  <rcc rId="2090" sId="1">
    <oc r="AA49" t="inlineStr">
      <is>
        <t>1</t>
      </is>
    </oc>
    <nc r="AA49"/>
  </rcc>
  <rcc rId="2091" sId="1">
    <oc r="AB49" t="inlineStr">
      <is>
        <t>0</t>
      </is>
    </oc>
    <nc r="AB49"/>
  </rcc>
  <rcc rId="2092" sId="1">
    <oc r="A50" t="inlineStr">
      <is>
        <t>Zone 1</t>
      </is>
    </oc>
    <nc r="A50"/>
  </rcc>
  <rcc rId="2093" sId="1">
    <oc r="B50" t="inlineStr">
      <is>
        <t>Blade Coat</t>
      </is>
    </oc>
    <nc r="B50"/>
  </rcc>
  <rcc rId="2094" sId="1">
    <oc r="C50">
      <v>1</v>
    </oc>
    <nc r="C50"/>
  </rcc>
  <rcc rId="2095" sId="1">
    <oc r="E50" t="inlineStr">
      <is>
        <t>W1028992/1</t>
      </is>
    </oc>
    <nc r="E50"/>
  </rcc>
  <rcc rId="2096" sId="1">
    <oc r="F50" t="inlineStr">
      <is>
        <t>SMI3/73-0011-0101</t>
      </is>
    </oc>
    <nc r="F50"/>
  </rcc>
  <rcc rId="2097" sId="1">
    <oc r="G50" t="inlineStr">
      <is>
        <t>#11 SS SURG BLD Polymer Coated</t>
      </is>
    </oc>
    <nc r="G50"/>
  </rcc>
  <rcc rId="2098" sId="1">
    <oc r="H50">
      <v>2.12</v>
    </oc>
    <nc r="H50"/>
  </rcc>
  <rcc rId="2099" sId="1">
    <oc r="I50">
      <v>2.12</v>
    </oc>
    <nc r="I50"/>
  </rcc>
  <rcc rId="2100" sId="1">
    <oc r="J50">
      <v>15000</v>
    </oc>
    <nc r="J50"/>
  </rcc>
  <rcc rId="2101" sId="1">
    <oc r="K50">
      <v>0</v>
    </oc>
    <nc r="K50"/>
  </rcc>
  <rcc rId="2102" sId="1" numFmtId="19">
    <oc r="L50">
      <v>46230.402777777781</v>
    </oc>
    <nc r="L50"/>
  </rcc>
  <rcc rId="2103" sId="1" numFmtId="19">
    <oc r="M50">
      <v>46230.486111111109</v>
    </oc>
    <nc r="M50"/>
  </rcc>
  <rcc rId="2104" sId="1">
    <oc r="AA50" t="inlineStr">
      <is>
        <t>1</t>
      </is>
    </oc>
    <nc r="AA50"/>
  </rcc>
  <rcc rId="2105" sId="1">
    <oc r="AB50" t="inlineStr">
      <is>
        <t>0</t>
      </is>
    </oc>
    <nc r="AB50"/>
  </rcc>
  <rcc rId="2106" sId="1">
    <oc r="A51" t="inlineStr">
      <is>
        <t>Zone 1</t>
      </is>
    </oc>
    <nc r="A51"/>
  </rcc>
  <rcc rId="2107" sId="1">
    <oc r="B51" t="inlineStr">
      <is>
        <t>Blade Coat</t>
      </is>
    </oc>
    <nc r="B51"/>
  </rcc>
  <rcc rId="2108" sId="1">
    <oc r="C51">
      <v>1</v>
    </oc>
    <nc r="C51"/>
  </rcc>
  <rcc rId="2109" sId="1">
    <oc r="E51" t="inlineStr">
      <is>
        <t>W1028993/1</t>
      </is>
    </oc>
    <nc r="E51"/>
  </rcc>
  <rcc rId="2110" sId="1">
    <oc r="F51" t="inlineStr">
      <is>
        <t>SMI3/73-0011-0101</t>
      </is>
    </oc>
    <nc r="F51"/>
  </rcc>
  <rcc rId="2111" sId="1">
    <oc r="G51" t="inlineStr">
      <is>
        <t>#11 SS SURG BLD Polymer Coated</t>
      </is>
    </oc>
    <nc r="G51"/>
  </rcc>
  <rcc rId="2112" sId="1">
    <oc r="H51">
      <v>2.12</v>
    </oc>
    <nc r="H51"/>
  </rcc>
  <rcc rId="2113" sId="1">
    <oc r="I51">
      <v>2.12</v>
    </oc>
    <nc r="I51"/>
  </rcc>
  <rcc rId="2114" sId="1">
    <oc r="J51">
      <v>15000</v>
    </oc>
    <nc r="J51"/>
  </rcc>
  <rcc rId="2115" sId="1">
    <oc r="K51">
      <v>0</v>
    </oc>
    <nc r="K51"/>
  </rcc>
  <rcc rId="2116" sId="1" numFmtId="19">
    <oc r="L51">
      <v>46230.493055555555</v>
    </oc>
    <nc r="L51"/>
  </rcc>
  <rcc rId="2117" sId="1" numFmtId="19">
    <oc r="M51">
      <v>46230.576388888891</v>
    </oc>
    <nc r="M51"/>
  </rcc>
  <rcc rId="2118" sId="1">
    <oc r="AA51" t="inlineStr">
      <is>
        <t>1</t>
      </is>
    </oc>
    <nc r="AA51"/>
  </rcc>
  <rcc rId="2119" sId="1">
    <oc r="AB51" t="inlineStr">
      <is>
        <t>0</t>
      </is>
    </oc>
    <nc r="AB51"/>
  </rcc>
  <rcc rId="2120" sId="1">
    <oc r="A52" t="inlineStr">
      <is>
        <t>Zone 1</t>
      </is>
    </oc>
    <nc r="A52"/>
  </rcc>
  <rcc rId="2121" sId="1">
    <oc r="B52" t="inlineStr">
      <is>
        <t>Blade Coat</t>
      </is>
    </oc>
    <nc r="B52"/>
  </rcc>
  <rcc rId="2122" sId="1">
    <oc r="C52">
      <v>1</v>
    </oc>
    <nc r="C52"/>
  </rcc>
  <rcc rId="2123" sId="1">
    <oc r="E52" t="inlineStr">
      <is>
        <t>W1028994/1</t>
      </is>
    </oc>
    <nc r="E52"/>
  </rcc>
  <rcc rId="2124" sId="1">
    <oc r="F52" t="inlineStr">
      <is>
        <t>SMI3/73-0011-0101</t>
      </is>
    </oc>
    <nc r="F52"/>
  </rcc>
  <rcc rId="2125" sId="1">
    <oc r="G52" t="inlineStr">
      <is>
        <t>#11 SS SURG BLD Polymer Coated</t>
      </is>
    </oc>
    <nc r="G52"/>
  </rcc>
  <rcc rId="2126" sId="1">
    <oc r="H52">
      <v>2.12</v>
    </oc>
    <nc r="H52"/>
  </rcc>
  <rcc rId="2127" sId="1">
    <oc r="I52">
      <v>2.12</v>
    </oc>
    <nc r="I52"/>
  </rcc>
  <rcc rId="2128" sId="1">
    <oc r="J52">
      <v>15000</v>
    </oc>
    <nc r="J52"/>
  </rcc>
  <rcc rId="2129" sId="1">
    <oc r="K52">
      <v>0</v>
    </oc>
    <nc r="K52"/>
  </rcc>
  <rcc rId="2130" sId="1" numFmtId="19">
    <oc r="L52">
      <v>46230.583333333336</v>
    </oc>
    <nc r="L52"/>
  </rcc>
  <rcc rId="2131" sId="1" numFmtId="19">
    <oc r="M52">
      <v>46231.333333333336</v>
    </oc>
    <nc r="M52"/>
  </rcc>
  <rcc rId="2132" sId="1">
    <oc r="AA52" t="inlineStr">
      <is>
        <t>1</t>
      </is>
    </oc>
    <nc r="AA52"/>
  </rcc>
  <rcc rId="2133" sId="1">
    <oc r="AB52" t="inlineStr">
      <is>
        <t>0</t>
      </is>
    </oc>
    <nc r="AB52"/>
  </rcc>
  <rcc rId="2134" sId="1">
    <oc r="A53" t="inlineStr">
      <is>
        <t>Zone 1</t>
      </is>
    </oc>
    <nc r="A53"/>
  </rcc>
  <rcc rId="2135" sId="1">
    <oc r="B53" t="inlineStr">
      <is>
        <t>Blade Grinder</t>
      </is>
    </oc>
    <nc r="B53"/>
  </rcc>
  <rcc rId="2136" sId="1">
    <oc r="C53">
      <v>0.5</v>
    </oc>
    <nc r="C53"/>
  </rcc>
  <rcc rId="2137" sId="1">
    <oc r="E53" t="inlineStr">
      <is>
        <t>W1029613-1/1</t>
      </is>
    </oc>
    <nc r="E53"/>
  </rcc>
  <rcc rId="2138" sId="1">
    <oc r="F53" t="inlineStr">
      <is>
        <t>SMI3/73-0010-0101UC</t>
      </is>
    </oc>
    <nc r="F53"/>
  </rcc>
  <rcc rId="2139" sId="1">
    <oc r="G53" t="inlineStr">
      <is>
        <t>#10 SS SURG BLD Un-Coated</t>
      </is>
    </oc>
    <nc r="G53"/>
  </rcc>
  <rcc rId="2140" sId="1">
    <oc r="H53">
      <v>10.625</v>
    </oc>
    <nc r="H53"/>
  </rcc>
  <rcc rId="2141" sId="1">
    <oc r="I53">
      <v>10.29</v>
    </oc>
    <nc r="I53"/>
  </rcc>
  <rcc rId="2142" sId="1">
    <oc r="J53">
      <v>15000</v>
    </oc>
    <nc r="J53"/>
  </rcc>
  <rcc rId="2143" sId="1">
    <oc r="K53">
      <v>7733</v>
    </oc>
    <nc r="K53"/>
  </rcc>
  <rcc rId="2144" sId="1" numFmtId="19">
    <oc r="L53">
      <v>46208.958333333336</v>
    </oc>
    <nc r="L53"/>
  </rcc>
  <rcc rId="2145" sId="1" numFmtId="19">
    <oc r="M53">
      <v>46209.381944444445</v>
    </oc>
    <nc r="M53"/>
  </rcc>
  <rcc rId="2146" sId="1">
    <oc r="AA53" t="inlineStr">
      <is>
        <t>1</t>
      </is>
    </oc>
    <nc r="AA53"/>
  </rcc>
  <rcc rId="2147" sId="1">
    <oc r="AB53" t="inlineStr">
      <is>
        <t>1</t>
      </is>
    </oc>
    <nc r="AB53"/>
  </rcc>
  <rcc rId="2148" sId="1">
    <oc r="A54" t="inlineStr">
      <is>
        <t>Zone 1</t>
      </is>
    </oc>
    <nc r="A54"/>
  </rcc>
  <rcc rId="2149" sId="1">
    <oc r="B54" t="inlineStr">
      <is>
        <t>Blade Grinder</t>
      </is>
    </oc>
    <nc r="B54"/>
  </rcc>
  <rcc rId="2150" sId="1">
    <oc r="C54">
      <v>0.5</v>
    </oc>
    <nc r="C54"/>
  </rcc>
  <rcc rId="2151" sId="1">
    <oc r="E54" t="inlineStr">
      <is>
        <t>W1029617-1/1</t>
      </is>
    </oc>
    <nc r="E54"/>
  </rcc>
  <rcc rId="2152" sId="1">
    <oc r="F54" t="inlineStr">
      <is>
        <t>SMI3/73-0010-0101UC</t>
      </is>
    </oc>
    <nc r="F54"/>
  </rcc>
  <rcc rId="2153" sId="1">
    <oc r="G54" t="inlineStr">
      <is>
        <t>#10 SS SURG BLD Un-Coated</t>
      </is>
    </oc>
    <nc r="G54"/>
  </rcc>
  <rcc rId="2154" sId="1">
    <oc r="H54">
      <v>10.625</v>
    </oc>
    <nc r="H54"/>
  </rcc>
  <rcc rId="2155" sId="1">
    <oc r="I54">
      <v>12.01</v>
    </oc>
    <nc r="I54"/>
  </rcc>
  <rcc rId="2156" sId="1">
    <oc r="J54">
      <v>15000</v>
    </oc>
    <nc r="J54"/>
  </rcc>
  <rcc rId="2157" sId="1">
    <oc r="K54">
      <v>6524</v>
    </oc>
    <nc r="K54"/>
  </rcc>
  <rcc rId="2158" sId="1" numFmtId="19">
    <oc r="L54">
      <v>46209.388888888891</v>
    </oc>
    <nc r="L54"/>
  </rcc>
  <rcc rId="2159" sId="1" numFmtId="19">
    <oc r="M54">
      <v>46209.881944444445</v>
    </oc>
    <nc r="M54"/>
  </rcc>
  <rcc rId="2160" sId="1">
    <oc r="AA54" t="inlineStr">
      <is>
        <t>1</t>
      </is>
    </oc>
    <nc r="AA54"/>
  </rcc>
  <rcc rId="2161" sId="1">
    <oc r="AB54" t="inlineStr">
      <is>
        <t>1</t>
      </is>
    </oc>
    <nc r="AB54"/>
  </rcc>
  <rcc rId="2162" sId="1">
    <oc r="A55" t="inlineStr">
      <is>
        <t>Zone 1</t>
      </is>
    </oc>
    <nc r="A55"/>
  </rcc>
  <rcc rId="2163" sId="1">
    <oc r="B55" t="inlineStr">
      <is>
        <t>Blade Grinder</t>
      </is>
    </oc>
    <nc r="B55"/>
  </rcc>
  <rcc rId="2164" sId="1">
    <oc r="C55">
      <v>0.5</v>
    </oc>
    <nc r="C55"/>
  </rcc>
  <rcc rId="2165" sId="1">
    <oc r="E55" t="inlineStr">
      <is>
        <t>W1029618-1/1</t>
      </is>
    </oc>
    <nc r="E55"/>
  </rcc>
  <rcc rId="2166" sId="1">
    <oc r="F55" t="inlineStr">
      <is>
        <t>SMI3/73-0010-0101UC</t>
      </is>
    </oc>
    <nc r="F55"/>
  </rcc>
  <rcc rId="2167" sId="1">
    <oc r="G55" t="inlineStr">
      <is>
        <t>#10 SS SURG BLD Un-Coated</t>
      </is>
    </oc>
    <nc r="G55"/>
  </rcc>
  <rcc rId="2168" sId="1">
    <oc r="H55">
      <v>10.625</v>
    </oc>
    <nc r="H55"/>
  </rcc>
  <rcc rId="2169" sId="1">
    <oc r="I55">
      <v>21.25</v>
    </oc>
    <nc r="I55"/>
  </rcc>
  <rcc rId="2170" sId="1">
    <oc r="J55">
      <v>15000</v>
    </oc>
    <nc r="J55"/>
  </rcc>
  <rcc rId="2171" sId="1">
    <oc r="K55">
      <v>0</v>
    </oc>
    <nc r="K55"/>
  </rcc>
  <rcc rId="2172" sId="1" numFmtId="19">
    <oc r="L55">
      <v>46209.888888888891</v>
    </oc>
    <nc r="L55"/>
  </rcc>
  <rcc rId="2173" sId="1" numFmtId="19">
    <oc r="M55">
      <v>46210.770833333336</v>
    </oc>
    <nc r="M55"/>
  </rcc>
  <rcc rId="2174" sId="1">
    <oc r="AA55" t="inlineStr">
      <is>
        <t>1</t>
      </is>
    </oc>
    <nc r="AA55"/>
  </rcc>
  <rcc rId="2175" sId="1">
    <oc r="AB55" t="inlineStr">
      <is>
        <t>1</t>
      </is>
    </oc>
    <nc r="AB55"/>
  </rcc>
  <rcc rId="2176" sId="1">
    <oc r="A56" t="inlineStr">
      <is>
        <t>Zone 1</t>
      </is>
    </oc>
    <nc r="A56"/>
  </rcc>
  <rcc rId="2177" sId="1">
    <oc r="B56" t="inlineStr">
      <is>
        <t>Blade Grinder</t>
      </is>
    </oc>
    <nc r="B56"/>
  </rcc>
  <rcc rId="2178" sId="1">
    <oc r="C56">
      <v>0.5</v>
    </oc>
    <nc r="C56"/>
  </rcc>
  <rcc rId="2179" sId="1">
    <oc r="E56" t="inlineStr">
      <is>
        <t>W1029619-1/1</t>
      </is>
    </oc>
    <nc r="E56"/>
  </rcc>
  <rcc rId="2180" sId="1">
    <oc r="F56" t="inlineStr">
      <is>
        <t>SMI3/73-0010-0101UC</t>
      </is>
    </oc>
    <nc r="F56"/>
  </rcc>
  <rcc rId="2181" sId="1">
    <oc r="G56" t="inlineStr">
      <is>
        <t>#10 SS SURG BLD Un-Coated</t>
      </is>
    </oc>
    <nc r="G56"/>
  </rcc>
  <rcc rId="2182" sId="1">
    <oc r="H56">
      <v>10.625</v>
    </oc>
    <nc r="H56"/>
  </rcc>
  <rcc rId="2183" sId="1">
    <oc r="I56">
      <v>21.25</v>
    </oc>
    <nc r="I56"/>
  </rcc>
  <rcc rId="2184" sId="1">
    <oc r="J56">
      <v>15000</v>
    </oc>
    <nc r="J56"/>
  </rcc>
  <rcc rId="2185" sId="1">
    <oc r="K56">
      <v>0</v>
    </oc>
    <nc r="K56"/>
  </rcc>
  <rcc rId="2186" sId="1" numFmtId="19">
    <oc r="L56">
      <v>46210.777777777781</v>
    </oc>
    <nc r="L56"/>
  </rcc>
  <rcc rId="2187" sId="1" numFmtId="19">
    <oc r="M56">
      <v>46211.659722222219</v>
    </oc>
    <nc r="M56"/>
  </rcc>
  <rcc rId="2188" sId="1">
    <oc r="AA56" t="inlineStr">
      <is>
        <t>1</t>
      </is>
    </oc>
    <nc r="AA56"/>
  </rcc>
  <rcc rId="2189" sId="1">
    <oc r="AB56" t="inlineStr">
      <is>
        <t>1</t>
      </is>
    </oc>
    <nc r="AB56"/>
  </rcc>
  <rcc rId="2190" sId="1">
    <oc r="A57" t="inlineStr">
      <is>
        <t>Zone 1</t>
      </is>
    </oc>
    <nc r="A57"/>
  </rcc>
  <rcc rId="2191" sId="1">
    <oc r="B57" t="inlineStr">
      <is>
        <t>Blade Grinder</t>
      </is>
    </oc>
    <nc r="B57"/>
  </rcc>
  <rcc rId="2192" sId="1">
    <oc r="C57">
      <v>0.5</v>
    </oc>
    <nc r="C57"/>
  </rcc>
  <rcc rId="2193" sId="1">
    <oc r="E57" t="inlineStr">
      <is>
        <t>W1029910-1/1</t>
      </is>
    </oc>
    <nc r="E57"/>
  </rcc>
  <rcc rId="2194" sId="1">
    <oc r="F57" t="inlineStr">
      <is>
        <t>SMI3/73-0010-0101UC</t>
      </is>
    </oc>
    <nc r="F57"/>
  </rcc>
  <rcc rId="2195" sId="1">
    <oc r="G57" t="inlineStr">
      <is>
        <t>#10 SS SURG BLD Un-Coated</t>
      </is>
    </oc>
    <nc r="G57"/>
  </rcc>
  <rcc rId="2196" sId="1">
    <oc r="H57">
      <v>10.625</v>
    </oc>
    <nc r="H57"/>
  </rcc>
  <rcc rId="2197" sId="1">
    <oc r="I57">
      <v>21.25</v>
    </oc>
    <nc r="I57"/>
  </rcc>
  <rcc rId="2198" sId="1">
    <oc r="J57">
      <v>15000</v>
    </oc>
    <nc r="J57"/>
  </rcc>
  <rcc rId="2199" sId="1">
    <oc r="K57">
      <v>0</v>
    </oc>
    <nc r="K57"/>
  </rcc>
  <rcc rId="2200" sId="1" numFmtId="19">
    <oc r="L57">
      <v>46211.666666666664</v>
    </oc>
    <nc r="L57"/>
  </rcc>
  <rcc rId="2201" sId="1" numFmtId="19">
    <oc r="M57">
      <v>46212.548611111109</v>
    </oc>
    <nc r="M57"/>
  </rcc>
  <rcc rId="2202" sId="1">
    <oc r="AA57" t="inlineStr">
      <is>
        <t>1</t>
      </is>
    </oc>
    <nc r="AA57"/>
  </rcc>
  <rcc rId="2203" sId="1">
    <oc r="AB57" t="inlineStr">
      <is>
        <t>1</t>
      </is>
    </oc>
    <nc r="AB57"/>
  </rcc>
  <rcc rId="2204" sId="1">
    <oc r="A58" t="inlineStr">
      <is>
        <t>Zone 1</t>
      </is>
    </oc>
    <nc r="A58"/>
  </rcc>
  <rcc rId="2205" sId="1">
    <oc r="B58" t="inlineStr">
      <is>
        <t>Blade Grinder</t>
      </is>
    </oc>
    <nc r="B58"/>
  </rcc>
  <rcc rId="2206" sId="1">
    <oc r="C58">
      <v>0.5</v>
    </oc>
    <nc r="C58"/>
  </rcc>
  <rcc rId="2207" sId="1">
    <oc r="E58" t="inlineStr">
      <is>
        <t>W1029911-1/1</t>
      </is>
    </oc>
    <nc r="E58"/>
  </rcc>
  <rcc rId="2208" sId="1">
    <oc r="F58" t="inlineStr">
      <is>
        <t>SMI3/73-0010-0101UC</t>
      </is>
    </oc>
    <nc r="F58"/>
  </rcc>
  <rcc rId="2209" sId="1">
    <oc r="G58" t="inlineStr">
      <is>
        <t>#10 SS SURG BLD Un-Coated</t>
      </is>
    </oc>
    <nc r="G58"/>
  </rcc>
  <rcc rId="2210" sId="1">
    <oc r="H58">
      <v>10.625</v>
    </oc>
    <nc r="H58"/>
  </rcc>
  <rcc rId="2211" sId="1">
    <oc r="I58">
      <v>21.25</v>
    </oc>
    <nc r="I58"/>
  </rcc>
  <rcc rId="2212" sId="1">
    <oc r="J58">
      <v>15000</v>
    </oc>
    <nc r="J58"/>
  </rcc>
  <rcc rId="2213" sId="1">
    <oc r="K58">
      <v>0</v>
    </oc>
    <nc r="K58"/>
  </rcc>
  <rcc rId="2214" sId="1" numFmtId="19">
    <oc r="L58">
      <v>46212.555555555555</v>
    </oc>
    <nc r="L58"/>
  </rcc>
  <rcc rId="2215" sId="1" numFmtId="19">
    <oc r="M58">
      <v>46213.4375</v>
    </oc>
    <nc r="M58"/>
  </rcc>
  <rcc rId="2216" sId="1">
    <oc r="AA58" t="inlineStr">
      <is>
        <t>1</t>
      </is>
    </oc>
    <nc r="AA58"/>
  </rcc>
  <rcc rId="2217" sId="1">
    <oc r="AB58" t="inlineStr">
      <is>
        <t>1</t>
      </is>
    </oc>
    <nc r="AB58"/>
  </rcc>
  <rcc rId="2218" sId="1">
    <oc r="A59" t="inlineStr">
      <is>
        <t>Zone 1</t>
      </is>
    </oc>
    <nc r="A59"/>
  </rcc>
  <rcc rId="2219" sId="1">
    <oc r="B59" t="inlineStr">
      <is>
        <t>Blade Grinder</t>
      </is>
    </oc>
    <nc r="B59"/>
  </rcc>
  <rcc rId="2220" sId="1">
    <oc r="C59">
      <v>0.5</v>
    </oc>
    <nc r="C59"/>
  </rcc>
  <rcc rId="2221" sId="1">
    <oc r="E59" t="inlineStr">
      <is>
        <t>W1029912-1/1</t>
      </is>
    </oc>
    <nc r="E59"/>
  </rcc>
  <rcc rId="2222" sId="1">
    <oc r="F59" t="inlineStr">
      <is>
        <t>SMI3/73-0010-0101UC</t>
      </is>
    </oc>
    <nc r="F59"/>
  </rcc>
  <rcc rId="2223" sId="1">
    <oc r="G59" t="inlineStr">
      <is>
        <t>#10 SS SURG BLD Un-Coated</t>
      </is>
    </oc>
    <nc r="G59"/>
  </rcc>
  <rcc rId="2224" sId="1">
    <oc r="H59">
      <v>10.625</v>
    </oc>
    <nc r="H59"/>
  </rcc>
  <rcc rId="2225" sId="1">
    <oc r="I59">
      <v>21.25</v>
    </oc>
    <nc r="I59"/>
  </rcc>
  <rcc rId="2226" sId="1">
    <oc r="J59">
      <v>15000</v>
    </oc>
    <nc r="J59"/>
  </rcc>
  <rcc rId="2227" sId="1">
    <oc r="K59">
      <v>0</v>
    </oc>
    <nc r="K59"/>
  </rcc>
  <rcc rId="2228" sId="1" numFmtId="19">
    <oc r="L59">
      <v>46213.444444444445</v>
    </oc>
    <nc r="L59"/>
  </rcc>
  <rcc rId="2229" sId="1" numFmtId="19">
    <oc r="M59">
      <v>46216.326388888891</v>
    </oc>
    <nc r="M59"/>
  </rcc>
  <rcc rId="2230" sId="1">
    <oc r="AA59" t="inlineStr">
      <is>
        <t>1</t>
      </is>
    </oc>
    <nc r="AA59"/>
  </rcc>
  <rcc rId="2231" sId="1">
    <oc r="AB59" t="inlineStr">
      <is>
        <t>1</t>
      </is>
    </oc>
    <nc r="AB59"/>
  </rcc>
  <rcc rId="2232" sId="1">
    <oc r="A60" t="inlineStr">
      <is>
        <t>Zone 1</t>
      </is>
    </oc>
    <nc r="A60"/>
  </rcc>
  <rcc rId="2233" sId="1">
    <oc r="B60" t="inlineStr">
      <is>
        <t>Blade Grinder</t>
      </is>
    </oc>
    <nc r="B60"/>
  </rcc>
  <rcc rId="2234" sId="1">
    <oc r="C60">
      <v>0.5</v>
    </oc>
    <nc r="C60"/>
  </rcc>
  <rcc rId="2235" sId="1">
    <oc r="E60" t="inlineStr">
      <is>
        <t>W1029913-1/1</t>
      </is>
    </oc>
    <nc r="E60"/>
  </rcc>
  <rcc rId="2236" sId="1">
    <oc r="F60" t="inlineStr">
      <is>
        <t>SMI3/73-0010-0101UC</t>
      </is>
    </oc>
    <nc r="F60"/>
  </rcc>
  <rcc rId="2237" sId="1">
    <oc r="G60" t="inlineStr">
      <is>
        <t>#10 SS SURG BLD Un-Coated</t>
      </is>
    </oc>
    <nc r="G60"/>
  </rcc>
  <rcc rId="2238" sId="1">
    <oc r="H60">
      <v>10.625</v>
    </oc>
    <nc r="H60"/>
  </rcc>
  <rcc rId="2239" sId="1">
    <oc r="I60">
      <v>21.25</v>
    </oc>
    <nc r="I60"/>
  </rcc>
  <rcc rId="2240" sId="1">
    <oc r="J60">
      <v>15000</v>
    </oc>
    <nc r="J60"/>
  </rcc>
  <rcc rId="2241" sId="1">
    <oc r="K60">
      <v>0</v>
    </oc>
    <nc r="K60"/>
  </rcc>
  <rcc rId="2242" sId="1" numFmtId="19">
    <oc r="L60">
      <v>46216.333333333336</v>
    </oc>
    <nc r="L60"/>
  </rcc>
  <rcc rId="2243" sId="1" numFmtId="19">
    <oc r="M60">
      <v>46217.215277777781</v>
    </oc>
    <nc r="M60"/>
  </rcc>
  <rcc rId="2244" sId="1">
    <oc r="AA60" t="inlineStr">
      <is>
        <t>1</t>
      </is>
    </oc>
    <nc r="AA60"/>
  </rcc>
  <rcc rId="2245" sId="1">
    <oc r="AB60" t="inlineStr">
      <is>
        <t>1</t>
      </is>
    </oc>
    <nc r="AB60"/>
  </rcc>
  <rcc rId="2246" sId="1">
    <oc r="A61" t="inlineStr">
      <is>
        <t>Zone 1</t>
      </is>
    </oc>
    <nc r="A61"/>
  </rcc>
  <rcc rId="2247" sId="1">
    <oc r="B61" t="inlineStr">
      <is>
        <t>Blade Grinder</t>
      </is>
    </oc>
    <nc r="B61"/>
  </rcc>
  <rcc rId="2248" sId="1">
    <oc r="C61">
      <v>0.5</v>
    </oc>
    <nc r="C61"/>
  </rcc>
  <rcc rId="2249" sId="1">
    <oc r="E61" t="inlineStr">
      <is>
        <t>W1029914-1/1</t>
      </is>
    </oc>
    <nc r="E61"/>
  </rcc>
  <rcc rId="2250" sId="1">
    <oc r="F61" t="inlineStr">
      <is>
        <t>SMI3/73-0010-0101UC</t>
      </is>
    </oc>
    <nc r="F61"/>
  </rcc>
  <rcc rId="2251" sId="1">
    <oc r="G61" t="inlineStr">
      <is>
        <t>#10 SS SURG BLD Un-Coated</t>
      </is>
    </oc>
    <nc r="G61"/>
  </rcc>
  <rcc rId="2252" sId="1">
    <oc r="H61">
      <v>10.625</v>
    </oc>
    <nc r="H61"/>
  </rcc>
  <rcc rId="2253" sId="1">
    <oc r="I61">
      <v>21.25</v>
    </oc>
    <nc r="I61"/>
  </rcc>
  <rcc rId="2254" sId="1">
    <oc r="J61">
      <v>15000</v>
    </oc>
    <nc r="J61"/>
  </rcc>
  <rcc rId="2255" sId="1">
    <oc r="K61">
      <v>0</v>
    </oc>
    <nc r="K61"/>
  </rcc>
  <rcc rId="2256" sId="1" numFmtId="19">
    <oc r="L61">
      <v>46217.222222222219</v>
    </oc>
    <nc r="L61"/>
  </rcc>
  <rcc rId="2257" sId="1" numFmtId="19">
    <oc r="M61">
      <v>46218.104166666664</v>
    </oc>
    <nc r="M61"/>
  </rcc>
  <rcc rId="2258" sId="1">
    <oc r="AA61" t="inlineStr">
      <is>
        <t>1</t>
      </is>
    </oc>
    <nc r="AA61"/>
  </rcc>
  <rcc rId="2259" sId="1">
    <oc r="AB61" t="inlineStr">
      <is>
        <t>1</t>
      </is>
    </oc>
    <nc r="AB61"/>
  </rcc>
  <rcc rId="2260" sId="1">
    <oc r="A62" t="inlineStr">
      <is>
        <t>Zone 1</t>
      </is>
    </oc>
    <nc r="A62"/>
  </rcc>
  <rcc rId="2261" sId="1">
    <oc r="B62" t="inlineStr">
      <is>
        <t>Blade Grinder</t>
      </is>
    </oc>
    <nc r="B62"/>
  </rcc>
  <rcc rId="2262" sId="1">
    <oc r="C62">
      <v>0.5</v>
    </oc>
    <nc r="C62"/>
  </rcc>
  <rcc rId="2263" sId="1">
    <oc r="E62" t="inlineStr">
      <is>
        <t>W1029915-1/1</t>
      </is>
    </oc>
    <nc r="E62"/>
  </rcc>
  <rcc rId="2264" sId="1">
    <oc r="F62" t="inlineStr">
      <is>
        <t>SMI3/73-0010-0101UC</t>
      </is>
    </oc>
    <nc r="F62"/>
  </rcc>
  <rcc rId="2265" sId="1">
    <oc r="G62" t="inlineStr">
      <is>
        <t>#10 SS SURG BLD Un-Coated</t>
      </is>
    </oc>
    <nc r="G62"/>
  </rcc>
  <rcc rId="2266" sId="1">
    <oc r="H62">
      <v>10.625</v>
    </oc>
    <nc r="H62"/>
  </rcc>
  <rcc rId="2267" sId="1">
    <oc r="I62">
      <v>21.25</v>
    </oc>
    <nc r="I62"/>
  </rcc>
  <rcc rId="2268" sId="1">
    <oc r="J62">
      <v>15000</v>
    </oc>
    <nc r="J62"/>
  </rcc>
  <rcc rId="2269" sId="1">
    <oc r="K62">
      <v>0</v>
    </oc>
    <nc r="K62"/>
  </rcc>
  <rcc rId="2270" sId="1" numFmtId="19">
    <oc r="L62">
      <v>46218.111111111109</v>
    </oc>
    <nc r="L62"/>
  </rcc>
  <rcc rId="2271" sId="1" numFmtId="19">
    <oc r="M62">
      <v>46218.993055555555</v>
    </oc>
    <nc r="M62"/>
  </rcc>
  <rcc rId="2272" sId="1">
    <oc r="AA62" t="inlineStr">
      <is>
        <t>1</t>
      </is>
    </oc>
    <nc r="AA62"/>
  </rcc>
  <rcc rId="2273" sId="1">
    <oc r="AB62" t="inlineStr">
      <is>
        <t>1</t>
      </is>
    </oc>
    <nc r="AB62"/>
  </rcc>
  <rcc rId="2274" sId="1">
    <oc r="A63" t="inlineStr">
      <is>
        <t>Zone 1</t>
      </is>
    </oc>
    <nc r="A63"/>
  </rcc>
  <rcc rId="2275" sId="1">
    <oc r="B63" t="inlineStr">
      <is>
        <t>Blade Grinder</t>
      </is>
    </oc>
    <nc r="B63"/>
  </rcc>
  <rcc rId="2276" sId="1">
    <oc r="C63">
      <v>0.5</v>
    </oc>
    <nc r="C63"/>
  </rcc>
  <rcc rId="2277" sId="1">
    <oc r="E63" t="inlineStr">
      <is>
        <t>W1029916-1/1</t>
      </is>
    </oc>
    <nc r="E63"/>
  </rcc>
  <rcc rId="2278" sId="1">
    <oc r="F63" t="inlineStr">
      <is>
        <t>SMI3/73-0010-0101UC</t>
      </is>
    </oc>
    <nc r="F63"/>
  </rcc>
  <rcc rId="2279" sId="1">
    <oc r="G63" t="inlineStr">
      <is>
        <t>#10 SS SURG BLD Un-Coated</t>
      </is>
    </oc>
    <nc r="G63"/>
  </rcc>
  <rcc rId="2280" sId="1">
    <oc r="H63">
      <v>10.625</v>
    </oc>
    <nc r="H63"/>
  </rcc>
  <rcc rId="2281" sId="1">
    <oc r="I63">
      <v>21.25</v>
    </oc>
    <nc r="I63"/>
  </rcc>
  <rcc rId="2282" sId="1">
    <oc r="J63">
      <v>15000</v>
    </oc>
    <nc r="J63"/>
  </rcc>
  <rcc rId="2283" sId="1">
    <oc r="K63">
      <v>0</v>
    </oc>
    <nc r="K63"/>
  </rcc>
  <rcc rId="2284" sId="1" numFmtId="19">
    <oc r="L63">
      <v>46219</v>
    </oc>
    <nc r="L63"/>
  </rcc>
  <rcc rId="2285" sId="1" numFmtId="19">
    <oc r="M63">
      <v>46219.881944444445</v>
    </oc>
    <nc r="M63"/>
  </rcc>
  <rcc rId="2286" sId="1">
    <oc r="AA63" t="inlineStr">
      <is>
        <t>1</t>
      </is>
    </oc>
    <nc r="AA63"/>
  </rcc>
  <rcc rId="2287" sId="1">
    <oc r="AB63" t="inlineStr">
      <is>
        <t>1</t>
      </is>
    </oc>
    <nc r="AB63"/>
  </rcc>
  <rcc rId="2288" sId="1">
    <oc r="A64" t="inlineStr">
      <is>
        <t>Zone 1</t>
      </is>
    </oc>
    <nc r="A64"/>
  </rcc>
  <rcc rId="2289" sId="1">
    <oc r="B64" t="inlineStr">
      <is>
        <t>Blade Grinder</t>
      </is>
    </oc>
    <nc r="B64"/>
  </rcc>
  <rcc rId="2290" sId="1">
    <oc r="C64">
      <v>0.5</v>
    </oc>
    <nc r="C64"/>
  </rcc>
  <rcc rId="2291" sId="1">
    <oc r="E64" t="inlineStr">
      <is>
        <t>W1029917-1/1</t>
      </is>
    </oc>
    <nc r="E64"/>
  </rcc>
  <rcc rId="2292" sId="1">
    <oc r="F64" t="inlineStr">
      <is>
        <t>SMI3/73-0010-0101UC</t>
      </is>
    </oc>
    <nc r="F64"/>
  </rcc>
  <rcc rId="2293" sId="1">
    <oc r="G64" t="inlineStr">
      <is>
        <t>#10 SS SURG BLD Un-Coated</t>
      </is>
    </oc>
    <nc r="G64"/>
  </rcc>
  <rcc rId="2294" sId="1">
    <oc r="H64">
      <v>10.625</v>
    </oc>
    <nc r="H64"/>
  </rcc>
  <rcc rId="2295" sId="1">
    <oc r="I64">
      <v>21.25</v>
    </oc>
    <nc r="I64"/>
  </rcc>
  <rcc rId="2296" sId="1">
    <oc r="J64">
      <v>15000</v>
    </oc>
    <nc r="J64"/>
  </rcc>
  <rcc rId="2297" sId="1">
    <oc r="K64">
      <v>0</v>
    </oc>
    <nc r="K64"/>
  </rcc>
  <rcc rId="2298" sId="1" numFmtId="19">
    <oc r="L64">
      <v>46219.888888888891</v>
    </oc>
    <nc r="L64"/>
  </rcc>
  <rcc rId="2299" sId="1" numFmtId="19">
    <oc r="M64">
      <v>46220.770833333336</v>
    </oc>
    <nc r="M64"/>
  </rcc>
  <rcc rId="2300" sId="1">
    <oc r="AA64" t="inlineStr">
      <is>
        <t>1</t>
      </is>
    </oc>
    <nc r="AA64"/>
  </rcc>
  <rcc rId="2301" sId="1">
    <oc r="AB64" t="inlineStr">
      <is>
        <t>1</t>
      </is>
    </oc>
    <nc r="AB64"/>
  </rcc>
  <rcc rId="2302" sId="1">
    <oc r="A65" t="inlineStr">
      <is>
        <t>Zone 1</t>
      </is>
    </oc>
    <nc r="A65"/>
  </rcc>
  <rcc rId="2303" sId="1">
    <oc r="B65" t="inlineStr">
      <is>
        <t>Blade Grinder</t>
      </is>
    </oc>
    <nc r="B65"/>
  </rcc>
  <rcc rId="2304" sId="1">
    <oc r="C65">
      <v>0.5</v>
    </oc>
    <nc r="C65"/>
  </rcc>
  <rcc rId="2305" sId="1">
    <oc r="E65" t="inlineStr">
      <is>
        <t>W1029918-1/1</t>
      </is>
    </oc>
    <nc r="E65"/>
  </rcc>
  <rcc rId="2306" sId="1">
    <oc r="F65" t="inlineStr">
      <is>
        <t>SMI3/73-0010-0101UC</t>
      </is>
    </oc>
    <nc r="F65"/>
  </rcc>
  <rcc rId="2307" sId="1">
    <oc r="G65" t="inlineStr">
      <is>
        <t>#10 SS SURG BLD Un-Coated</t>
      </is>
    </oc>
    <nc r="G65"/>
  </rcc>
  <rcc rId="2308" sId="1">
    <oc r="H65">
      <v>10.625</v>
    </oc>
    <nc r="H65"/>
  </rcc>
  <rcc rId="2309" sId="1">
    <oc r="I65">
      <v>21.25</v>
    </oc>
    <nc r="I65"/>
  </rcc>
  <rcc rId="2310" sId="1">
    <oc r="J65">
      <v>15000</v>
    </oc>
    <nc r="J65"/>
  </rcc>
  <rcc rId="2311" sId="1">
    <oc r="K65">
      <v>0</v>
    </oc>
    <nc r="K65"/>
  </rcc>
  <rcc rId="2312" sId="1" numFmtId="19">
    <oc r="L65">
      <v>46220.777777777781</v>
    </oc>
    <nc r="L65"/>
  </rcc>
  <rcc rId="2313" sId="1" numFmtId="19">
    <oc r="M65">
      <v>46223.659722222219</v>
    </oc>
    <nc r="M65"/>
  </rcc>
  <rcc rId="2314" sId="1">
    <oc r="AA65" t="inlineStr">
      <is>
        <t>1</t>
      </is>
    </oc>
    <nc r="AA65"/>
  </rcc>
  <rcc rId="2315" sId="1">
    <oc r="AB65" t="inlineStr">
      <is>
        <t>1</t>
      </is>
    </oc>
    <nc r="AB65"/>
  </rcc>
  <rcc rId="2316" sId="1">
    <oc r="A66" t="inlineStr">
      <is>
        <t>Zone 1</t>
      </is>
    </oc>
    <nc r="A66"/>
  </rcc>
  <rcc rId="2317" sId="1">
    <oc r="B66" t="inlineStr">
      <is>
        <t>Blade Grinder</t>
      </is>
    </oc>
    <nc r="B66"/>
  </rcc>
  <rcc rId="2318" sId="1">
    <oc r="C66">
      <v>0.5</v>
    </oc>
    <nc r="C66"/>
  </rcc>
  <rcc rId="2319" sId="1">
    <oc r="E66" t="inlineStr">
      <is>
        <t>W1029919-1/1</t>
      </is>
    </oc>
    <nc r="E66"/>
  </rcc>
  <rcc rId="2320" sId="1">
    <oc r="F66" t="inlineStr">
      <is>
        <t>SMI3/73-0010-0101UC</t>
      </is>
    </oc>
    <nc r="F66"/>
  </rcc>
  <rcc rId="2321" sId="1">
    <oc r="G66" t="inlineStr">
      <is>
        <t>#10 SS SURG BLD Un-Coated</t>
      </is>
    </oc>
    <nc r="G66"/>
  </rcc>
  <rcc rId="2322" sId="1">
    <oc r="H66">
      <v>10.625</v>
    </oc>
    <nc r="H66"/>
  </rcc>
  <rcc rId="2323" sId="1">
    <oc r="I66">
      <v>21.25</v>
    </oc>
    <nc r="I66"/>
  </rcc>
  <rcc rId="2324" sId="1">
    <oc r="J66">
      <v>15000</v>
    </oc>
    <nc r="J66"/>
  </rcc>
  <rcc rId="2325" sId="1">
    <oc r="K66">
      <v>0</v>
    </oc>
    <nc r="K66"/>
  </rcc>
  <rcc rId="2326" sId="1" numFmtId="19">
    <oc r="L66">
      <v>46223.666666666664</v>
    </oc>
    <nc r="L66"/>
  </rcc>
  <rcc rId="2327" sId="1" numFmtId="19">
    <oc r="M66">
      <v>46224.548611111109</v>
    </oc>
    <nc r="M66"/>
  </rcc>
  <rcc rId="2328" sId="1">
    <oc r="AA66" t="inlineStr">
      <is>
        <t>1</t>
      </is>
    </oc>
    <nc r="AA66"/>
  </rcc>
  <rcc rId="2329" sId="1">
    <oc r="AB66" t="inlineStr">
      <is>
        <t>1</t>
      </is>
    </oc>
    <nc r="AB66"/>
  </rcc>
  <rcc rId="2330" sId="1">
    <oc r="A67" t="inlineStr">
      <is>
        <t>Zone 1</t>
      </is>
    </oc>
    <nc r="A67"/>
  </rcc>
  <rcc rId="2331" sId="1">
    <oc r="B67" t="inlineStr">
      <is>
        <t>Blade Grinder 2</t>
      </is>
    </oc>
    <nc r="B67"/>
  </rcc>
  <rcc rId="2332" sId="1">
    <oc r="C67">
      <v>0.5</v>
    </oc>
    <nc r="C67"/>
  </rcc>
  <rcc rId="2333" sId="1">
    <oc r="E67" t="inlineStr">
      <is>
        <t>W1027733-1/1</t>
      </is>
    </oc>
    <nc r="E67"/>
  </rcc>
  <rcc rId="2334" sId="1">
    <oc r="F67" t="inlineStr">
      <is>
        <t>SMI3/73-0020-0101UC</t>
      </is>
    </oc>
    <nc r="F67"/>
  </rcc>
  <rcc rId="2335" sId="1">
    <oc r="G67" t="inlineStr">
      <is>
        <t>#20PERS SS SURG BLD Un-Coated</t>
      </is>
    </oc>
    <nc r="G67"/>
  </rcc>
  <rcc rId="2336" sId="1">
    <oc r="H67">
      <v>12.984999999999999</v>
    </oc>
    <nc r="H67"/>
  </rcc>
  <rcc rId="2337" sId="1">
    <oc r="I67">
      <v>25.97</v>
    </oc>
    <nc r="I67"/>
  </rcc>
  <rcc rId="2338" sId="1">
    <oc r="J67">
      <v>12000</v>
    </oc>
    <nc r="J67"/>
  </rcc>
  <rcc rId="2339" sId="1">
    <oc r="K67">
      <v>0</v>
    </oc>
    <nc r="K67"/>
  </rcc>
  <rcc rId="2340" sId="1" numFmtId="19">
    <oc r="L67">
      <v>46208.958333333336</v>
    </oc>
    <nc r="L67"/>
  </rcc>
  <rcc rId="2341" sId="1" numFmtId="19">
    <oc r="M67">
      <v>46210.034722222219</v>
    </oc>
    <nc r="M67"/>
  </rcc>
  <rcc rId="2342" sId="1">
    <oc r="AA67" t="inlineStr">
      <is>
        <t>1</t>
      </is>
    </oc>
    <nc r="AA67"/>
  </rcc>
  <rcc rId="2343" sId="1">
    <oc r="AB67" t="inlineStr">
      <is>
        <t>1</t>
      </is>
    </oc>
    <nc r="AB67"/>
  </rcc>
  <rcc rId="2344" sId="1">
    <oc r="A68" t="inlineStr">
      <is>
        <t>Zone 1</t>
      </is>
    </oc>
    <nc r="A68"/>
  </rcc>
  <rcc rId="2345" sId="1">
    <oc r="B68" t="inlineStr">
      <is>
        <t>Blade Grinder 2</t>
      </is>
    </oc>
    <nc r="B68"/>
  </rcc>
  <rcc rId="2346" sId="1">
    <oc r="C68">
      <v>0.5</v>
    </oc>
    <nc r="C68"/>
  </rcc>
  <rcc rId="2347" sId="1">
    <oc r="E68" t="inlineStr">
      <is>
        <t>W1027734-1/1</t>
      </is>
    </oc>
    <nc r="E68"/>
  </rcc>
  <rcc rId="2348" sId="1">
    <oc r="F68" t="inlineStr">
      <is>
        <t>SMI3/73-0020-0101UC</t>
      </is>
    </oc>
    <nc r="F68"/>
  </rcc>
  <rcc rId="2349" sId="1">
    <oc r="G68" t="inlineStr">
      <is>
        <t>#20PERS SS SURG BLD Un-Coated</t>
      </is>
    </oc>
    <nc r="G68"/>
  </rcc>
  <rcc rId="2350" sId="1">
    <oc r="H68">
      <v>12.984999999999999</v>
    </oc>
    <nc r="H68"/>
  </rcc>
  <rcc rId="2351" sId="1">
    <oc r="I68">
      <v>25.97</v>
    </oc>
    <nc r="I68"/>
  </rcc>
  <rcc rId="2352" sId="1">
    <oc r="J68">
      <v>12000</v>
    </oc>
    <nc r="J68"/>
  </rcc>
  <rcc rId="2353" sId="1">
    <oc r="K68">
      <v>0</v>
    </oc>
    <nc r="K68"/>
  </rcc>
  <rcc rId="2354" sId="1" numFmtId="19">
    <oc r="L68">
      <v>46210.041666666664</v>
    </oc>
    <nc r="L68"/>
  </rcc>
  <rcc rId="2355" sId="1" numFmtId="19">
    <oc r="M68">
      <v>46211.118055555555</v>
    </oc>
    <nc r="M68"/>
  </rcc>
  <rcc rId="2356" sId="1">
    <oc r="AA68" t="inlineStr">
      <is>
        <t>1</t>
      </is>
    </oc>
    <nc r="AA68"/>
  </rcc>
  <rcc rId="2357" sId="1">
    <oc r="AB68" t="inlineStr">
      <is>
        <t>1</t>
      </is>
    </oc>
    <nc r="AB68"/>
  </rcc>
  <rcc rId="2358" sId="1">
    <oc r="A69" t="inlineStr">
      <is>
        <t>Zone 1</t>
      </is>
    </oc>
    <nc r="A69"/>
  </rcc>
  <rcc rId="2359" sId="1">
    <oc r="B69" t="inlineStr">
      <is>
        <t>Blade Grinder 2</t>
      </is>
    </oc>
    <nc r="B69"/>
  </rcc>
  <rcc rId="2360" sId="1">
    <oc r="C69">
      <v>0.5</v>
    </oc>
    <nc r="C69"/>
  </rcc>
  <rcc rId="2361" sId="1">
    <oc r="E69" t="inlineStr">
      <is>
        <t>W1027735-1/1</t>
      </is>
    </oc>
    <nc r="E69"/>
  </rcc>
  <rcc rId="2362" sId="1">
    <oc r="F69" t="inlineStr">
      <is>
        <t>SMI3/73-0020-0101UC</t>
      </is>
    </oc>
    <nc r="F69"/>
  </rcc>
  <rcc rId="2363" sId="1">
    <oc r="G69" t="inlineStr">
      <is>
        <t>#20PERS SS SURG BLD Un-Coated</t>
      </is>
    </oc>
    <nc r="G69"/>
  </rcc>
  <rcc rId="2364" sId="1">
    <oc r="H69">
      <v>12.984999999999999</v>
    </oc>
    <nc r="H69"/>
  </rcc>
  <rcc rId="2365" sId="1">
    <oc r="I69">
      <v>25.97</v>
    </oc>
    <nc r="I69"/>
  </rcc>
  <rcc rId="2366" sId="1">
    <oc r="J69">
      <v>12000</v>
    </oc>
    <nc r="J69"/>
  </rcc>
  <rcc rId="2367" sId="1">
    <oc r="K69">
      <v>0</v>
    </oc>
    <nc r="K69"/>
  </rcc>
  <rcc rId="2368" sId="1" numFmtId="19">
    <oc r="L69">
      <v>46211.125</v>
    </oc>
    <nc r="L69"/>
  </rcc>
  <rcc rId="2369" sId="1" numFmtId="19">
    <oc r="M69">
      <v>46212.201388888891</v>
    </oc>
    <nc r="M69"/>
  </rcc>
  <rcc rId="2370" sId="1">
    <oc r="AA69" t="inlineStr">
      <is>
        <t>1</t>
      </is>
    </oc>
    <nc r="AA69"/>
  </rcc>
  <rcc rId="2371" sId="1">
    <oc r="AB69" t="inlineStr">
      <is>
        <t>1</t>
      </is>
    </oc>
    <nc r="AB69"/>
  </rcc>
  <rcc rId="2372" sId="1">
    <oc r="A70" t="inlineStr">
      <is>
        <t>Zone 1</t>
      </is>
    </oc>
    <nc r="A70"/>
  </rcc>
  <rcc rId="2373" sId="1">
    <oc r="B70" t="inlineStr">
      <is>
        <t>Blade Grinder 2</t>
      </is>
    </oc>
    <nc r="B70"/>
  </rcc>
  <rcc rId="2374" sId="1">
    <oc r="C70">
      <v>0.5</v>
    </oc>
    <nc r="C70"/>
  </rcc>
  <rcc rId="2375" sId="1">
    <oc r="E70" t="inlineStr">
      <is>
        <t>W1027194-1/1</t>
      </is>
    </oc>
    <nc r="E70"/>
  </rcc>
  <rcc rId="2376" sId="1">
    <oc r="F70" t="inlineStr">
      <is>
        <t>SMI3/73-0015-0101UC</t>
      </is>
    </oc>
    <nc r="F70"/>
  </rcc>
  <rcc rId="2377" sId="1">
    <oc r="G70" t="inlineStr">
      <is>
        <t>#15 SS SURG BLD Un-Coated</t>
      </is>
    </oc>
    <nc r="G70"/>
  </rcc>
  <rcc rId="2378" sId="1">
    <oc r="H70">
      <v>5.6950000000000003</v>
    </oc>
    <nc r="H70"/>
  </rcc>
  <rcc rId="2379" sId="1">
    <oc r="I70">
      <v>11.39</v>
    </oc>
    <nc r="I70"/>
  </rcc>
  <rcc rId="2380" sId="1">
    <oc r="J70">
      <v>10000</v>
    </oc>
    <nc r="J70"/>
  </rcc>
  <rcc rId="2381" sId="1">
    <oc r="K70">
      <v>0</v>
    </oc>
    <nc r="K70"/>
  </rcc>
  <rcc rId="2382" sId="1" numFmtId="19">
    <oc r="L70">
      <v>46212.208333333336</v>
    </oc>
    <nc r="L70"/>
  </rcc>
  <rcc rId="2383" sId="1" numFmtId="19">
    <oc r="M70">
      <v>46212.680555555555</v>
    </oc>
    <nc r="M70"/>
  </rcc>
  <rcc rId="2384" sId="1">
    <oc r="AA70" t="inlineStr">
      <is>
        <t>1</t>
      </is>
    </oc>
    <nc r="AA70"/>
  </rcc>
  <rcc rId="2385" sId="1">
    <oc r="AB70" t="inlineStr">
      <is>
        <t>1</t>
      </is>
    </oc>
    <nc r="AB70"/>
  </rcc>
  <rcc rId="2386" sId="1">
    <oc r="A71" t="inlineStr">
      <is>
        <t>Zone 1</t>
      </is>
    </oc>
    <nc r="A71"/>
  </rcc>
  <rcc rId="2387" sId="1">
    <oc r="B71" t="inlineStr">
      <is>
        <t>Blade Grinder 2</t>
      </is>
    </oc>
    <nc r="B71"/>
  </rcc>
  <rcc rId="2388" sId="1">
    <oc r="C71">
      <v>0.5</v>
    </oc>
    <nc r="C71"/>
  </rcc>
  <rcc rId="2389" sId="1">
    <oc r="E71" t="inlineStr">
      <is>
        <t>W1027195-1/1</t>
      </is>
    </oc>
    <nc r="E71"/>
  </rcc>
  <rcc rId="2390" sId="1">
    <oc r="F71" t="inlineStr">
      <is>
        <t>SMI3/73-0015-0101UC</t>
      </is>
    </oc>
    <nc r="F71"/>
  </rcc>
  <rcc rId="2391" sId="1">
    <oc r="G71" t="inlineStr">
      <is>
        <t>#15 SS SURG BLD Un-Coated</t>
      </is>
    </oc>
    <nc r="G71"/>
  </rcc>
  <rcc rId="2392" sId="1">
    <oc r="H71">
      <v>5.6950000000000003</v>
    </oc>
    <nc r="H71"/>
  </rcc>
  <rcc rId="2393" sId="1">
    <oc r="I71">
      <v>11.39</v>
    </oc>
    <nc r="I71"/>
  </rcc>
  <rcc rId="2394" sId="1">
    <oc r="J71">
      <v>10000</v>
    </oc>
    <nc r="J71"/>
  </rcc>
  <rcc rId="2395" sId="1">
    <oc r="K71">
      <v>0</v>
    </oc>
    <nc r="K71"/>
  </rcc>
  <rcc rId="2396" sId="1" numFmtId="19">
    <oc r="L71">
      <v>46212.6875</v>
    </oc>
    <nc r="L71"/>
  </rcc>
  <rcc rId="2397" sId="1" numFmtId="19">
    <oc r="M71">
      <v>46213.159722222219</v>
    </oc>
    <nc r="M71"/>
  </rcc>
  <rcc rId="2398" sId="1">
    <oc r="AA71" t="inlineStr">
      <is>
        <t>1</t>
      </is>
    </oc>
    <nc r="AA71"/>
  </rcc>
  <rcc rId="2399" sId="1">
    <oc r="AB71" t="inlineStr">
      <is>
        <t>1</t>
      </is>
    </oc>
    <nc r="AB71"/>
  </rcc>
  <rcc rId="2400" sId="1">
    <oc r="A72" t="inlineStr">
      <is>
        <t>Zone 1</t>
      </is>
    </oc>
    <nc r="A72"/>
  </rcc>
  <rcc rId="2401" sId="1">
    <oc r="B72" t="inlineStr">
      <is>
        <t>Blade Grinder 2</t>
      </is>
    </oc>
    <nc r="B72"/>
  </rcc>
  <rcc rId="2402" sId="1">
    <oc r="C72">
      <v>0.5</v>
    </oc>
    <nc r="C72"/>
  </rcc>
  <rcc rId="2403" sId="1">
    <oc r="E72" t="inlineStr">
      <is>
        <t>W1027196-1/1</t>
      </is>
    </oc>
    <nc r="E72"/>
  </rcc>
  <rcc rId="2404" sId="1">
    <oc r="F72" t="inlineStr">
      <is>
        <t>SMI3/73-0015-0101UC</t>
      </is>
    </oc>
    <nc r="F72"/>
  </rcc>
  <rcc rId="2405" sId="1">
    <oc r="G72" t="inlineStr">
      <is>
        <t>#15 SS SURG BLD Un-Coated</t>
      </is>
    </oc>
    <nc r="G72"/>
  </rcc>
  <rcc rId="2406" sId="1">
    <oc r="H72">
      <v>5.6950000000000003</v>
    </oc>
    <nc r="H72"/>
  </rcc>
  <rcc rId="2407" sId="1">
    <oc r="I72">
      <v>11.39</v>
    </oc>
    <nc r="I72"/>
  </rcc>
  <rcc rId="2408" sId="1">
    <oc r="J72">
      <v>10000</v>
    </oc>
    <nc r="J72"/>
  </rcc>
  <rcc rId="2409" sId="1">
    <oc r="K72">
      <v>0</v>
    </oc>
    <nc r="K72"/>
  </rcc>
  <rcc rId="2410" sId="1" numFmtId="19">
    <oc r="L72">
      <v>46213.166666666664</v>
    </oc>
    <nc r="L72"/>
  </rcc>
  <rcc rId="2411" sId="1" numFmtId="19">
    <oc r="M72">
      <v>46213.638888888891</v>
    </oc>
    <nc r="M72"/>
  </rcc>
  <rcc rId="2412" sId="1">
    <oc r="AA72" t="inlineStr">
      <is>
        <t>1</t>
      </is>
    </oc>
    <nc r="AA72"/>
  </rcc>
  <rcc rId="2413" sId="1">
    <oc r="AB72" t="inlineStr">
      <is>
        <t>1</t>
      </is>
    </oc>
    <nc r="AB72"/>
  </rcc>
  <rcc rId="2414" sId="1">
    <oc r="A73" t="inlineStr">
      <is>
        <t>Zone 1</t>
      </is>
    </oc>
    <nc r="A73"/>
  </rcc>
  <rcc rId="2415" sId="1">
    <oc r="B73" t="inlineStr">
      <is>
        <t>Blade Grinder 2</t>
      </is>
    </oc>
    <nc r="B73"/>
  </rcc>
  <rcc rId="2416" sId="1">
    <oc r="C73">
      <v>0.5</v>
    </oc>
    <nc r="C73"/>
  </rcc>
  <rcc rId="2417" sId="1">
    <oc r="E73" t="inlineStr">
      <is>
        <t>W1027197-1/1</t>
      </is>
    </oc>
    <nc r="E73"/>
  </rcc>
  <rcc rId="2418" sId="1">
    <oc r="F73" t="inlineStr">
      <is>
        <t>SMI3/73-0015-0101UC</t>
      </is>
    </oc>
    <nc r="F73"/>
  </rcc>
  <rcc rId="2419" sId="1">
    <oc r="G73" t="inlineStr">
      <is>
        <t>#15 SS SURG BLD Un-Coated</t>
      </is>
    </oc>
    <nc r="G73"/>
  </rcc>
  <rcc rId="2420" sId="1">
    <oc r="H73">
      <v>5.6950000000000003</v>
    </oc>
    <nc r="H73"/>
  </rcc>
  <rcc rId="2421" sId="1">
    <oc r="I73">
      <v>11.39</v>
    </oc>
    <nc r="I73"/>
  </rcc>
  <rcc rId="2422" sId="1">
    <oc r="J73">
      <v>10000</v>
    </oc>
    <nc r="J73"/>
  </rcc>
  <rcc rId="2423" sId="1">
    <oc r="K73">
      <v>0</v>
    </oc>
    <nc r="K73"/>
  </rcc>
  <rcc rId="2424" sId="1" numFmtId="19">
    <oc r="L73">
      <v>46213.645833333336</v>
    </oc>
    <nc r="L73"/>
  </rcc>
  <rcc rId="2425" sId="1" numFmtId="19">
    <oc r="M73">
      <v>46216.118055555555</v>
    </oc>
    <nc r="M73"/>
  </rcc>
  <rcc rId="2426" sId="1">
    <oc r="AA73" t="inlineStr">
      <is>
        <t>1</t>
      </is>
    </oc>
    <nc r="AA73"/>
  </rcc>
  <rcc rId="2427" sId="1">
    <oc r="AB73" t="inlineStr">
      <is>
        <t>1</t>
      </is>
    </oc>
    <nc r="AB73"/>
  </rcc>
  <rcc rId="2428" sId="1">
    <oc r="A74" t="inlineStr">
      <is>
        <t>Zone 1</t>
      </is>
    </oc>
    <nc r="A74"/>
  </rcc>
  <rcc rId="2429" sId="1">
    <oc r="B74" t="inlineStr">
      <is>
        <t>Blade Grinder 2</t>
      </is>
    </oc>
    <nc r="B74"/>
  </rcc>
  <rcc rId="2430" sId="1">
    <oc r="C74">
      <v>0.5</v>
    </oc>
    <nc r="C74"/>
  </rcc>
  <rcc rId="2431" sId="1">
    <oc r="E74" t="inlineStr">
      <is>
        <t>W1028320-1/1</t>
      </is>
    </oc>
    <nc r="E74"/>
  </rcc>
  <rcc rId="2432" sId="1">
    <oc r="F74" t="inlineStr">
      <is>
        <t>SMI3/73-0015-0101UC</t>
      </is>
    </oc>
    <nc r="F74"/>
  </rcc>
  <rcc rId="2433" sId="1">
    <oc r="G74" t="inlineStr">
      <is>
        <t>#15 SS SURG BLD Un-Coated</t>
      </is>
    </oc>
    <nc r="G74"/>
  </rcc>
  <rcc rId="2434" sId="1">
    <oc r="H74">
      <v>8.5399999999999991</v>
    </oc>
    <nc r="H74"/>
  </rcc>
  <rcc rId="2435" sId="1">
    <oc r="I74">
      <v>17.079999999999998</v>
    </oc>
    <nc r="I74"/>
  </rcc>
  <rcc rId="2436" sId="1">
    <oc r="J74">
      <v>15000</v>
    </oc>
    <nc r="J74"/>
  </rcc>
  <rcc rId="2437" sId="1">
    <oc r="K74">
      <v>0</v>
    </oc>
    <nc r="K74"/>
  </rcc>
  <rcc rId="2438" sId="1" numFmtId="19">
    <oc r="L74">
      <v>46216.125</v>
    </oc>
    <nc r="L74"/>
  </rcc>
  <rcc rId="2439" sId="1" numFmtId="19">
    <oc r="M74">
      <v>46216.833333333336</v>
    </oc>
    <nc r="M74"/>
  </rcc>
  <rcc rId="2440" sId="1">
    <oc r="AA74" t="inlineStr">
      <is>
        <t>1</t>
      </is>
    </oc>
    <nc r="AA74"/>
  </rcc>
  <rcc rId="2441" sId="1">
    <oc r="AB74" t="inlineStr">
      <is>
        <t>1</t>
      </is>
    </oc>
    <nc r="AB74"/>
  </rcc>
  <rcc rId="2442" sId="1">
    <oc r="A75" t="inlineStr">
      <is>
        <t>Zone 1</t>
      </is>
    </oc>
    <nc r="A75"/>
  </rcc>
  <rcc rId="2443" sId="1">
    <oc r="B75" t="inlineStr">
      <is>
        <t>Blade Grinder 2</t>
      </is>
    </oc>
    <nc r="B75"/>
  </rcc>
  <rcc rId="2444" sId="1">
    <oc r="C75">
      <v>0.5</v>
    </oc>
    <nc r="C75"/>
  </rcc>
  <rcc rId="2445" sId="1">
    <oc r="E75" t="inlineStr">
      <is>
        <t>W1028928-1/1</t>
      </is>
    </oc>
    <nc r="E75"/>
  </rcc>
  <rcc rId="2446" sId="1">
    <oc r="F75" t="inlineStr">
      <is>
        <t>SMI3/73-0015-0101UC</t>
      </is>
    </oc>
    <nc r="F75"/>
  </rcc>
  <rcc rId="2447" sId="1">
    <oc r="G75" t="inlineStr">
      <is>
        <t>#15 SS SURG BLD Un-Coated</t>
      </is>
    </oc>
    <nc r="G75"/>
  </rcc>
  <rcc rId="2448" sId="1">
    <oc r="H75">
      <v>8.5399999999999991</v>
    </oc>
    <nc r="H75"/>
  </rcc>
  <rcc rId="2449" sId="1">
    <oc r="I75">
      <v>17.079999999999998</v>
    </oc>
    <nc r="I75"/>
  </rcc>
  <rcc rId="2450" sId="1">
    <oc r="J75">
      <v>15000</v>
    </oc>
    <nc r="J75"/>
  </rcc>
  <rcc rId="2451" sId="1">
    <oc r="K75">
      <v>0</v>
    </oc>
    <nc r="K75"/>
  </rcc>
  <rcc rId="2452" sId="1" numFmtId="19">
    <oc r="L75">
      <v>46216.840277777781</v>
    </oc>
    <nc r="L75"/>
  </rcc>
  <rcc rId="2453" sId="1" numFmtId="19">
    <oc r="M75">
      <v>46217.548611111109</v>
    </oc>
    <nc r="M75"/>
  </rcc>
  <rcc rId="2454" sId="1">
    <oc r="AA75" t="inlineStr">
      <is>
        <t>1</t>
      </is>
    </oc>
    <nc r="AA75"/>
  </rcc>
  <rcc rId="2455" sId="1">
    <oc r="AB75" t="inlineStr">
      <is>
        <t>1</t>
      </is>
    </oc>
    <nc r="AB75"/>
  </rcc>
  <rcc rId="2456" sId="1">
    <oc r="A76" t="inlineStr">
      <is>
        <t>Zone 1</t>
      </is>
    </oc>
    <nc r="A76"/>
  </rcc>
  <rcc rId="2457" sId="1">
    <oc r="B76" t="inlineStr">
      <is>
        <t>Blade Grinder 2</t>
      </is>
    </oc>
    <nc r="B76"/>
  </rcc>
  <rcc rId="2458" sId="1">
    <oc r="C76">
      <v>0.5</v>
    </oc>
    <nc r="C76"/>
  </rcc>
  <rcc rId="2459" sId="1">
    <oc r="E76" t="inlineStr">
      <is>
        <t>W1028933-1/1</t>
      </is>
    </oc>
    <nc r="E76"/>
  </rcc>
  <rcc rId="2460" sId="1">
    <oc r="F76" t="inlineStr">
      <is>
        <t>SMI3/73-0015-0101UC</t>
      </is>
    </oc>
    <nc r="F76"/>
  </rcc>
  <rcc rId="2461" sId="1">
    <oc r="G76" t="inlineStr">
      <is>
        <t>#15 SS SURG BLD Un-Coated</t>
      </is>
    </oc>
    <nc r="G76"/>
  </rcc>
  <rcc rId="2462" sId="1">
    <oc r="H76">
      <v>8.5399999999999991</v>
    </oc>
    <nc r="H76"/>
  </rcc>
  <rcc rId="2463" sId="1">
    <oc r="I76">
      <v>3.38</v>
    </oc>
    <nc r="I76"/>
  </rcc>
  <rcc rId="2464" sId="1">
    <oc r="J76">
      <v>15000</v>
    </oc>
    <nc r="J76"/>
  </rcc>
  <rcc rId="2465" sId="1">
    <oc r="K76">
      <v>12033</v>
    </oc>
    <nc r="K76"/>
  </rcc>
  <rcc rId="2466" sId="1" numFmtId="19">
    <oc r="L76">
      <v>46217.555555555555</v>
    </oc>
    <nc r="L76"/>
  </rcc>
  <rcc rId="2467" sId="1" numFmtId="19">
    <oc r="M76">
      <v>46217.694444444445</v>
    </oc>
    <nc r="M76"/>
  </rcc>
  <rcc rId="2468" sId="1">
    <oc r="AA76" t="inlineStr">
      <is>
        <t>1</t>
      </is>
    </oc>
    <nc r="AA76"/>
  </rcc>
  <rcc rId="2469" sId="1">
    <oc r="AB76" t="inlineStr">
      <is>
        <t>1</t>
      </is>
    </oc>
    <nc r="AB76"/>
  </rcc>
  <rcc rId="2470" sId="1">
    <oc r="A77" t="inlineStr">
      <is>
        <t>Zone 1</t>
      </is>
    </oc>
    <nc r="A77"/>
  </rcc>
  <rcc rId="2471" sId="1">
    <oc r="B77" t="inlineStr">
      <is>
        <t>Blade Grinder 2</t>
      </is>
    </oc>
    <nc r="B77"/>
  </rcc>
  <rcc rId="2472" sId="1">
    <oc r="C77">
      <v>0.5</v>
    </oc>
    <nc r="C77"/>
  </rcc>
  <rcc rId="2473" sId="1">
    <oc r="E77" t="inlineStr">
      <is>
        <t>W1028934-1/1</t>
      </is>
    </oc>
    <nc r="E77"/>
  </rcc>
  <rcc rId="2474" sId="1">
    <oc r="F77" t="inlineStr">
      <is>
        <t>SMI3/73-0015-0101UC</t>
      </is>
    </oc>
    <nc r="F77"/>
  </rcc>
  <rcc rId="2475" sId="1">
    <oc r="G77" t="inlineStr">
      <is>
        <t>#15 SS SURG BLD Un-Coated</t>
      </is>
    </oc>
    <nc r="G77"/>
  </rcc>
  <rcc rId="2476" sId="1">
    <oc r="H77">
      <v>8.5399999999999991</v>
    </oc>
    <nc r="H77"/>
  </rcc>
  <rcc rId="2477" sId="1">
    <oc r="I77">
      <v>17.079999999999998</v>
    </oc>
    <nc r="I77"/>
  </rcc>
  <rcc rId="2478" sId="1">
    <oc r="J77">
      <v>15000</v>
    </oc>
    <nc r="J77"/>
  </rcc>
  <rcc rId="2479" sId="1">
    <oc r="K77">
      <v>0</v>
    </oc>
    <nc r="K77"/>
  </rcc>
  <rcc rId="2480" sId="1" numFmtId="19">
    <oc r="L77">
      <v>46217.701388888891</v>
    </oc>
    <nc r="L77"/>
  </rcc>
  <rcc rId="2481" sId="1" numFmtId="19">
    <oc r="M77">
      <v>46218.409722222219</v>
    </oc>
    <nc r="M77"/>
  </rcc>
  <rcc rId="2482" sId="1">
    <oc r="AA77" t="inlineStr">
      <is>
        <t>1</t>
      </is>
    </oc>
    <nc r="AA77"/>
  </rcc>
  <rcc rId="2483" sId="1">
    <oc r="AB77" t="inlineStr">
      <is>
        <t>1</t>
      </is>
    </oc>
    <nc r="AB77"/>
  </rcc>
  <rcc rId="2484" sId="1">
    <oc r="A78" t="inlineStr">
      <is>
        <t>Zone 1</t>
      </is>
    </oc>
    <nc r="A78"/>
  </rcc>
  <rcc rId="2485" sId="1">
    <oc r="B78" t="inlineStr">
      <is>
        <t>Blade Grinder 2</t>
      </is>
    </oc>
    <nc r="B78"/>
  </rcc>
  <rcc rId="2486" sId="1">
    <oc r="C78">
      <v>0.5</v>
    </oc>
    <nc r="C78"/>
  </rcc>
  <rcc rId="2487" sId="1">
    <oc r="E78" t="inlineStr">
      <is>
        <t>W1028935-1/1</t>
      </is>
    </oc>
    <nc r="E78"/>
  </rcc>
  <rcc rId="2488" sId="1">
    <oc r="F78" t="inlineStr">
      <is>
        <t>SMI3/73-0015-0101UC</t>
      </is>
    </oc>
    <nc r="F78"/>
  </rcc>
  <rcc rId="2489" sId="1">
    <oc r="G78" t="inlineStr">
      <is>
        <t>#15 SS SURG BLD Un-Coated</t>
      </is>
    </oc>
    <nc r="G78"/>
  </rcc>
  <rcc rId="2490" sId="1">
    <oc r="H78">
      <v>8.5399999999999991</v>
    </oc>
    <nc r="H78"/>
  </rcc>
  <rcc rId="2491" sId="1">
    <oc r="I78">
      <v>17.079999999999998</v>
    </oc>
    <nc r="I78"/>
  </rcc>
  <rcc rId="2492" sId="1">
    <oc r="J78">
      <v>15000</v>
    </oc>
    <nc r="J78"/>
  </rcc>
  <rcc rId="2493" sId="1">
    <oc r="K78">
      <v>0</v>
    </oc>
    <nc r="K78"/>
  </rcc>
  <rcc rId="2494" sId="1" numFmtId="19">
    <oc r="L78">
      <v>46218.416666666664</v>
    </oc>
    <nc r="L78"/>
  </rcc>
  <rcc rId="2495" sId="1" numFmtId="19">
    <oc r="M78">
      <v>46219.125</v>
    </oc>
    <nc r="M78"/>
  </rcc>
  <rcc rId="2496" sId="1">
    <oc r="AA78" t="inlineStr">
      <is>
        <t>1</t>
      </is>
    </oc>
    <nc r="AA78"/>
  </rcc>
  <rcc rId="2497" sId="1">
    <oc r="AB78" t="inlineStr">
      <is>
        <t>1</t>
      </is>
    </oc>
    <nc r="AB78"/>
  </rcc>
  <rcc rId="2498" sId="1">
    <oc r="A79" t="inlineStr">
      <is>
        <t>Zone 1</t>
      </is>
    </oc>
    <nc r="A79"/>
  </rcc>
  <rcc rId="2499" sId="1">
    <oc r="B79" t="inlineStr">
      <is>
        <t>Blade Grinder 2</t>
      </is>
    </oc>
    <nc r="B79"/>
  </rcc>
  <rcc rId="2500" sId="1">
    <oc r="C79">
      <v>0.5</v>
    </oc>
    <nc r="C79"/>
  </rcc>
  <rcc rId="2501" sId="1">
    <oc r="E79" t="inlineStr">
      <is>
        <t>W1029920-1/1</t>
      </is>
    </oc>
    <nc r="E79"/>
  </rcc>
  <rcc rId="2502" sId="1">
    <oc r="F79" t="inlineStr">
      <is>
        <t>SMI3/73-0015-0101UC</t>
      </is>
    </oc>
    <nc r="F79"/>
  </rcc>
  <rcc rId="2503" sId="1">
    <oc r="G79" t="inlineStr">
      <is>
        <t>#15 SS SURG BLD Un-Coated</t>
      </is>
    </oc>
    <nc r="G79"/>
  </rcc>
  <rcc rId="2504" sId="1">
    <oc r="H79">
      <v>10.25</v>
    </oc>
    <nc r="H79"/>
  </rcc>
  <rcc rId="2505" sId="1">
    <oc r="I79">
      <v>20.5</v>
    </oc>
    <nc r="I79"/>
  </rcc>
  <rcc rId="2506" sId="1">
    <oc r="J79">
      <v>18000</v>
    </oc>
    <nc r="J79"/>
  </rcc>
  <rcc rId="2507" sId="1">
    <oc r="K79">
      <v>0</v>
    </oc>
    <nc r="K79"/>
  </rcc>
  <rcc rId="2508" sId="1" numFmtId="19">
    <oc r="L79">
      <v>46219.131944444445</v>
    </oc>
    <nc r="L79"/>
  </rcc>
  <rcc rId="2509" sId="1" numFmtId="19">
    <oc r="M79">
      <v>46219.979166666664</v>
    </oc>
    <nc r="M79"/>
  </rcc>
  <rcc rId="2510" sId="1">
    <oc r="AA79" t="inlineStr">
      <is>
        <t>1</t>
      </is>
    </oc>
    <nc r="AA79"/>
  </rcc>
  <rcc rId="2511" sId="1">
    <oc r="AB79" t="inlineStr">
      <is>
        <t>1</t>
      </is>
    </oc>
    <nc r="AB79"/>
  </rcc>
  <rcc rId="2512" sId="1">
    <oc r="A80" t="inlineStr">
      <is>
        <t>Zone 1</t>
      </is>
    </oc>
    <nc r="A80"/>
  </rcc>
  <rcc rId="2513" sId="1">
    <oc r="B80" t="inlineStr">
      <is>
        <t>Blade Grinder 2</t>
      </is>
    </oc>
    <nc r="B80"/>
  </rcc>
  <rcc rId="2514" sId="1">
    <oc r="C80">
      <v>0.5</v>
    </oc>
    <nc r="C80"/>
  </rcc>
  <rcc rId="2515" sId="1">
    <oc r="E80" t="inlineStr">
      <is>
        <t>W1029921-1/1</t>
      </is>
    </oc>
    <nc r="E80"/>
  </rcc>
  <rcc rId="2516" sId="1">
    <oc r="F80" t="inlineStr">
      <is>
        <t>SMI3/73-0015-0101UC</t>
      </is>
    </oc>
    <nc r="F80"/>
  </rcc>
  <rcc rId="2517" sId="1">
    <oc r="G80" t="inlineStr">
      <is>
        <t>#15 SS SURG BLD Un-Coated</t>
      </is>
    </oc>
    <nc r="G80"/>
  </rcc>
  <rcc rId="2518" sId="1">
    <oc r="H80">
      <v>10.25</v>
    </oc>
    <nc r="H80"/>
  </rcc>
  <rcc rId="2519" sId="1">
    <oc r="I80">
      <v>20.5</v>
    </oc>
    <nc r="I80"/>
  </rcc>
  <rcc rId="2520" sId="1">
    <oc r="J80">
      <v>18000</v>
    </oc>
    <nc r="J80"/>
  </rcc>
  <rcc rId="2521" sId="1">
    <oc r="K80">
      <v>0</v>
    </oc>
    <nc r="K80"/>
  </rcc>
  <rcc rId="2522" sId="1" numFmtId="19">
    <oc r="L80">
      <v>46219.986111111109</v>
    </oc>
    <nc r="L80"/>
  </rcc>
  <rcc rId="2523" sId="1" numFmtId="19">
    <oc r="M80">
      <v>46220.833333333336</v>
    </oc>
    <nc r="M80"/>
  </rcc>
  <rcc rId="2524" sId="1">
    <oc r="AA80" t="inlineStr">
      <is>
        <t>1</t>
      </is>
    </oc>
    <nc r="AA80"/>
  </rcc>
  <rcc rId="2525" sId="1">
    <oc r="AB80" t="inlineStr">
      <is>
        <t>1</t>
      </is>
    </oc>
    <nc r="AB80"/>
  </rcc>
  <rcc rId="2526" sId="1">
    <oc r="A81" t="inlineStr">
      <is>
        <t>Zone 1</t>
      </is>
    </oc>
    <nc r="A81"/>
  </rcc>
  <rcc rId="2527" sId="1">
    <oc r="B81" t="inlineStr">
      <is>
        <t>Blade Grinder 2</t>
      </is>
    </oc>
    <nc r="B81"/>
  </rcc>
  <rcc rId="2528" sId="1">
    <oc r="C81">
      <v>0.5</v>
    </oc>
    <nc r="C81"/>
  </rcc>
  <rcc rId="2529" sId="1">
    <oc r="E81" t="inlineStr">
      <is>
        <t>W1029922-1/1</t>
      </is>
    </oc>
    <nc r="E81"/>
  </rcc>
  <rcc rId="2530" sId="1">
    <oc r="F81" t="inlineStr">
      <is>
        <t>SMI3/73-0015-0101UC</t>
      </is>
    </oc>
    <nc r="F81"/>
  </rcc>
  <rcc rId="2531" sId="1">
    <oc r="G81" t="inlineStr">
      <is>
        <t>#15 SS SURG BLD Un-Coated</t>
      </is>
    </oc>
    <nc r="G81"/>
  </rcc>
  <rcc rId="2532" sId="1">
    <oc r="H81">
      <v>10.25</v>
    </oc>
    <nc r="H81"/>
  </rcc>
  <rcc rId="2533" sId="1">
    <oc r="I81">
      <v>20.5</v>
    </oc>
    <nc r="I81"/>
  </rcc>
  <rcc rId="2534" sId="1">
    <oc r="J81">
      <v>18000</v>
    </oc>
    <nc r="J81"/>
  </rcc>
  <rcc rId="2535" sId="1">
    <oc r="K81">
      <v>0</v>
    </oc>
    <nc r="K81"/>
  </rcc>
  <rcc rId="2536" sId="1" numFmtId="19">
    <oc r="L81">
      <v>46220.840277777781</v>
    </oc>
    <nc r="L81"/>
  </rcc>
  <rcc rId="2537" sId="1" numFmtId="19">
    <oc r="M81">
      <v>46223.6875</v>
    </oc>
    <nc r="M81"/>
  </rcc>
  <rcc rId="2538" sId="1">
    <oc r="AA81" t="inlineStr">
      <is>
        <t>1</t>
      </is>
    </oc>
    <nc r="AA81"/>
  </rcc>
  <rcc rId="2539" sId="1">
    <oc r="AB81" t="inlineStr">
      <is>
        <t>1</t>
      </is>
    </oc>
    <nc r="AB81"/>
  </rcc>
  <rcc rId="2540" sId="1">
    <oc r="A82" t="inlineStr">
      <is>
        <t>Zone 1</t>
      </is>
    </oc>
    <nc r="A82"/>
  </rcc>
  <rcc rId="2541" sId="1">
    <oc r="B82" t="inlineStr">
      <is>
        <t>Blade Grinder 2</t>
      </is>
    </oc>
    <nc r="B82"/>
  </rcc>
  <rcc rId="2542" sId="1">
    <oc r="C82">
      <v>0.5</v>
    </oc>
    <nc r="C82"/>
  </rcc>
  <rcc rId="2543" sId="1">
    <oc r="E82" t="inlineStr">
      <is>
        <t>W1029923-1/1</t>
      </is>
    </oc>
    <nc r="E82"/>
  </rcc>
  <rcc rId="2544" sId="1">
    <oc r="F82" t="inlineStr">
      <is>
        <t>SMI3/73-0015-0101UC</t>
      </is>
    </oc>
    <nc r="F82"/>
  </rcc>
  <rcc rId="2545" sId="1">
    <oc r="G82" t="inlineStr">
      <is>
        <t>#15 SS SURG BLD Un-Coated</t>
      </is>
    </oc>
    <nc r="G82"/>
  </rcc>
  <rcc rId="2546" sId="1">
    <oc r="H82">
      <v>10.25</v>
    </oc>
    <nc r="H82"/>
  </rcc>
  <rcc rId="2547" sId="1">
    <oc r="I82">
      <v>20.5</v>
    </oc>
    <nc r="I82"/>
  </rcc>
  <rcc rId="2548" sId="1">
    <oc r="J82">
      <v>18000</v>
    </oc>
    <nc r="J82"/>
  </rcc>
  <rcc rId="2549" sId="1">
    <oc r="K82">
      <v>0</v>
    </oc>
    <nc r="K82"/>
  </rcc>
  <rcc rId="2550" sId="1" numFmtId="19">
    <oc r="L82">
      <v>46223.694444444445</v>
    </oc>
    <nc r="L82"/>
  </rcc>
  <rcc rId="2551" sId="1" numFmtId="19">
    <oc r="M82">
      <v>46224.541666666664</v>
    </oc>
    <nc r="M82"/>
  </rcc>
  <rcc rId="2552" sId="1">
    <oc r="AA82" t="inlineStr">
      <is>
        <t>1</t>
      </is>
    </oc>
    <nc r="AA82"/>
  </rcc>
  <rcc rId="2553" sId="1">
    <oc r="AB82" t="inlineStr">
      <is>
        <t>1</t>
      </is>
    </oc>
    <nc r="AB82"/>
  </rcc>
  <rcc rId="2554" sId="1">
    <oc r="A83" t="inlineStr">
      <is>
        <t>Zone 1</t>
      </is>
    </oc>
    <nc r="A83"/>
  </rcc>
  <rcc rId="2555" sId="1">
    <oc r="B83" t="inlineStr">
      <is>
        <t>Blade Grinder 2</t>
      </is>
    </oc>
    <nc r="B83"/>
  </rcc>
  <rcc rId="2556" sId="1">
    <oc r="C83">
      <v>0.5</v>
    </oc>
    <nc r="C83"/>
  </rcc>
  <rcc rId="2557" sId="1">
    <oc r="E83" t="inlineStr">
      <is>
        <t>W1029924-1/1</t>
      </is>
    </oc>
    <nc r="E83"/>
  </rcc>
  <rcc rId="2558" sId="1">
    <oc r="F83" t="inlineStr">
      <is>
        <t>SMI3/73-0015-0101UC</t>
      </is>
    </oc>
    <nc r="F83"/>
  </rcc>
  <rcc rId="2559" sId="1">
    <oc r="G83" t="inlineStr">
      <is>
        <t>#15 SS SURG BLD Un-Coated</t>
      </is>
    </oc>
    <nc r="G83"/>
  </rcc>
  <rcc rId="2560" sId="1">
    <oc r="H83">
      <v>10.25</v>
    </oc>
    <nc r="H83"/>
  </rcc>
  <rcc rId="2561" sId="1">
    <oc r="I83">
      <v>20.5</v>
    </oc>
    <nc r="I83"/>
  </rcc>
  <rcc rId="2562" sId="1">
    <oc r="J83">
      <v>18000</v>
    </oc>
    <nc r="J83"/>
  </rcc>
  <rcc rId="2563" sId="1">
    <oc r="K83">
      <v>0</v>
    </oc>
    <nc r="K83"/>
  </rcc>
  <rcc rId="2564" sId="1" numFmtId="19">
    <oc r="L83">
      <v>46224.548611111109</v>
    </oc>
    <nc r="L83"/>
  </rcc>
  <rcc rId="2565" sId="1" numFmtId="19">
    <oc r="M83">
      <v>46225.395833333336</v>
    </oc>
    <nc r="M83"/>
  </rcc>
  <rcc rId="2566" sId="1">
    <oc r="AA83" t="inlineStr">
      <is>
        <t>1</t>
      </is>
    </oc>
    <nc r="AA83"/>
  </rcc>
  <rcc rId="2567" sId="1">
    <oc r="AB83" t="inlineStr">
      <is>
        <t>1</t>
      </is>
    </oc>
    <nc r="AB83"/>
  </rcc>
  <rcc rId="2568" sId="1">
    <oc r="A84" t="inlineStr">
      <is>
        <t>Zone 1</t>
      </is>
    </oc>
    <nc r="A84"/>
  </rcc>
  <rcc rId="2569" sId="1">
    <oc r="B84" t="inlineStr">
      <is>
        <t>Blade Grinder 2</t>
      </is>
    </oc>
    <nc r="B84"/>
  </rcc>
  <rcc rId="2570" sId="1">
    <oc r="C84">
      <v>0.5</v>
    </oc>
    <nc r="C84"/>
  </rcc>
  <rcc rId="2571" sId="1">
    <oc r="E84" t="inlineStr">
      <is>
        <t>W1029925-1/1</t>
      </is>
    </oc>
    <nc r="E84"/>
  </rcc>
  <rcc rId="2572" sId="1">
    <oc r="F84" t="inlineStr">
      <is>
        <t>SMI3/73-0015-0101UC</t>
      </is>
    </oc>
    <nc r="F84"/>
  </rcc>
  <rcc rId="2573" sId="1">
    <oc r="G84" t="inlineStr">
      <is>
        <t>#15 SS SURG BLD Un-Coated</t>
      </is>
    </oc>
    <nc r="G84"/>
  </rcc>
  <rcc rId="2574" sId="1">
    <oc r="H84">
      <v>10.25</v>
    </oc>
    <nc r="H84"/>
  </rcc>
  <rcc rId="2575" sId="1">
    <oc r="I84">
      <v>20.5</v>
    </oc>
    <nc r="I84"/>
  </rcc>
  <rcc rId="2576" sId="1">
    <oc r="J84">
      <v>18000</v>
    </oc>
    <nc r="J84"/>
  </rcc>
  <rcc rId="2577" sId="1">
    <oc r="K84">
      <v>0</v>
    </oc>
    <nc r="K84"/>
  </rcc>
  <rcc rId="2578" sId="1" numFmtId="19">
    <oc r="L84">
      <v>46225.402777777781</v>
    </oc>
    <nc r="L84"/>
  </rcc>
  <rcc rId="2579" sId="1" numFmtId="19">
    <oc r="M84">
      <v>46226.25</v>
    </oc>
    <nc r="M84"/>
  </rcc>
  <rcc rId="2580" sId="1">
    <oc r="AA84" t="inlineStr">
      <is>
        <t>1</t>
      </is>
    </oc>
    <nc r="AA84"/>
  </rcc>
  <rcc rId="2581" sId="1">
    <oc r="AB84" t="inlineStr">
      <is>
        <t>1</t>
      </is>
    </oc>
    <nc r="AB84"/>
  </rcc>
  <rcc rId="2582" sId="1">
    <oc r="A85" t="inlineStr">
      <is>
        <t>Zone 1</t>
      </is>
    </oc>
    <nc r="A85"/>
  </rcc>
  <rcc rId="2583" sId="1">
    <oc r="B85" t="inlineStr">
      <is>
        <t>Blade Grinder 2</t>
      </is>
    </oc>
    <nc r="B85"/>
  </rcc>
  <rcc rId="2584" sId="1">
    <oc r="C85">
      <v>0.5</v>
    </oc>
    <nc r="C85"/>
  </rcc>
  <rcc rId="2585" sId="1">
    <oc r="E85" t="inlineStr">
      <is>
        <t>W1029926-1/1</t>
      </is>
    </oc>
    <nc r="E85"/>
  </rcc>
  <rcc rId="2586" sId="1">
    <oc r="F85" t="inlineStr">
      <is>
        <t>SMI3/73-0015-0101UC</t>
      </is>
    </oc>
    <nc r="F85"/>
  </rcc>
  <rcc rId="2587" sId="1">
    <oc r="G85" t="inlineStr">
      <is>
        <t>#15 SS SURG BLD Un-Coated</t>
      </is>
    </oc>
    <nc r="G85"/>
  </rcc>
  <rcc rId="2588" sId="1">
    <oc r="H85">
      <v>10.25</v>
    </oc>
    <nc r="H85"/>
  </rcc>
  <rcc rId="2589" sId="1">
    <oc r="I85">
      <v>20.5</v>
    </oc>
    <nc r="I85"/>
  </rcc>
  <rcc rId="2590" sId="1">
    <oc r="J85">
      <v>18000</v>
    </oc>
    <nc r="J85"/>
  </rcc>
  <rcc rId="2591" sId="1">
    <oc r="K85">
      <v>0</v>
    </oc>
    <nc r="K85"/>
  </rcc>
  <rcc rId="2592" sId="1" numFmtId="19">
    <oc r="L85">
      <v>46226.256944444445</v>
    </oc>
    <nc r="L85"/>
  </rcc>
  <rcc rId="2593" sId="1" numFmtId="19">
    <oc r="M85">
      <v>46227.104166666664</v>
    </oc>
    <nc r="M85"/>
  </rcc>
  <rcc rId="2594" sId="1">
    <oc r="AA85" t="inlineStr">
      <is>
        <t>1</t>
      </is>
    </oc>
    <nc r="AA85"/>
  </rcc>
  <rcc rId="2595" sId="1">
    <oc r="AB85" t="inlineStr">
      <is>
        <t>1</t>
      </is>
    </oc>
    <nc r="AB85"/>
  </rcc>
  <rcc rId="2596" sId="1">
    <oc r="A86" t="inlineStr">
      <is>
        <t>Zone 1</t>
      </is>
    </oc>
    <nc r="A86"/>
  </rcc>
  <rcc rId="2597" sId="1">
    <oc r="B86" t="inlineStr">
      <is>
        <t>Blade Inspect</t>
      </is>
    </oc>
    <nc r="B86"/>
  </rcc>
  <rcc rId="2598" sId="1">
    <oc r="C86">
      <v>1</v>
    </oc>
    <nc r="C86"/>
  </rcc>
  <rcc rId="2599" sId="1">
    <oc r="E86" t="inlineStr">
      <is>
        <t>W1021926-6/1</t>
      </is>
    </oc>
    <nc r="E86"/>
  </rcc>
  <rcc rId="2600" sId="1">
    <oc r="F86" t="inlineStr">
      <is>
        <t>SMI1/73-0211</t>
      </is>
    </oc>
    <nc r="F86"/>
  </rcc>
  <rcc rId="2601" sId="1">
    <oc r="G86" t="inlineStr">
      <is>
        <t>#11 Disp Scalpel Non-Sterile</t>
      </is>
    </oc>
    <nc r="G86"/>
  </rcc>
  <rcc rId="2602" sId="1">
    <oc r="H86">
      <v>6.67</v>
    </oc>
    <nc r="H86"/>
  </rcc>
  <rcc rId="2603" sId="1">
    <oc r="I86">
      <v>7.0000000000000007E-2</v>
    </oc>
    <nc r="I86"/>
  </rcc>
  <rcc rId="2604" sId="1">
    <oc r="J86">
      <v>20000</v>
    </oc>
    <nc r="J86"/>
  </rcc>
  <rcc rId="2605" sId="1">
    <oc r="K86">
      <v>19800</v>
    </oc>
    <nc r="K86"/>
  </rcc>
  <rcc rId="2606" sId="1" numFmtId="19">
    <oc r="L86">
      <v>46208.958333333336</v>
    </oc>
    <nc r="L86"/>
  </rcc>
  <rcc rId="2607" sId="1" numFmtId="19">
    <oc r="M86">
      <v>46208.958333333336</v>
    </oc>
    <nc r="M86"/>
  </rcc>
  <rcc rId="2608" sId="1">
    <oc r="AA86" t="inlineStr">
      <is>
        <t>1</t>
      </is>
    </oc>
    <nc r="AA86"/>
  </rcc>
  <rcc rId="2609" sId="1">
    <oc r="AB86" t="inlineStr">
      <is>
        <t>6</t>
      </is>
    </oc>
    <nc r="AB86"/>
  </rcc>
  <rcc rId="2610" sId="1">
    <oc r="A87" t="inlineStr">
      <is>
        <t>Zone 1</t>
      </is>
    </oc>
    <nc r="A87"/>
  </rcc>
  <rcc rId="2611" sId="1">
    <oc r="B87" t="inlineStr">
      <is>
        <t>Blade Inspect</t>
      </is>
    </oc>
    <nc r="B87"/>
  </rcc>
  <rcc rId="2612" sId="1">
    <oc r="C87">
      <v>2</v>
    </oc>
    <nc r="C87"/>
  </rcc>
  <rcc rId="2613" sId="1">
    <oc r="E87" t="inlineStr">
      <is>
        <t>W1026763-2/1</t>
      </is>
    </oc>
    <nc r="E87"/>
  </rcc>
  <rcc rId="2614" sId="1">
    <oc r="F87" t="inlineStr">
      <is>
        <t>SMI1/73-0111</t>
      </is>
    </oc>
    <nc r="F87"/>
  </rcc>
  <rcc rId="2615" sId="1">
    <oc r="G87" t="inlineStr">
      <is>
        <t>#11 Disp Scalpel Sterile</t>
      </is>
    </oc>
    <nc r="G87"/>
  </rcc>
  <rcc rId="2616" sId="1">
    <oc r="H87">
      <v>1.66</v>
    </oc>
    <nc r="H87"/>
  </rcc>
  <rcc rId="2617" sId="1">
    <oc r="I87">
      <v>0.83</v>
    </oc>
    <nc r="I87"/>
  </rcc>
  <rcc rId="2618" sId="1">
    <oc r="J87">
      <v>5000</v>
    </oc>
    <nc r="J87"/>
  </rcc>
  <rcc rId="2619" sId="1">
    <oc r="K87">
      <v>0</v>
    </oc>
    <nc r="K87"/>
  </rcc>
  <rcc rId="2620" sId="1" numFmtId="19">
    <oc r="L87">
      <v>46208.958333333336</v>
    </oc>
    <nc r="L87"/>
  </rcc>
  <rcc rId="2621" sId="1" numFmtId="19">
    <oc r="M87">
      <v>46208.986111111109</v>
    </oc>
    <nc r="M87"/>
  </rcc>
  <rcc rId="2622" sId="1">
    <oc r="AA87" t="inlineStr">
      <is>
        <t>1</t>
      </is>
    </oc>
    <nc r="AA87"/>
  </rcc>
  <rcc rId="2623" sId="1">
    <oc r="AB87" t="inlineStr">
      <is>
        <t>2</t>
      </is>
    </oc>
    <nc r="AB87"/>
  </rcc>
  <rcc rId="2624" sId="1">
    <oc r="A88" t="inlineStr">
      <is>
        <t>Zone 1</t>
      </is>
    </oc>
    <nc r="A88"/>
  </rcc>
  <rcc rId="2625" sId="1">
    <oc r="B88" t="inlineStr">
      <is>
        <t>Blade Inspect</t>
      </is>
    </oc>
    <nc r="B88"/>
  </rcc>
  <rcc rId="2626" sId="1">
    <oc r="C88">
      <v>1</v>
    </oc>
    <nc r="C88"/>
  </rcc>
  <rcc rId="2627" sId="1">
    <oc r="E88" t="inlineStr">
      <is>
        <t>W1021927-6/1</t>
      </is>
    </oc>
    <nc r="E88"/>
  </rcc>
  <rcc rId="2628" sId="1">
    <oc r="F88" t="inlineStr">
      <is>
        <t>SMI1/73-0211</t>
      </is>
    </oc>
    <nc r="F88"/>
  </rcc>
  <rcc rId="2629" sId="1">
    <oc r="G88" t="inlineStr">
      <is>
        <t>#11 Disp Scalpel Non-Sterile</t>
      </is>
    </oc>
    <nc r="G88"/>
  </rcc>
  <rcc rId="2630" sId="1">
    <oc r="H88">
      <v>5</v>
    </oc>
    <nc r="H88"/>
  </rcc>
  <rcc rId="2631" sId="1">
    <oc r="I88">
      <v>5</v>
    </oc>
    <nc r="I88"/>
  </rcc>
  <rcc rId="2632" sId="1">
    <oc r="J88">
      <v>15000</v>
    </oc>
    <nc r="J88"/>
  </rcc>
  <rcc rId="2633" sId="1">
    <oc r="K88">
      <v>0</v>
    </oc>
    <nc r="K88"/>
  </rcc>
  <rcc rId="2634" sId="1" numFmtId="19">
    <oc r="L88">
      <v>46208.958333333336</v>
    </oc>
    <nc r="L88"/>
  </rcc>
  <rcc rId="2635" sId="1" numFmtId="19">
    <oc r="M88">
      <v>46209.159722222219</v>
    </oc>
    <nc r="M88"/>
  </rcc>
  <rcc rId="2636" sId="1">
    <oc r="AA88" t="inlineStr">
      <is>
        <t>1</t>
      </is>
    </oc>
    <nc r="AA88"/>
  </rcc>
  <rcc rId="2637" sId="1">
    <oc r="AB88" t="inlineStr">
      <is>
        <t>6</t>
      </is>
    </oc>
    <nc r="AB88"/>
  </rcc>
  <rcc rId="2638" sId="1">
    <oc r="A89" t="inlineStr">
      <is>
        <t>Zone 1</t>
      </is>
    </oc>
    <nc r="A89"/>
  </rcc>
  <rcc rId="2639" sId="1">
    <oc r="B89" t="inlineStr">
      <is>
        <t>Blade Inspect</t>
      </is>
    </oc>
    <nc r="B89"/>
  </rcc>
  <rcc rId="2640" sId="1">
    <oc r="C89">
      <v>1</v>
    </oc>
    <nc r="C89"/>
  </rcc>
  <rcc rId="2641" sId="1">
    <oc r="E89" t="inlineStr">
      <is>
        <t>W1021928-6/1</t>
      </is>
    </oc>
    <nc r="E89"/>
  </rcc>
  <rcc rId="2642" sId="1">
    <oc r="F89" t="inlineStr">
      <is>
        <t>SMI1/73-0211</t>
      </is>
    </oc>
    <nc r="F89"/>
  </rcc>
  <rcc rId="2643" sId="1">
    <oc r="G89" t="inlineStr">
      <is>
        <t>#11 Disp Scalpel Non-Sterile</t>
      </is>
    </oc>
    <nc r="G89"/>
  </rcc>
  <rcc rId="2644" sId="1">
    <oc r="H89">
      <v>5</v>
    </oc>
    <nc r="H89"/>
  </rcc>
  <rcc rId="2645" sId="1">
    <oc r="I89">
      <v>5</v>
    </oc>
    <nc r="I89"/>
  </rcc>
  <rcc rId="2646" sId="1">
    <oc r="J89">
      <v>15000</v>
    </oc>
    <nc r="J89"/>
  </rcc>
  <rcc rId="2647" sId="1">
    <oc r="K89">
      <v>0</v>
    </oc>
    <nc r="K89"/>
  </rcc>
  <rcc rId="2648" sId="1" numFmtId="19">
    <oc r="L89">
      <v>46208.958333333336</v>
    </oc>
    <nc r="L89"/>
  </rcc>
  <rcc rId="2649" sId="1" numFmtId="19">
    <oc r="M89">
      <v>46209.159722222219</v>
    </oc>
    <nc r="M89"/>
  </rcc>
  <rcc rId="2650" sId="1">
    <oc r="AA89" t="inlineStr">
      <is>
        <t>1</t>
      </is>
    </oc>
    <nc r="AA89"/>
  </rcc>
  <rcc rId="2651" sId="1">
    <oc r="AB89" t="inlineStr">
      <is>
        <t>6</t>
      </is>
    </oc>
    <nc r="AB89"/>
  </rcc>
  <rcc rId="2652" sId="1">
    <oc r="A90" t="inlineStr">
      <is>
        <t>Zone 1</t>
      </is>
    </oc>
    <nc r="A90"/>
  </rcc>
  <rcc rId="2653" sId="1">
    <oc r="B90" t="inlineStr">
      <is>
        <t>Blade Inspect</t>
      </is>
    </oc>
    <nc r="B90"/>
  </rcc>
  <rcc rId="2654" sId="1">
    <oc r="C90">
      <v>1</v>
    </oc>
    <nc r="C90"/>
  </rcc>
  <rcc rId="2655" sId="1">
    <oc r="E90" t="inlineStr">
      <is>
        <t>W1021929-6/1</t>
      </is>
    </oc>
    <nc r="E90"/>
  </rcc>
  <rcc rId="2656" sId="1">
    <oc r="F90" t="inlineStr">
      <is>
        <t>SMI1/73-0211</t>
      </is>
    </oc>
    <nc r="F90"/>
  </rcc>
  <rcc rId="2657" sId="1">
    <oc r="G90" t="inlineStr">
      <is>
        <t>#11 Disp Scalpel Non-Sterile</t>
      </is>
    </oc>
    <nc r="G90"/>
  </rcc>
  <rcc rId="2658" sId="1">
    <oc r="H90">
      <v>5</v>
    </oc>
    <nc r="H90"/>
  </rcc>
  <rcc rId="2659" sId="1">
    <oc r="I90">
      <v>5</v>
    </oc>
    <nc r="I90"/>
  </rcc>
  <rcc rId="2660" sId="1">
    <oc r="J90">
      <v>15000</v>
    </oc>
    <nc r="J90"/>
  </rcc>
  <rcc rId="2661" sId="1">
    <oc r="K90">
      <v>0</v>
    </oc>
    <nc r="K90"/>
  </rcc>
  <rcc rId="2662" sId="1" numFmtId="19">
    <oc r="L90">
      <v>46208.958333333336</v>
    </oc>
    <nc r="L90"/>
  </rcc>
  <rcc rId="2663" sId="1" numFmtId="19">
    <oc r="M90">
      <v>46209.159722222219</v>
    </oc>
    <nc r="M90"/>
  </rcc>
  <rcc rId="2664" sId="1">
    <oc r="AA90" t="inlineStr">
      <is>
        <t>1</t>
      </is>
    </oc>
    <nc r="AA90"/>
  </rcc>
  <rcc rId="2665" sId="1">
    <oc r="AB90" t="inlineStr">
      <is>
        <t>6</t>
      </is>
    </oc>
    <nc r="AB90"/>
  </rcc>
  <rcc rId="2666" sId="1">
    <oc r="A91" t="inlineStr">
      <is>
        <t>Zone 1</t>
      </is>
    </oc>
    <nc r="A91"/>
  </rcc>
  <rcc rId="2667" sId="1">
    <oc r="B91" t="inlineStr">
      <is>
        <t>Blade Inspect</t>
      </is>
    </oc>
    <nc r="B91"/>
  </rcc>
  <rcc rId="2668" sId="1">
    <oc r="C91">
      <v>1</v>
    </oc>
    <nc r="C91"/>
  </rcc>
  <rcc rId="2669" sId="1">
    <oc r="E91" t="inlineStr">
      <is>
        <t>W1021930-6/1</t>
      </is>
    </oc>
    <nc r="E91"/>
  </rcc>
  <rcc rId="2670" sId="1">
    <oc r="F91" t="inlineStr">
      <is>
        <t>SMI1/73-0211</t>
      </is>
    </oc>
    <nc r="F91"/>
  </rcc>
  <rcc rId="2671" sId="1">
    <oc r="G91" t="inlineStr">
      <is>
        <t>#11 Disp Scalpel Non-Sterile</t>
      </is>
    </oc>
    <nc r="G91"/>
  </rcc>
  <rcc rId="2672" sId="1">
    <oc r="H91">
      <v>5</v>
    </oc>
    <nc r="H91"/>
  </rcc>
  <rcc rId="2673" sId="1">
    <oc r="I91">
      <v>5</v>
    </oc>
    <nc r="I91"/>
  </rcc>
  <rcc rId="2674" sId="1">
    <oc r="J91">
      <v>15000</v>
    </oc>
    <nc r="J91"/>
  </rcc>
  <rcc rId="2675" sId="1">
    <oc r="K91">
      <v>0</v>
    </oc>
    <nc r="K91"/>
  </rcc>
  <rcc rId="2676" sId="1" numFmtId="19">
    <oc r="L91">
      <v>46208.958333333336</v>
    </oc>
    <nc r="L91"/>
  </rcc>
  <rcc rId="2677" sId="1" numFmtId="19">
    <oc r="M91">
      <v>46209.159722222219</v>
    </oc>
    <nc r="M91"/>
  </rcc>
  <rcc rId="2678" sId="1">
    <oc r="AA91" t="inlineStr">
      <is>
        <t>1</t>
      </is>
    </oc>
    <nc r="AA91"/>
  </rcc>
  <rcc rId="2679" sId="1">
    <oc r="AB91" t="inlineStr">
      <is>
        <t>6</t>
      </is>
    </oc>
    <nc r="AB91"/>
  </rcc>
  <rcc rId="2680" sId="1">
    <oc r="A92" t="inlineStr">
      <is>
        <t>Zone 1</t>
      </is>
    </oc>
    <nc r="A92"/>
  </rcc>
  <rcc rId="2681" sId="1">
    <oc r="B92" t="inlineStr">
      <is>
        <t>Blade Inspect</t>
      </is>
    </oc>
    <nc r="B92"/>
  </rcc>
  <rcc rId="2682" sId="1">
    <oc r="C92">
      <v>1</v>
    </oc>
    <nc r="C92"/>
  </rcc>
  <rcc rId="2683" sId="1">
    <oc r="E92" t="inlineStr">
      <is>
        <t>W1021931-6/1</t>
      </is>
    </oc>
    <nc r="E92"/>
  </rcc>
  <rcc rId="2684" sId="1">
    <oc r="F92" t="inlineStr">
      <is>
        <t>SMI1/73-0211</t>
      </is>
    </oc>
    <nc r="F92"/>
  </rcc>
  <rcc rId="2685" sId="1">
    <oc r="G92" t="inlineStr">
      <is>
        <t>#11 Disp Scalpel Non-Sterile</t>
      </is>
    </oc>
    <nc r="G92"/>
  </rcc>
  <rcc rId="2686" sId="1">
    <oc r="H92">
      <v>5</v>
    </oc>
    <nc r="H92"/>
  </rcc>
  <rcc rId="2687" sId="1">
    <oc r="I92">
      <v>5</v>
    </oc>
    <nc r="I92"/>
  </rcc>
  <rcc rId="2688" sId="1">
    <oc r="J92">
      <v>15000</v>
    </oc>
    <nc r="J92"/>
  </rcc>
  <rcc rId="2689" sId="1">
    <oc r="K92">
      <v>0</v>
    </oc>
    <nc r="K92"/>
  </rcc>
  <rcc rId="2690" sId="1" numFmtId="19">
    <oc r="L92">
      <v>46208.958333333336</v>
    </oc>
    <nc r="L92"/>
  </rcc>
  <rcc rId="2691" sId="1" numFmtId="19">
    <oc r="M92">
      <v>46209.159722222219</v>
    </oc>
    <nc r="M92"/>
  </rcc>
  <rcc rId="2692" sId="1">
    <oc r="AA92" t="inlineStr">
      <is>
        <t>1</t>
      </is>
    </oc>
    <nc r="AA92"/>
  </rcc>
  <rcc rId="2693" sId="1">
    <oc r="AB92" t="inlineStr">
      <is>
        <t>6</t>
      </is>
    </oc>
    <nc r="AB92"/>
  </rcc>
  <rcc rId="2694" sId="1">
    <oc r="A93" t="inlineStr">
      <is>
        <t>Zone 1</t>
      </is>
    </oc>
    <nc r="A93"/>
  </rcc>
  <rcc rId="2695" sId="1">
    <oc r="B93" t="inlineStr">
      <is>
        <t>Blade Inspect</t>
      </is>
    </oc>
    <nc r="B93"/>
  </rcc>
  <rcc rId="2696" sId="1">
    <oc r="C93">
      <v>1</v>
    </oc>
    <nc r="C93"/>
  </rcc>
  <rcc rId="2697" sId="1">
    <oc r="E93" t="inlineStr">
      <is>
        <t>W1021932-6/1</t>
      </is>
    </oc>
    <nc r="E93"/>
  </rcc>
  <rcc rId="2698" sId="1">
    <oc r="F93" t="inlineStr">
      <is>
        <t>SMI1/73-0211</t>
      </is>
    </oc>
    <nc r="F93"/>
  </rcc>
  <rcc rId="2699" sId="1">
    <oc r="G93" t="inlineStr">
      <is>
        <t>#11 Disp Scalpel Non-Sterile</t>
      </is>
    </oc>
    <nc r="G93"/>
  </rcc>
  <rcc rId="2700" sId="1">
    <oc r="H93">
      <v>5</v>
    </oc>
    <nc r="H93"/>
  </rcc>
  <rcc rId="2701" sId="1">
    <oc r="I93">
      <v>5</v>
    </oc>
    <nc r="I93"/>
  </rcc>
  <rcc rId="2702" sId="1">
    <oc r="J93">
      <v>15000</v>
    </oc>
    <nc r="J93"/>
  </rcc>
  <rcc rId="2703" sId="1">
    <oc r="K93">
      <v>0</v>
    </oc>
    <nc r="K93"/>
  </rcc>
  <rcc rId="2704" sId="1" numFmtId="19">
    <oc r="L93">
      <v>46208.958333333336</v>
    </oc>
    <nc r="L93"/>
  </rcc>
  <rcc rId="2705" sId="1" numFmtId="19">
    <oc r="M93">
      <v>46209.159722222219</v>
    </oc>
    <nc r="M93"/>
  </rcc>
  <rcc rId="2706" sId="1">
    <oc r="AA93" t="inlineStr">
      <is>
        <t>1</t>
      </is>
    </oc>
    <nc r="AA93"/>
  </rcc>
  <rcc rId="2707" sId="1">
    <oc r="AB93" t="inlineStr">
      <is>
        <t>6</t>
      </is>
    </oc>
    <nc r="AB93"/>
  </rcc>
  <rcc rId="2708" sId="1">
    <oc r="A94" t="inlineStr">
      <is>
        <t>Zone 1</t>
      </is>
    </oc>
    <nc r="A94"/>
  </rcc>
  <rcc rId="2709" sId="1">
    <oc r="B94" t="inlineStr">
      <is>
        <t>Blade Inspect</t>
      </is>
    </oc>
    <nc r="B94"/>
  </rcc>
  <rcc rId="2710" sId="1">
    <oc r="C94">
      <v>1</v>
    </oc>
    <nc r="C94"/>
  </rcc>
  <rcc rId="2711" sId="1">
    <oc r="E94" t="inlineStr">
      <is>
        <t>W1021933-6/1</t>
      </is>
    </oc>
    <nc r="E94"/>
  </rcc>
  <rcc rId="2712" sId="1">
    <oc r="F94" t="inlineStr">
      <is>
        <t>SMI1/73-0211</t>
      </is>
    </oc>
    <nc r="F94"/>
  </rcc>
  <rcc rId="2713" sId="1">
    <oc r="G94" t="inlineStr">
      <is>
        <t>#11 Disp Scalpel Non-Sterile</t>
      </is>
    </oc>
    <nc r="G94"/>
  </rcc>
  <rcc rId="2714" sId="1">
    <oc r="H94">
      <v>5</v>
    </oc>
    <nc r="H94"/>
  </rcc>
  <rcc rId="2715" sId="1">
    <oc r="I94">
      <v>5</v>
    </oc>
    <nc r="I94"/>
  </rcc>
  <rcc rId="2716" sId="1">
    <oc r="J94">
      <v>15000</v>
    </oc>
    <nc r="J94"/>
  </rcc>
  <rcc rId="2717" sId="1">
    <oc r="K94">
      <v>0</v>
    </oc>
    <nc r="K94"/>
  </rcc>
  <rcc rId="2718" sId="1" numFmtId="19">
    <oc r="L94">
      <v>46208.958333333336</v>
    </oc>
    <nc r="L94"/>
  </rcc>
  <rcc rId="2719" sId="1" numFmtId="19">
    <oc r="M94">
      <v>46209.159722222219</v>
    </oc>
    <nc r="M94"/>
  </rcc>
  <rcc rId="2720" sId="1">
    <oc r="AA94" t="inlineStr">
      <is>
        <t>1</t>
      </is>
    </oc>
    <nc r="AA94"/>
  </rcc>
  <rcc rId="2721" sId="1">
    <oc r="AB94" t="inlineStr">
      <is>
        <t>6</t>
      </is>
    </oc>
    <nc r="AB94"/>
  </rcc>
  <rcc rId="2722" sId="1">
    <oc r="A95" t="inlineStr">
      <is>
        <t>Zone 1</t>
      </is>
    </oc>
    <nc r="A95"/>
  </rcc>
  <rcc rId="2723" sId="1">
    <oc r="B95" t="inlineStr">
      <is>
        <t>Blade Inspect</t>
      </is>
    </oc>
    <nc r="B95"/>
  </rcc>
  <rcc rId="2724" sId="1">
    <oc r="C95">
      <v>1</v>
    </oc>
    <nc r="C95"/>
  </rcc>
  <rcc rId="2725" sId="1">
    <oc r="E95" t="inlineStr">
      <is>
        <t>W1021934-6/1</t>
      </is>
    </oc>
    <nc r="E95"/>
  </rcc>
  <rcc rId="2726" sId="1">
    <oc r="F95" t="inlineStr">
      <is>
        <t>SMI1/73-0211</t>
      </is>
    </oc>
    <nc r="F95"/>
  </rcc>
  <rcc rId="2727" sId="1">
    <oc r="G95" t="inlineStr">
      <is>
        <t>#11 Disp Scalpel Non-Sterile</t>
      </is>
    </oc>
    <nc r="G95"/>
  </rcc>
  <rcc rId="2728" sId="1">
    <oc r="H95">
      <v>5</v>
    </oc>
    <nc r="H95"/>
  </rcc>
  <rcc rId="2729" sId="1">
    <oc r="I95">
      <v>5</v>
    </oc>
    <nc r="I95"/>
  </rcc>
  <rcc rId="2730" sId="1">
    <oc r="J95">
      <v>15000</v>
    </oc>
    <nc r="J95"/>
  </rcc>
  <rcc rId="2731" sId="1">
    <oc r="K95">
      <v>0</v>
    </oc>
    <nc r="K95"/>
  </rcc>
  <rcc rId="2732" sId="1" numFmtId="19">
    <oc r="L95">
      <v>46208.958333333336</v>
    </oc>
    <nc r="L95"/>
  </rcc>
  <rcc rId="2733" sId="1" numFmtId="19">
    <oc r="M95">
      <v>46209.159722222219</v>
    </oc>
    <nc r="M95"/>
  </rcc>
  <rcc rId="2734" sId="1">
    <oc r="AA95" t="inlineStr">
      <is>
        <t>1</t>
      </is>
    </oc>
    <nc r="AA95"/>
  </rcc>
  <rcc rId="2735" sId="1">
    <oc r="AB95" t="inlineStr">
      <is>
        <t>6</t>
      </is>
    </oc>
    <nc r="AB95"/>
  </rcc>
  <rcc rId="2736" sId="1">
    <oc r="A96" t="inlineStr">
      <is>
        <t>Zone 1</t>
      </is>
    </oc>
    <nc r="A96"/>
  </rcc>
  <rcc rId="2737" sId="1">
    <oc r="B96" t="inlineStr">
      <is>
        <t>Blade Inspect</t>
      </is>
    </oc>
    <nc r="B96"/>
  </rcc>
  <rcc rId="2738" sId="1">
    <oc r="C96">
      <v>1</v>
    </oc>
    <nc r="C96"/>
  </rcc>
  <rcc rId="2739" sId="1">
    <oc r="E96" t="inlineStr">
      <is>
        <t>W1021935-6/1</t>
      </is>
    </oc>
    <nc r="E96"/>
  </rcc>
  <rcc rId="2740" sId="1">
    <oc r="F96" t="inlineStr">
      <is>
        <t>SMI1/73-0211</t>
      </is>
    </oc>
    <nc r="F96"/>
  </rcc>
  <rcc rId="2741" sId="1">
    <oc r="G96" t="inlineStr">
      <is>
        <t>#11 Disp Scalpel Non-Sterile</t>
      </is>
    </oc>
    <nc r="G96"/>
  </rcc>
  <rcc rId="2742" sId="1">
    <oc r="H96">
      <v>5</v>
    </oc>
    <nc r="H96"/>
  </rcc>
  <rcc rId="2743" sId="1">
    <oc r="I96">
      <v>5</v>
    </oc>
    <nc r="I96"/>
  </rcc>
  <rcc rId="2744" sId="1">
    <oc r="J96">
      <v>15000</v>
    </oc>
    <nc r="J96"/>
  </rcc>
  <rcc rId="2745" sId="1">
    <oc r="K96">
      <v>0</v>
    </oc>
    <nc r="K96"/>
  </rcc>
  <rcc rId="2746" sId="1" numFmtId="19">
    <oc r="L96">
      <v>46208.958333333336</v>
    </oc>
    <nc r="L96"/>
  </rcc>
  <rcc rId="2747" sId="1" numFmtId="19">
    <oc r="M96">
      <v>46209.159722222219</v>
    </oc>
    <nc r="M96"/>
  </rcc>
  <rcc rId="2748" sId="1">
    <oc r="AA96" t="inlineStr">
      <is>
        <t>1</t>
      </is>
    </oc>
    <nc r="AA96"/>
  </rcc>
  <rcc rId="2749" sId="1">
    <oc r="AB96" t="inlineStr">
      <is>
        <t>6</t>
      </is>
    </oc>
    <nc r="AB96"/>
  </rcc>
  <rcc rId="2750" sId="1">
    <oc r="A97" t="inlineStr">
      <is>
        <t>Zone 1</t>
      </is>
    </oc>
    <nc r="A97"/>
  </rcc>
  <rcc rId="2751" sId="1">
    <oc r="B97" t="inlineStr">
      <is>
        <t>Blade Inspect</t>
      </is>
    </oc>
    <nc r="B97"/>
  </rcc>
  <rcc rId="2752" sId="1">
    <oc r="C97">
      <v>1</v>
    </oc>
    <nc r="C97"/>
  </rcc>
  <rcc rId="2753" sId="1">
    <oc r="E97" t="inlineStr">
      <is>
        <t>W1021936-6/1</t>
      </is>
    </oc>
    <nc r="E97"/>
  </rcc>
  <rcc rId="2754" sId="1">
    <oc r="F97" t="inlineStr">
      <is>
        <t>SMI1/73-0211</t>
      </is>
    </oc>
    <nc r="F97"/>
  </rcc>
  <rcc rId="2755" sId="1">
    <oc r="G97" t="inlineStr">
      <is>
        <t>#11 Disp Scalpel Non-Sterile</t>
      </is>
    </oc>
    <nc r="G97"/>
  </rcc>
  <rcc rId="2756" sId="1">
    <oc r="H97">
      <v>5</v>
    </oc>
    <nc r="H97"/>
  </rcc>
  <rcc rId="2757" sId="1">
    <oc r="I97">
      <v>5</v>
    </oc>
    <nc r="I97"/>
  </rcc>
  <rcc rId="2758" sId="1">
    <oc r="J97">
      <v>15000</v>
    </oc>
    <nc r="J97"/>
  </rcc>
  <rcc rId="2759" sId="1">
    <oc r="K97">
      <v>0</v>
    </oc>
    <nc r="K97"/>
  </rcc>
  <rcc rId="2760" sId="1" numFmtId="19">
    <oc r="L97">
      <v>46208.958333333336</v>
    </oc>
    <nc r="L97"/>
  </rcc>
  <rcc rId="2761" sId="1" numFmtId="19">
    <oc r="M97">
      <v>46209.159722222219</v>
    </oc>
    <nc r="M97"/>
  </rcc>
  <rcc rId="2762" sId="1">
    <oc r="AA97" t="inlineStr">
      <is>
        <t>1</t>
      </is>
    </oc>
    <nc r="AA97"/>
  </rcc>
  <rcc rId="2763" sId="1">
    <oc r="AB97" t="inlineStr">
      <is>
        <t>6</t>
      </is>
    </oc>
    <nc r="AB97"/>
  </rcc>
  <rcc rId="2764" sId="1">
    <oc r="A98" t="inlineStr">
      <is>
        <t>Zone 1</t>
      </is>
    </oc>
    <nc r="A98"/>
  </rcc>
  <rcc rId="2765" sId="1">
    <oc r="B98" t="inlineStr">
      <is>
        <t>Blade Inspect</t>
      </is>
    </oc>
    <nc r="B98"/>
  </rcc>
  <rcc rId="2766" sId="1">
    <oc r="C98">
      <v>1</v>
    </oc>
    <nc r="C98"/>
  </rcc>
  <rcc rId="2767" sId="1">
    <oc r="E98" t="inlineStr">
      <is>
        <t>W1028932/1</t>
      </is>
    </oc>
    <nc r="E98"/>
  </rcc>
  <rcc rId="2768" sId="1">
    <oc r="F98" t="inlineStr">
      <is>
        <t>SMI3/73-0015-0101UC</t>
      </is>
    </oc>
    <nc r="F98"/>
  </rcc>
  <rcc rId="2769" sId="1">
    <oc r="G98" t="inlineStr">
      <is>
        <t>#15 SS SURG BLD Un-Coated</t>
      </is>
    </oc>
    <nc r="G98"/>
  </rcc>
  <rcc rId="2770" sId="1">
    <oc r="H98">
      <v>5</v>
    </oc>
    <nc r="H98"/>
  </rcc>
  <rcc rId="2771" sId="1">
    <oc r="I98">
      <v>5</v>
    </oc>
    <nc r="I98"/>
  </rcc>
  <rcc rId="2772" sId="1">
    <oc r="J98">
      <v>15000</v>
    </oc>
    <nc r="J98"/>
  </rcc>
  <rcc rId="2773" sId="1">
    <oc r="K98">
      <v>0</v>
    </oc>
    <nc r="K98"/>
  </rcc>
  <rcc rId="2774" sId="1" numFmtId="19">
    <oc r="L98">
      <v>46208.958333333336</v>
    </oc>
    <nc r="L98"/>
  </rcc>
  <rcc rId="2775" sId="1" numFmtId="19">
    <oc r="M98">
      <v>46209.159722222219</v>
    </oc>
    <nc r="M98"/>
  </rcc>
  <rcc rId="2776" sId="1">
    <oc r="AA98" t="inlineStr">
      <is>
        <t>1</t>
      </is>
    </oc>
    <nc r="AA98"/>
  </rcc>
  <rcc rId="2777" sId="1">
    <oc r="AB98" t="inlineStr">
      <is>
        <t>0</t>
      </is>
    </oc>
    <nc r="AB98"/>
  </rcc>
  <rcc rId="2778" sId="1">
    <oc r="A99" t="inlineStr">
      <is>
        <t>Zone 1</t>
      </is>
    </oc>
    <nc r="A99"/>
  </rcc>
  <rcc rId="2779" sId="1">
    <oc r="B99" t="inlineStr">
      <is>
        <t>Blade Inspect</t>
      </is>
    </oc>
    <nc r="B99"/>
  </rcc>
  <rcc rId="2780" sId="1">
    <oc r="C99">
      <v>1</v>
    </oc>
    <nc r="C99"/>
  </rcc>
  <rcc rId="2781" sId="1">
    <oc r="E99" t="inlineStr">
      <is>
        <t>W1029614/1</t>
      </is>
    </oc>
    <nc r="E99"/>
  </rcc>
  <rcc rId="2782" sId="1">
    <oc r="F99" t="inlineStr">
      <is>
        <t>SMI3/73-0010-0101UC</t>
      </is>
    </oc>
    <nc r="F99"/>
  </rcc>
  <rcc rId="2783" sId="1">
    <oc r="G99" t="inlineStr">
      <is>
        <t>#10 SS SURG BLD Un-Coated</t>
      </is>
    </oc>
    <nc r="G99"/>
  </rcc>
  <rcc rId="2784" sId="1">
    <oc r="H99">
      <v>5</v>
    </oc>
    <nc r="H99"/>
  </rcc>
  <rcc rId="2785" sId="1">
    <oc r="I99">
      <v>5</v>
    </oc>
    <nc r="I99"/>
  </rcc>
  <rcc rId="2786" sId="1">
    <oc r="J99">
      <v>15000</v>
    </oc>
    <nc r="J99"/>
  </rcc>
  <rcc rId="2787" sId="1">
    <oc r="K99">
      <v>0</v>
    </oc>
    <nc r="K99"/>
  </rcc>
  <rcc rId="2788" sId="1" numFmtId="19">
    <oc r="L99">
      <v>46208.958333333336</v>
    </oc>
    <nc r="L99"/>
  </rcc>
  <rcc rId="2789" sId="1" numFmtId="19">
    <oc r="M99">
      <v>46209.159722222219</v>
    </oc>
    <nc r="M99"/>
  </rcc>
  <rcc rId="2790" sId="1">
    <oc r="AA99" t="inlineStr">
      <is>
        <t>1</t>
      </is>
    </oc>
    <nc r="AA99"/>
  </rcc>
  <rcc rId="2791" sId="1">
    <oc r="AB99" t="inlineStr">
      <is>
        <t>0</t>
      </is>
    </oc>
    <nc r="AB99"/>
  </rcc>
  <rcc rId="2792" sId="1">
    <oc r="A100" t="inlineStr">
      <is>
        <t>Zone 1</t>
      </is>
    </oc>
    <nc r="A100"/>
  </rcc>
  <rcc rId="2793" sId="1">
    <oc r="B100" t="inlineStr">
      <is>
        <t>Blade Inspect</t>
      </is>
    </oc>
    <nc r="B100"/>
  </rcc>
  <rcc rId="2794" sId="1">
    <oc r="C100">
      <v>1</v>
    </oc>
    <nc r="C100"/>
  </rcc>
  <rcc rId="2795" sId="1">
    <oc r="E100" t="inlineStr">
      <is>
        <t>W1029615/1</t>
      </is>
    </oc>
    <nc r="E100"/>
  </rcc>
  <rcc rId="2796" sId="1">
    <oc r="F100" t="inlineStr">
      <is>
        <t>SMI3/73-0010-0101UC</t>
      </is>
    </oc>
    <nc r="F100"/>
  </rcc>
  <rcc rId="2797" sId="1">
    <oc r="G100" t="inlineStr">
      <is>
        <t>#10 SS SURG BLD Un-Coated</t>
      </is>
    </oc>
    <nc r="G100"/>
  </rcc>
  <rcc rId="2798" sId="1">
    <oc r="H100">
      <v>5</v>
    </oc>
    <nc r="H100"/>
  </rcc>
  <rcc rId="2799" sId="1">
    <oc r="I100">
      <v>5</v>
    </oc>
    <nc r="I100"/>
  </rcc>
  <rcc rId="2800" sId="1">
    <oc r="J100">
      <v>15000</v>
    </oc>
    <nc r="J100"/>
  </rcc>
  <rcc rId="2801" sId="1">
    <oc r="K100">
      <v>0</v>
    </oc>
    <nc r="K100"/>
  </rcc>
  <rcc rId="2802" sId="1" numFmtId="19">
    <oc r="L100">
      <v>46208.958333333336</v>
    </oc>
    <nc r="L100"/>
  </rcc>
  <rcc rId="2803" sId="1" numFmtId="19">
    <oc r="M100">
      <v>46209.159722222219</v>
    </oc>
    <nc r="M100"/>
  </rcc>
  <rcc rId="2804" sId="1">
    <oc r="AA100" t="inlineStr">
      <is>
        <t>1</t>
      </is>
    </oc>
    <nc r="AA100"/>
  </rcc>
  <rcc rId="2805" sId="1">
    <oc r="AB100" t="inlineStr">
      <is>
        <t>0</t>
      </is>
    </oc>
    <nc r="AB100"/>
  </rcc>
  <rcc rId="2806" sId="1">
    <oc r="A101" t="inlineStr">
      <is>
        <t>Zone 1</t>
      </is>
    </oc>
    <nc r="A101"/>
  </rcc>
  <rcc rId="2807" sId="1">
    <oc r="B101" t="inlineStr">
      <is>
        <t>Blade Inspect</t>
      </is>
    </oc>
    <nc r="B101"/>
  </rcc>
  <rcc rId="2808" sId="1">
    <oc r="C101">
      <v>1</v>
    </oc>
    <nc r="C101"/>
  </rcc>
  <rcc rId="2809" sId="1">
    <oc r="E101" t="inlineStr">
      <is>
        <t>W1029616/1</t>
      </is>
    </oc>
    <nc r="E101"/>
  </rcc>
  <rcc rId="2810" sId="1">
    <oc r="F101" t="inlineStr">
      <is>
        <t>SMI3/73-0010-0101UC</t>
      </is>
    </oc>
    <nc r="F101"/>
  </rcc>
  <rcc rId="2811" sId="1">
    <oc r="G101" t="inlineStr">
      <is>
        <t>#10 SS SURG BLD Un-Coated</t>
      </is>
    </oc>
    <nc r="G101"/>
  </rcc>
  <rcc rId="2812" sId="1">
    <oc r="H101">
      <v>5</v>
    </oc>
    <nc r="H101"/>
  </rcc>
  <rcc rId="2813" sId="1">
    <oc r="I101">
      <v>5</v>
    </oc>
    <nc r="I101"/>
  </rcc>
  <rcc rId="2814" sId="1">
    <oc r="J101">
      <v>15000</v>
    </oc>
    <nc r="J101"/>
  </rcc>
  <rcc rId="2815" sId="1">
    <oc r="K101">
      <v>0</v>
    </oc>
    <nc r="K101"/>
  </rcc>
  <rcc rId="2816" sId="1" numFmtId="19">
    <oc r="L101">
      <v>46208.958333333336</v>
    </oc>
    <nc r="L101"/>
  </rcc>
  <rcc rId="2817" sId="1" numFmtId="19">
    <oc r="M101">
      <v>46209.159722222219</v>
    </oc>
    <nc r="M101"/>
  </rcc>
  <rcc rId="2818" sId="1">
    <oc r="AA101" t="inlineStr">
      <is>
        <t>1</t>
      </is>
    </oc>
    <nc r="AA101"/>
  </rcc>
  <rcc rId="2819" sId="1">
    <oc r="AB101" t="inlineStr">
      <is>
        <t>0</t>
      </is>
    </oc>
    <nc r="AB101"/>
  </rcc>
  <rcc rId="2820" sId="1">
    <oc r="A102" t="inlineStr">
      <is>
        <t>Zone 1</t>
      </is>
    </oc>
    <nc r="A102"/>
  </rcc>
  <rcc rId="2821" sId="1">
    <oc r="B102" t="inlineStr">
      <is>
        <t>Blade Inspect</t>
      </is>
    </oc>
    <nc r="B102"/>
  </rcc>
  <rcc rId="2822" sId="1">
    <oc r="C102">
      <v>1</v>
    </oc>
    <nc r="C102"/>
  </rcc>
  <rcc rId="2823" sId="1">
    <oc r="E102" t="inlineStr">
      <is>
        <t>W1029612/1</t>
      </is>
    </oc>
    <nc r="E102"/>
  </rcc>
  <rcc rId="2824" sId="1">
    <oc r="F102" t="inlineStr">
      <is>
        <t>SMI3/73-0010-0101UC</t>
      </is>
    </oc>
    <nc r="F102"/>
  </rcc>
  <rcc rId="2825" sId="1">
    <oc r="G102" t="inlineStr">
      <is>
        <t>#10 SS SURG BLD Un-Coated</t>
      </is>
    </oc>
    <nc r="G102"/>
  </rcc>
  <rcc rId="2826" sId="1">
    <oc r="H102">
      <v>5</v>
    </oc>
    <nc r="H102"/>
  </rcc>
  <rcc rId="2827" sId="1">
    <oc r="I102">
      <v>5</v>
    </oc>
    <nc r="I102"/>
  </rcc>
  <rcc rId="2828" sId="1">
    <oc r="J102">
      <v>15000</v>
    </oc>
    <nc r="J102"/>
  </rcc>
  <rcc rId="2829" sId="1">
    <oc r="K102">
      <v>0</v>
    </oc>
    <nc r="K102"/>
  </rcc>
  <rcc rId="2830" sId="1" numFmtId="19">
    <oc r="L102">
      <v>46208.958333333336</v>
    </oc>
    <nc r="L102"/>
  </rcc>
  <rcc rId="2831" sId="1" numFmtId="19">
    <oc r="M102">
      <v>46209.159722222219</v>
    </oc>
    <nc r="M102"/>
  </rcc>
  <rcc rId="2832" sId="1">
    <oc r="AA102" t="inlineStr">
      <is>
        <t>1</t>
      </is>
    </oc>
    <nc r="AA102"/>
  </rcc>
  <rcc rId="2833" sId="1">
    <oc r="AB102" t="inlineStr">
      <is>
        <t>0</t>
      </is>
    </oc>
    <nc r="AB102"/>
  </rcc>
  <rcc rId="2834" sId="1">
    <oc r="A103" t="inlineStr">
      <is>
        <t>Zone 1</t>
      </is>
    </oc>
    <nc r="A103"/>
  </rcc>
  <rcc rId="2835" sId="1">
    <oc r="B103" t="inlineStr">
      <is>
        <t>Blade Inspect</t>
      </is>
    </oc>
    <nc r="B103"/>
  </rcc>
  <rcc rId="2836" sId="1">
    <oc r="C103">
      <v>1</v>
    </oc>
    <nc r="C103"/>
  </rcc>
  <rcc rId="2837" sId="1">
    <oc r="E103" t="inlineStr">
      <is>
        <t>W1027172/1</t>
      </is>
    </oc>
    <nc r="E103"/>
  </rcc>
  <rcc rId="2838" sId="1">
    <oc r="F103" t="inlineStr">
      <is>
        <t>SMI3/73-0010-0101UC</t>
      </is>
    </oc>
    <nc r="F103"/>
  </rcc>
  <rcc rId="2839" sId="1">
    <oc r="G103" t="inlineStr">
      <is>
        <t>#10 SS SURG BLD Un-Coated</t>
      </is>
    </oc>
    <nc r="G103"/>
  </rcc>
  <rcc rId="2840" sId="1">
    <oc r="H103">
      <v>6</v>
    </oc>
    <nc r="H103"/>
  </rcc>
  <rcc rId="2841" sId="1">
    <oc r="I103">
      <v>6</v>
    </oc>
    <nc r="I103"/>
  </rcc>
  <rcc rId="2842" sId="1">
    <oc r="J103">
      <v>18000</v>
    </oc>
    <nc r="J103"/>
  </rcc>
  <rcc rId="2843" sId="1">
    <oc r="K103">
      <v>0</v>
    </oc>
    <nc r="K103"/>
  </rcc>
  <rcc rId="2844" sId="1" numFmtId="19">
    <oc r="L103">
      <v>46208.958333333336</v>
    </oc>
    <nc r="L103"/>
  </rcc>
  <rcc rId="2845" sId="1" numFmtId="19">
    <oc r="M103">
      <v>46209.201388888891</v>
    </oc>
    <nc r="M103"/>
  </rcc>
  <rcc rId="2846" sId="1">
    <oc r="AA103" t="inlineStr">
      <is>
        <t>1</t>
      </is>
    </oc>
    <nc r="AA103"/>
  </rcc>
  <rcc rId="2847" sId="1">
    <oc r="AB103" t="inlineStr">
      <is>
        <t>0</t>
      </is>
    </oc>
    <nc r="AB103"/>
  </rcc>
  <rcc rId="2848" sId="1">
    <oc r="A104" t="inlineStr">
      <is>
        <t>Zone 1</t>
      </is>
    </oc>
    <nc r="A104"/>
  </rcc>
  <rcc rId="2849" sId="1">
    <oc r="B104" t="inlineStr">
      <is>
        <t>Blade Inspect</t>
      </is>
    </oc>
    <nc r="B104"/>
  </rcc>
  <rcc rId="2850" sId="1">
    <oc r="C104">
      <v>1</v>
    </oc>
    <nc r="C104"/>
  </rcc>
  <rcc rId="2851" sId="1">
    <oc r="E104" t="inlineStr">
      <is>
        <t>W1026149-6/1</t>
      </is>
    </oc>
    <nc r="E104"/>
  </rcc>
  <rcc rId="2852" sId="1">
    <oc r="F104" t="inlineStr">
      <is>
        <t>SMI1/73-0211</t>
      </is>
    </oc>
    <nc r="F104"/>
  </rcc>
  <rcc rId="2853" sId="1">
    <oc r="G104" t="inlineStr">
      <is>
        <t>#11 Disp Scalpel Non-Sterile</t>
      </is>
    </oc>
    <nc r="G104"/>
  </rcc>
  <rcc rId="2854" sId="1">
    <oc r="H104">
      <v>10</v>
    </oc>
    <nc r="H104"/>
  </rcc>
  <rcc rId="2855" sId="1">
    <oc r="I104">
      <v>10</v>
    </oc>
    <nc r="I104"/>
  </rcc>
  <rcc rId="2856" sId="1">
    <oc r="J104">
      <v>30000</v>
    </oc>
    <nc r="J104"/>
  </rcc>
  <rcc rId="2857" sId="1">
    <oc r="K104">
      <v>0</v>
    </oc>
    <nc r="K104"/>
  </rcc>
  <rcc rId="2858" sId="1" numFmtId="19">
    <oc r="L104">
      <v>46208.958333333336</v>
    </oc>
    <nc r="L104"/>
  </rcc>
  <rcc rId="2859" sId="1" numFmtId="19">
    <oc r="M104">
      <v>46209.368055555555</v>
    </oc>
    <nc r="M104"/>
  </rcc>
  <rcc rId="2860" sId="1">
    <oc r="AA104" t="inlineStr">
      <is>
        <t>1</t>
      </is>
    </oc>
    <nc r="AA104"/>
  </rcc>
  <rcc rId="2861" sId="1">
    <oc r="AB104" t="inlineStr">
      <is>
        <t>6</t>
      </is>
    </oc>
    <nc r="AB104"/>
  </rcc>
  <rcc rId="2862" sId="1">
    <oc r="A105" t="inlineStr">
      <is>
        <t>Zone 1</t>
      </is>
    </oc>
    <nc r="A105"/>
  </rcc>
  <rcc rId="2863" sId="1">
    <oc r="B105" t="inlineStr">
      <is>
        <t>Blade Inspect</t>
      </is>
    </oc>
    <nc r="B105"/>
  </rcc>
  <rcc rId="2864" sId="1">
    <oc r="C105">
      <v>1</v>
    </oc>
    <nc r="C105"/>
  </rcc>
  <rcc rId="2865" sId="1">
    <oc r="E105" t="inlineStr">
      <is>
        <t>W1026150-6/1</t>
      </is>
    </oc>
    <nc r="E105"/>
  </rcc>
  <rcc rId="2866" sId="1">
    <oc r="F105" t="inlineStr">
      <is>
        <t>SMI1/73-0211</t>
      </is>
    </oc>
    <nc r="F105"/>
  </rcc>
  <rcc rId="2867" sId="1">
    <oc r="G105" t="inlineStr">
      <is>
        <t>#11 Disp Scalpel Non-Sterile</t>
      </is>
    </oc>
    <nc r="G105"/>
  </rcc>
  <rcc rId="2868" sId="1">
    <oc r="H105">
      <v>10</v>
    </oc>
    <nc r="H105"/>
  </rcc>
  <rcc rId="2869" sId="1">
    <oc r="I105">
      <v>10</v>
    </oc>
    <nc r="I105"/>
  </rcc>
  <rcc rId="2870" sId="1">
    <oc r="J105">
      <v>30000</v>
    </oc>
    <nc r="J105"/>
  </rcc>
  <rcc rId="2871" sId="1">
    <oc r="K105">
      <v>0</v>
    </oc>
    <nc r="K105"/>
  </rcc>
  <rcc rId="2872" sId="1" numFmtId="19">
    <oc r="L105">
      <v>46208.958333333336</v>
    </oc>
    <nc r="L105"/>
  </rcc>
  <rcc rId="2873" sId="1" numFmtId="19">
    <oc r="M105">
      <v>46209.368055555555</v>
    </oc>
    <nc r="M105"/>
  </rcc>
  <rcc rId="2874" sId="1">
    <oc r="AA105" t="inlineStr">
      <is>
        <t>1</t>
      </is>
    </oc>
    <nc r="AA105"/>
  </rcc>
  <rcc rId="2875" sId="1">
    <oc r="AB105" t="inlineStr">
      <is>
        <t>6</t>
      </is>
    </oc>
    <nc r="AB105"/>
  </rcc>
  <rcc rId="2876" sId="1">
    <oc r="A106" t="inlineStr">
      <is>
        <t>Zone 1</t>
      </is>
    </oc>
    <nc r="A106"/>
  </rcc>
  <rcc rId="2877" sId="1">
    <oc r="B106" t="inlineStr">
      <is>
        <t>Blade Inspect</t>
      </is>
    </oc>
    <nc r="B106"/>
  </rcc>
  <rcc rId="2878" sId="1">
    <oc r="C106">
      <v>1</v>
    </oc>
    <nc r="C106"/>
  </rcc>
  <rcc rId="2879" sId="1">
    <oc r="E106" t="inlineStr">
      <is>
        <t>W1021925-6/1</t>
      </is>
    </oc>
    <nc r="E106"/>
  </rcc>
  <rcc rId="2880" sId="1">
    <oc r="F106" t="inlineStr">
      <is>
        <t>SMI1/73-0211</t>
      </is>
    </oc>
    <nc r="F106"/>
  </rcc>
  <rcc rId="2881" sId="1">
    <oc r="G106" t="inlineStr">
      <is>
        <t>#11 Disp Scalpel Non-Sterile</t>
      </is>
    </oc>
    <nc r="G106"/>
  </rcc>
  <rcc rId="2882" sId="1">
    <oc r="H106">
      <v>10</v>
    </oc>
    <nc r="H106"/>
  </rcc>
  <rcc rId="2883" sId="1">
    <oc r="I106">
      <v>10</v>
    </oc>
    <nc r="I106"/>
  </rcc>
  <rcc rId="2884" sId="1">
    <oc r="J106">
      <v>30000</v>
    </oc>
    <nc r="J106"/>
  </rcc>
  <rcc rId="2885" sId="1">
    <oc r="K106">
      <v>0</v>
    </oc>
    <nc r="K106"/>
  </rcc>
  <rcc rId="2886" sId="1" numFmtId="19">
    <oc r="L106">
      <v>46208.958333333336</v>
    </oc>
    <nc r="L106"/>
  </rcc>
  <rcc rId="2887" sId="1" numFmtId="19">
    <oc r="M106">
      <v>46209.368055555555</v>
    </oc>
    <nc r="M106"/>
  </rcc>
  <rcc rId="2888" sId="1">
    <oc r="AA106" t="inlineStr">
      <is>
        <t>1</t>
      </is>
    </oc>
    <nc r="AA106"/>
  </rcc>
  <rcc rId="2889" sId="1">
    <oc r="AB106" t="inlineStr">
      <is>
        <t>6</t>
      </is>
    </oc>
    <nc r="AB106"/>
  </rcc>
  <rcc rId="2890" sId="1">
    <oc r="A107" t="inlineStr">
      <is>
        <t>Zone 1</t>
      </is>
    </oc>
    <nc r="A107"/>
  </rcc>
  <rcc rId="2891" sId="1">
    <oc r="B107" t="inlineStr">
      <is>
        <t>Blade Inspect</t>
      </is>
    </oc>
    <nc r="B107"/>
  </rcc>
  <rcc rId="2892" sId="1">
    <oc r="C107">
      <v>1</v>
    </oc>
    <nc r="C107"/>
  </rcc>
  <rcc rId="2893" sId="1">
    <oc r="E107" t="inlineStr">
      <is>
        <t>W1029613/1</t>
      </is>
    </oc>
    <nc r="E107"/>
  </rcc>
  <rcc rId="2894" sId="1">
    <oc r="F107" t="inlineStr">
      <is>
        <t>SMI3/73-0010-0101UC</t>
      </is>
    </oc>
    <nc r="F107"/>
  </rcc>
  <rcc rId="2895" sId="1">
    <oc r="G107" t="inlineStr">
      <is>
        <t>#10 SS SURG BLD Un-Coated</t>
      </is>
    </oc>
    <nc r="G107"/>
  </rcc>
  <rcc rId="2896" sId="1">
    <oc r="H107">
      <v>5</v>
    </oc>
    <nc r="H107"/>
  </rcc>
  <rcc rId="2897" sId="1">
    <oc r="I107">
      <v>5</v>
    </oc>
    <nc r="I107"/>
  </rcc>
  <rcc rId="2898" sId="1">
    <oc r="J107">
      <v>15000</v>
    </oc>
    <nc r="J107"/>
  </rcc>
  <rcc rId="2899" sId="1">
    <oc r="K107">
      <v>0</v>
    </oc>
    <nc r="K107"/>
  </rcc>
  <rcc rId="2900" sId="1" numFmtId="19">
    <oc r="L107">
      <v>46209.388888888891</v>
    </oc>
    <nc r="L107"/>
  </rcc>
  <rcc rId="2901" sId="1" numFmtId="19">
    <oc r="M107">
      <v>46209.590277777781</v>
    </oc>
    <nc r="M107"/>
  </rcc>
  <rcc rId="2902" sId="1">
    <oc r="AA107" t="inlineStr">
      <is>
        <t>1</t>
      </is>
    </oc>
    <nc r="AA107"/>
  </rcc>
  <rcc rId="2903" sId="1">
    <oc r="AB107" t="inlineStr">
      <is>
        <t>0</t>
      </is>
    </oc>
    <nc r="AB107"/>
  </rcc>
  <rcc rId="2904" sId="1">
    <oc r="A108" t="inlineStr">
      <is>
        <t>Zone 1</t>
      </is>
    </oc>
    <nc r="A108"/>
  </rcc>
  <rcc rId="2905" sId="1">
    <oc r="B108" t="inlineStr">
      <is>
        <t>Blade Inspect</t>
      </is>
    </oc>
    <nc r="B108"/>
  </rcc>
  <rcc rId="2906" sId="1">
    <oc r="C108">
      <v>1</v>
    </oc>
    <nc r="C108"/>
  </rcc>
  <rcc rId="2907" sId="1">
    <oc r="E108" t="inlineStr">
      <is>
        <t>W1029617/1</t>
      </is>
    </oc>
    <nc r="E108"/>
  </rcc>
  <rcc rId="2908" sId="1">
    <oc r="F108" t="inlineStr">
      <is>
        <t>SMI3/73-0010-0101UC</t>
      </is>
    </oc>
    <nc r="F108"/>
  </rcc>
  <rcc rId="2909" sId="1">
    <oc r="G108" t="inlineStr">
      <is>
        <t>#10 SS SURG BLD Un-Coated</t>
      </is>
    </oc>
    <nc r="G108"/>
  </rcc>
  <rcc rId="2910" sId="1">
    <oc r="H108">
      <v>5</v>
    </oc>
    <nc r="H108"/>
  </rcc>
  <rcc rId="2911" sId="1">
    <oc r="I108">
      <v>5</v>
    </oc>
    <nc r="I108"/>
  </rcc>
  <rcc rId="2912" sId="1">
    <oc r="J108">
      <v>15000</v>
    </oc>
    <nc r="J108"/>
  </rcc>
  <rcc rId="2913" sId="1">
    <oc r="K108">
      <v>0</v>
    </oc>
    <nc r="K108"/>
  </rcc>
  <rcc rId="2914" sId="1" numFmtId="19">
    <oc r="L108">
      <v>46209.888888888891</v>
    </oc>
    <nc r="L108"/>
  </rcc>
  <rcc rId="2915" sId="1" numFmtId="19">
    <oc r="M108">
      <v>46210.090277777781</v>
    </oc>
    <nc r="M108"/>
  </rcc>
  <rcc rId="2916" sId="1">
    <oc r="AA108" t="inlineStr">
      <is>
        <t>1</t>
      </is>
    </oc>
    <nc r="AA108"/>
  </rcc>
  <rcc rId="2917" sId="1">
    <oc r="AB108" t="inlineStr">
      <is>
        <t>0</t>
      </is>
    </oc>
    <nc r="AB108"/>
  </rcc>
  <rcc rId="2918" sId="1">
    <oc r="A109" t="inlineStr">
      <is>
        <t>Zone 1</t>
      </is>
    </oc>
    <nc r="A109"/>
  </rcc>
  <rcc rId="2919" sId="1">
    <oc r="B109" t="inlineStr">
      <is>
        <t>Blade Inspect</t>
      </is>
    </oc>
    <nc r="B109"/>
  </rcc>
  <rcc rId="2920" sId="1">
    <oc r="C109">
      <v>1</v>
    </oc>
    <nc r="C109"/>
  </rcc>
  <rcc rId="2921" sId="1">
    <oc r="E109" t="inlineStr">
      <is>
        <t>W1027733/1</t>
      </is>
    </oc>
    <nc r="E109"/>
  </rcc>
  <rcc rId="2922" sId="1">
    <oc r="F109" t="inlineStr">
      <is>
        <t>SMI3/73-0020-0101UC</t>
      </is>
    </oc>
    <nc r="F109"/>
  </rcc>
  <rcc rId="2923" sId="1">
    <oc r="G109" t="inlineStr">
      <is>
        <t>#20PERS SS SURG BLD Un-Coated</t>
      </is>
    </oc>
    <nc r="G109"/>
  </rcc>
  <rcc rId="2924" sId="1">
    <oc r="H109">
      <v>4</v>
    </oc>
    <nc r="H109"/>
  </rcc>
  <rcc rId="2925" sId="1">
    <oc r="I109">
      <v>4</v>
    </oc>
    <nc r="I109"/>
  </rcc>
  <rcc rId="2926" sId="1">
    <oc r="J109">
      <v>12000</v>
    </oc>
    <nc r="J109"/>
  </rcc>
  <rcc rId="2927" sId="1">
    <oc r="K109">
      <v>0</v>
    </oc>
    <nc r="K109"/>
  </rcc>
  <rcc rId="2928" sId="1" numFmtId="19">
    <oc r="L109">
      <v>46210.041666666664</v>
    </oc>
    <nc r="L109"/>
  </rcc>
  <rcc rId="2929" sId="1" numFmtId="19">
    <oc r="M109">
      <v>46210.201388888891</v>
    </oc>
    <nc r="M109"/>
  </rcc>
  <rcc rId="2930" sId="1">
    <oc r="AA109" t="inlineStr">
      <is>
        <t>1</t>
      </is>
    </oc>
    <nc r="AA109"/>
  </rcc>
  <rcc rId="2931" sId="1">
    <oc r="AB109" t="inlineStr">
      <is>
        <t>0</t>
      </is>
    </oc>
    <nc r="AB109"/>
  </rcc>
  <rcc rId="2932" sId="1">
    <oc r="A110" t="inlineStr">
      <is>
        <t>Zone 1</t>
      </is>
    </oc>
    <nc r="A110"/>
  </rcc>
  <rcc rId="2933" sId="1">
    <oc r="B110" t="inlineStr">
      <is>
        <t>Blade Inspect</t>
      </is>
    </oc>
    <nc r="B110"/>
  </rcc>
  <rcc rId="2934" sId="1">
    <oc r="C110">
      <v>1</v>
    </oc>
    <nc r="C110"/>
  </rcc>
  <rcc rId="2935" sId="1">
    <oc r="E110" t="inlineStr">
      <is>
        <t>W1029618/1</t>
      </is>
    </oc>
    <nc r="E110"/>
  </rcc>
  <rcc rId="2936" sId="1">
    <oc r="F110" t="inlineStr">
      <is>
        <t>SMI3/73-0010-0101UC</t>
      </is>
    </oc>
    <nc r="F110"/>
  </rcc>
  <rcc rId="2937" sId="1">
    <oc r="G110" t="inlineStr">
      <is>
        <t>#10 SS SURG BLD Un-Coated</t>
      </is>
    </oc>
    <nc r="G110"/>
  </rcc>
  <rcc rId="2938" sId="1">
    <oc r="H110">
      <v>5</v>
    </oc>
    <nc r="H110"/>
  </rcc>
  <rcc rId="2939" sId="1">
    <oc r="I110">
      <v>5</v>
    </oc>
    <nc r="I110"/>
  </rcc>
  <rcc rId="2940" sId="1">
    <oc r="J110">
      <v>15000</v>
    </oc>
    <nc r="J110"/>
  </rcc>
  <rcc rId="2941" sId="1">
    <oc r="K110">
      <v>0</v>
    </oc>
    <nc r="K110"/>
  </rcc>
  <rcc rId="2942" sId="1" numFmtId="19">
    <oc r="L110">
      <v>46210.777777777781</v>
    </oc>
    <nc r="L110"/>
  </rcc>
  <rcc rId="2943" sId="1" numFmtId="19">
    <oc r="M110">
      <v>46210.979166666664</v>
    </oc>
    <nc r="M110"/>
  </rcc>
  <rcc rId="2944" sId="1">
    <oc r="AA110" t="inlineStr">
      <is>
        <t>1</t>
      </is>
    </oc>
    <nc r="AA110"/>
  </rcc>
  <rcc rId="2945" sId="1">
    <oc r="AB110" t="inlineStr">
      <is>
        <t>0</t>
      </is>
    </oc>
    <nc r="AB110"/>
  </rcc>
  <rcc rId="2946" sId="1">
    <oc r="A111" t="inlineStr">
      <is>
        <t>Zone 1</t>
      </is>
    </oc>
    <nc r="A111"/>
  </rcc>
  <rcc rId="2947" sId="1">
    <oc r="B111" t="inlineStr">
      <is>
        <t>Blade Inspect</t>
      </is>
    </oc>
    <nc r="B111"/>
  </rcc>
  <rcc rId="2948" sId="1">
    <oc r="C111">
      <v>1</v>
    </oc>
    <nc r="C111"/>
  </rcc>
  <rcc rId="2949" sId="1">
    <oc r="E111" t="inlineStr">
      <is>
        <t>W1027734/1</t>
      </is>
    </oc>
    <nc r="E111"/>
  </rcc>
  <rcc rId="2950" sId="1">
    <oc r="F111" t="inlineStr">
      <is>
        <t>SMI3/73-0020-0101UC</t>
      </is>
    </oc>
    <nc r="F111"/>
  </rcc>
  <rcc rId="2951" sId="1">
    <oc r="G111" t="inlineStr">
      <is>
        <t>#20PERS SS SURG BLD Un-Coated</t>
      </is>
    </oc>
    <nc r="G111"/>
  </rcc>
  <rcc rId="2952" sId="1">
    <oc r="H111">
      <v>4</v>
    </oc>
    <nc r="H111"/>
  </rcc>
  <rcc rId="2953" sId="1">
    <oc r="I111">
      <v>4</v>
    </oc>
    <nc r="I111"/>
  </rcc>
  <rcc rId="2954" sId="1">
    <oc r="J111">
      <v>12000</v>
    </oc>
    <nc r="J111"/>
  </rcc>
  <rcc rId="2955" sId="1">
    <oc r="K111">
      <v>0</v>
    </oc>
    <nc r="K111"/>
  </rcc>
  <rcc rId="2956" sId="1" numFmtId="19">
    <oc r="L111">
      <v>46211.125</v>
    </oc>
    <nc r="L111"/>
  </rcc>
  <rcc rId="2957" sId="1" numFmtId="19">
    <oc r="M111">
      <v>46211.284722222219</v>
    </oc>
    <nc r="M111"/>
  </rcc>
  <rcc rId="2958" sId="1">
    <oc r="AA111" t="inlineStr">
      <is>
        <t>1</t>
      </is>
    </oc>
    <nc r="AA111"/>
  </rcc>
  <rcc rId="2959" sId="1">
    <oc r="AB111" t="inlineStr">
      <is>
        <t>0</t>
      </is>
    </oc>
    <nc r="AB111"/>
  </rcc>
  <rcc rId="2960" sId="1">
    <oc r="A112" t="inlineStr">
      <is>
        <t>Zone 1</t>
      </is>
    </oc>
    <nc r="A112"/>
  </rcc>
  <rcc rId="2961" sId="1">
    <oc r="B112" t="inlineStr">
      <is>
        <t>Blade Inspect</t>
      </is>
    </oc>
    <nc r="B112"/>
  </rcc>
  <rcc rId="2962" sId="1">
    <oc r="C112">
      <v>1</v>
    </oc>
    <nc r="C112"/>
  </rcc>
  <rcc rId="2963" sId="1">
    <oc r="E112" t="inlineStr">
      <is>
        <t>W1022666/1</t>
      </is>
    </oc>
    <nc r="E112"/>
  </rcc>
  <rcc rId="2964" sId="1">
    <oc r="F112" t="inlineStr">
      <is>
        <t>SMI3/73-0022-0101</t>
      </is>
    </oc>
    <nc r="F112"/>
  </rcc>
  <rcc rId="2965" sId="1">
    <oc r="G112" t="inlineStr">
      <is>
        <t>#22PERS SS SURG BLD Polymer-Coated</t>
      </is>
    </oc>
    <nc r="G112"/>
  </rcc>
  <rcc rId="2966" sId="1">
    <oc r="H112">
      <v>1.41</v>
    </oc>
    <nc r="H112"/>
  </rcc>
  <rcc rId="2967" sId="1">
    <oc r="I112">
      <v>1.41</v>
    </oc>
    <nc r="I112"/>
  </rcc>
  <rcc rId="2968" sId="1">
    <oc r="J112">
      <v>10000</v>
    </oc>
    <nc r="J112"/>
  </rcc>
  <rcc rId="2969" sId="1">
    <oc r="K112">
      <v>0</v>
    </oc>
    <nc r="K112"/>
  </rcc>
  <rcc rId="2970" sId="1" numFmtId="19">
    <oc r="L112">
      <v>46211.3125</v>
    </oc>
    <nc r="L112"/>
  </rcc>
  <rcc rId="2971" sId="1" numFmtId="19">
    <oc r="M112">
      <v>46211.368055555555</v>
    </oc>
    <nc r="M112"/>
  </rcc>
  <rcc rId="2972" sId="1">
    <oc r="AA112" t="inlineStr">
      <is>
        <t>1</t>
      </is>
    </oc>
    <nc r="AA112"/>
  </rcc>
  <rcc rId="2973" sId="1">
    <oc r="AB112" t="inlineStr">
      <is>
        <t>0</t>
      </is>
    </oc>
    <nc r="AB112"/>
  </rcc>
  <rcc rId="2974" sId="1">
    <oc r="A113" t="inlineStr">
      <is>
        <t>Zone 1</t>
      </is>
    </oc>
    <nc r="A113"/>
  </rcc>
  <rcc rId="2975" sId="1">
    <oc r="B113" t="inlineStr">
      <is>
        <t>Blade Inspect</t>
      </is>
    </oc>
    <nc r="B113"/>
  </rcc>
  <rcc rId="2976" sId="1">
    <oc r="C113">
      <v>1</v>
    </oc>
    <nc r="C113"/>
  </rcc>
  <rcc rId="2977" sId="1">
    <oc r="E113" t="inlineStr">
      <is>
        <t>W1029619/1</t>
      </is>
    </oc>
    <nc r="E113"/>
  </rcc>
  <rcc rId="2978" sId="1">
    <oc r="F113" t="inlineStr">
      <is>
        <t>SMI3/73-0010-0101UC</t>
      </is>
    </oc>
    <nc r="F113"/>
  </rcc>
  <rcc rId="2979" sId="1">
    <oc r="G113" t="inlineStr">
      <is>
        <t>#10 SS SURG BLD Un-Coated</t>
      </is>
    </oc>
    <nc r="G113"/>
  </rcc>
  <rcc rId="2980" sId="1">
    <oc r="H113">
      <v>5</v>
    </oc>
    <nc r="H113"/>
  </rcc>
  <rcc rId="2981" sId="1">
    <oc r="I113">
      <v>5</v>
    </oc>
    <nc r="I113"/>
  </rcc>
  <rcc rId="2982" sId="1">
    <oc r="J113">
      <v>15000</v>
    </oc>
    <nc r="J113"/>
  </rcc>
  <rcc rId="2983" sId="1">
    <oc r="K113">
      <v>0</v>
    </oc>
    <nc r="K113"/>
  </rcc>
  <rcc rId="2984" sId="1" numFmtId="19">
    <oc r="L113">
      <v>46211.666666666664</v>
    </oc>
    <nc r="L113"/>
  </rcc>
  <rcc rId="2985" sId="1" numFmtId="19">
    <oc r="M113">
      <v>46211.868055555555</v>
    </oc>
    <nc r="M113"/>
  </rcc>
  <rcc rId="2986" sId="1">
    <oc r="AA113" t="inlineStr">
      <is>
        <t>1</t>
      </is>
    </oc>
    <nc r="AA113"/>
  </rcc>
  <rcc rId="2987" sId="1">
    <oc r="AB113" t="inlineStr">
      <is>
        <t>0</t>
      </is>
    </oc>
    <nc r="AB113"/>
  </rcc>
  <rcc rId="2988" sId="1">
    <oc r="A114" t="inlineStr">
      <is>
        <t>Zone 1</t>
      </is>
    </oc>
    <nc r="A114"/>
  </rcc>
  <rcc rId="2989" sId="1">
    <oc r="B114" t="inlineStr">
      <is>
        <t>Blade Inspect</t>
      </is>
    </oc>
    <nc r="B114"/>
  </rcc>
  <rcc rId="2990" sId="1">
    <oc r="C114">
      <v>1</v>
    </oc>
    <nc r="C114"/>
  </rcc>
  <rcc rId="2991" sId="1">
    <oc r="E114" t="inlineStr">
      <is>
        <t>W1027735/1</t>
      </is>
    </oc>
    <nc r="E114"/>
  </rcc>
  <rcc rId="2992" sId="1">
    <oc r="F114" t="inlineStr">
      <is>
        <t>SMI3/73-0020-0101UC</t>
      </is>
    </oc>
    <nc r="F114"/>
  </rcc>
  <rcc rId="2993" sId="1">
    <oc r="G114" t="inlineStr">
      <is>
        <t>#20PERS SS SURG BLD Un-Coated</t>
      </is>
    </oc>
    <nc r="G114"/>
  </rcc>
  <rcc rId="2994" sId="1">
    <oc r="H114">
      <v>4</v>
    </oc>
    <nc r="H114"/>
  </rcc>
  <rcc rId="2995" sId="1">
    <oc r="I114">
      <v>4</v>
    </oc>
    <nc r="I114"/>
  </rcc>
  <rcc rId="2996" sId="1">
    <oc r="J114">
      <v>12000</v>
    </oc>
    <nc r="J114"/>
  </rcc>
  <rcc rId="2997" sId="1">
    <oc r="K114">
      <v>0</v>
    </oc>
    <nc r="K114"/>
  </rcc>
  <rcc rId="2998" sId="1" numFmtId="19">
    <oc r="L114">
      <v>46212.208333333336</v>
    </oc>
    <nc r="L114"/>
  </rcc>
  <rcc rId="2999" sId="1" numFmtId="19">
    <oc r="M114">
      <v>46212.368055555555</v>
    </oc>
    <nc r="M114"/>
  </rcc>
  <rcc rId="3000" sId="1">
    <oc r="AA114" t="inlineStr">
      <is>
        <t>1</t>
      </is>
    </oc>
    <nc r="AA114"/>
  </rcc>
  <rcc rId="3001" sId="1">
    <oc r="AB114" t="inlineStr">
      <is>
        <t>0</t>
      </is>
    </oc>
    <nc r="AB114"/>
  </rcc>
  <rcc rId="3002" sId="1">
    <oc r="A115" t="inlineStr">
      <is>
        <t>Zone 1</t>
      </is>
    </oc>
    <nc r="A115"/>
  </rcc>
  <rcc rId="3003" sId="1">
    <oc r="B115" t="inlineStr">
      <is>
        <t>Blade Inspect</t>
      </is>
    </oc>
    <nc r="B115"/>
  </rcc>
  <rcc rId="3004" sId="1">
    <oc r="C115">
      <v>1</v>
    </oc>
    <nc r="C115"/>
  </rcc>
  <rcc rId="3005" sId="1">
    <oc r="E115" t="inlineStr">
      <is>
        <t>W1022667/1</t>
      </is>
    </oc>
    <nc r="E115"/>
  </rcc>
  <rcc rId="3006" sId="1">
    <oc r="F115" t="inlineStr">
      <is>
        <t>SMI3/73-0022-0101</t>
      </is>
    </oc>
    <nc r="F115"/>
  </rcc>
  <rcc rId="3007" sId="1">
    <oc r="G115" t="inlineStr">
      <is>
        <t>#22PERS SS SURG BLD Polymer-Coated</t>
      </is>
    </oc>
    <nc r="G115"/>
  </rcc>
  <rcc rId="3008" sId="1">
    <oc r="H115">
      <v>1.41</v>
    </oc>
    <nc r="H115"/>
  </rcc>
  <rcc rId="3009" sId="1">
    <oc r="I115">
      <v>1.41</v>
    </oc>
    <nc r="I115"/>
  </rcc>
  <rcc rId="3010" sId="1">
    <oc r="J115">
      <v>10000</v>
    </oc>
    <nc r="J115"/>
  </rcc>
  <rcc rId="3011" sId="1">
    <oc r="K115">
      <v>0</v>
    </oc>
    <nc r="K115"/>
  </rcc>
  <rcc rId="3012" sId="1" numFmtId="19">
    <oc r="L115">
      <v>46212.375</v>
    </oc>
    <nc r="L115"/>
  </rcc>
  <rcc rId="3013" sId="1" numFmtId="19">
    <oc r="M115">
      <v>46212.430555555555</v>
    </oc>
    <nc r="M115"/>
  </rcc>
  <rcc rId="3014" sId="1">
    <oc r="AA115" t="inlineStr">
      <is>
        <t>1</t>
      </is>
    </oc>
    <nc r="AA115"/>
  </rcc>
  <rcc rId="3015" sId="1">
    <oc r="AB115" t="inlineStr">
      <is>
        <t>0</t>
      </is>
    </oc>
    <nc r="AB115"/>
  </rcc>
  <rcc rId="3016" sId="1">
    <oc r="A116" t="inlineStr">
      <is>
        <t>Zone 1</t>
      </is>
    </oc>
    <nc r="A116"/>
  </rcc>
  <rcc rId="3017" sId="1">
    <oc r="B116" t="inlineStr">
      <is>
        <t>Blade Inspect</t>
      </is>
    </oc>
    <nc r="B116"/>
  </rcc>
  <rcc rId="3018" sId="1">
    <oc r="C116">
      <v>2</v>
    </oc>
    <nc r="C116"/>
  </rcc>
  <rcc rId="3019" sId="1">
    <oc r="E116" t="inlineStr">
      <is>
        <t>W1026895/1</t>
      </is>
    </oc>
    <nc r="E116"/>
  </rcc>
  <rcc rId="3020" sId="1">
    <oc r="F116" t="inlineStr">
      <is>
        <t>SMI3/73-0020-0101</t>
      </is>
    </oc>
    <nc r="F116"/>
  </rcc>
  <rcc rId="3021" sId="1">
    <oc r="G116" t="inlineStr">
      <is>
        <t>#20PERS SS SURG BLD Polymer-Coated</t>
      </is>
    </oc>
    <nc r="G116"/>
  </rcc>
  <rcc rId="3022" sId="1">
    <oc r="H116">
      <v>4</v>
    </oc>
    <nc r="H116"/>
  </rcc>
  <rcc rId="3023" sId="1">
    <oc r="I116">
      <v>2</v>
    </oc>
    <nc r="I116"/>
  </rcc>
  <rcc rId="3024" sId="1">
    <oc r="J116">
      <v>12000</v>
    </oc>
    <nc r="J116"/>
  </rcc>
  <rcc rId="3025" sId="1">
    <oc r="K116">
      <v>0</v>
    </oc>
    <nc r="K116"/>
  </rcc>
  <rcc rId="3026" sId="1" numFmtId="19">
    <oc r="L116">
      <v>46212.451388888891</v>
    </oc>
    <nc r="L116"/>
  </rcc>
  <rcc rId="3027" sId="1" numFmtId="19">
    <oc r="M116">
      <v>46212.527777777781</v>
    </oc>
    <nc r="M116"/>
  </rcc>
  <rcc rId="3028" sId="1">
    <oc r="AA116" t="inlineStr">
      <is>
        <t>1</t>
      </is>
    </oc>
    <nc r="AA116"/>
  </rcc>
  <rcc rId="3029" sId="1">
    <oc r="AB116" t="inlineStr">
      <is>
        <t>0</t>
      </is>
    </oc>
    <nc r="AB116"/>
  </rcc>
  <rcc rId="3030" sId="1">
    <oc r="A117" t="inlineStr">
      <is>
        <t>Zone 1</t>
      </is>
    </oc>
    <nc r="A117"/>
  </rcc>
  <rcc rId="3031" sId="1">
    <oc r="B117" t="inlineStr">
      <is>
        <t>Blade Inspect</t>
      </is>
    </oc>
    <nc r="B117"/>
  </rcc>
  <rcc rId="3032" sId="1">
    <oc r="C117">
      <v>2</v>
    </oc>
    <nc r="C117"/>
  </rcc>
  <rcc rId="3033" sId="1">
    <oc r="E117" t="inlineStr">
      <is>
        <t>W1026896/1</t>
      </is>
    </oc>
    <nc r="E117"/>
  </rcc>
  <rcc rId="3034" sId="1">
    <oc r="F117" t="inlineStr">
      <is>
        <t>SMI3/73-0020-0101</t>
      </is>
    </oc>
    <nc r="F117"/>
  </rcc>
  <rcc rId="3035" sId="1">
    <oc r="G117" t="inlineStr">
      <is>
        <t>#20PERS SS SURG BLD Polymer-Coated</t>
      </is>
    </oc>
    <nc r="G117"/>
  </rcc>
  <rcc rId="3036" sId="1">
    <oc r="H117">
      <v>4</v>
    </oc>
    <nc r="H117"/>
  </rcc>
  <rcc rId="3037" sId="1">
    <oc r="I117">
      <v>2</v>
    </oc>
    <nc r="I117"/>
  </rcc>
  <rcc rId="3038" sId="1">
    <oc r="J117">
      <v>12000</v>
    </oc>
    <nc r="J117"/>
  </rcc>
  <rcc rId="3039" sId="1">
    <oc r="K117">
      <v>0</v>
    </oc>
    <nc r="K117"/>
  </rcc>
  <rcc rId="3040" sId="1" numFmtId="19">
    <oc r="L117">
      <v>46212.527777777781</v>
    </oc>
    <nc r="L117"/>
  </rcc>
  <rcc rId="3041" sId="1" numFmtId="19">
    <oc r="M117">
      <v>46212.604166666664</v>
    </oc>
    <nc r="M117"/>
  </rcc>
  <rcc rId="3042" sId="1">
    <oc r="AA117" t="inlineStr">
      <is>
        <t>1</t>
      </is>
    </oc>
    <nc r="AA117"/>
  </rcc>
  <rcc rId="3043" sId="1">
    <oc r="AB117" t="inlineStr">
      <is>
        <t>0</t>
      </is>
    </oc>
    <nc r="AB117"/>
  </rcc>
  <rcc rId="3044" sId="1">
    <oc r="A118" t="inlineStr">
      <is>
        <t>Zone 1</t>
      </is>
    </oc>
    <nc r="A118"/>
  </rcc>
  <rcc rId="3045" sId="1">
    <oc r="B118" t="inlineStr">
      <is>
        <t>Blade Inspect</t>
      </is>
    </oc>
    <nc r="B118"/>
  </rcc>
  <rcc rId="3046" sId="1">
    <oc r="C118">
      <v>1</v>
    </oc>
    <nc r="C118"/>
  </rcc>
  <rcc rId="3047" sId="1">
    <oc r="E118" t="inlineStr">
      <is>
        <t>W1029910/1</t>
      </is>
    </oc>
    <nc r="E118"/>
  </rcc>
  <rcc rId="3048" sId="1">
    <oc r="F118" t="inlineStr">
      <is>
        <t>SMI3/73-0010-0101UC</t>
      </is>
    </oc>
    <nc r="F118"/>
  </rcc>
  <rcc rId="3049" sId="1">
    <oc r="G118" t="inlineStr">
      <is>
        <t>#10 SS SURG BLD Un-Coated</t>
      </is>
    </oc>
    <nc r="G118"/>
  </rcc>
  <rcc rId="3050" sId="1">
    <oc r="H118">
      <v>5</v>
    </oc>
    <nc r="H118"/>
  </rcc>
  <rcc rId="3051" sId="1">
    <oc r="I118">
      <v>5</v>
    </oc>
    <nc r="I118"/>
  </rcc>
  <rcc rId="3052" sId="1">
    <oc r="J118">
      <v>15000</v>
    </oc>
    <nc r="J118"/>
  </rcc>
  <rcc rId="3053" sId="1">
    <oc r="K118">
      <v>0</v>
    </oc>
    <nc r="K118"/>
  </rcc>
  <rcc rId="3054" sId="1" numFmtId="19">
    <oc r="L118">
      <v>46212.555555555555</v>
    </oc>
    <nc r="L118"/>
  </rcc>
  <rcc rId="3055" sId="1" numFmtId="19">
    <oc r="M118">
      <v>46212.756944444445</v>
    </oc>
    <nc r="M118"/>
  </rcc>
  <rcc rId="3056" sId="1">
    <oc r="AA118" t="inlineStr">
      <is>
        <t>1</t>
      </is>
    </oc>
    <nc r="AA118"/>
  </rcc>
  <rcc rId="3057" sId="1">
    <oc r="AB118" t="inlineStr">
      <is>
        <t>0</t>
      </is>
    </oc>
    <nc r="AB118"/>
  </rcc>
  <rcc rId="3058" sId="1">
    <oc r="A119" t="inlineStr">
      <is>
        <t>Zone 1</t>
      </is>
    </oc>
    <nc r="A119"/>
  </rcc>
  <rcc rId="3059" sId="1">
    <oc r="B119" t="inlineStr">
      <is>
        <t>Blade Inspect</t>
      </is>
    </oc>
    <nc r="B119"/>
  </rcc>
  <rcc rId="3060" sId="1">
    <oc r="C119">
      <v>2</v>
    </oc>
    <nc r="C119"/>
  </rcc>
  <rcc rId="3061" sId="1">
    <oc r="E119" t="inlineStr">
      <is>
        <t>W1026897/1</t>
      </is>
    </oc>
    <nc r="E119"/>
  </rcc>
  <rcc rId="3062" sId="1">
    <oc r="F119" t="inlineStr">
      <is>
        <t>SMI3/73-0020-0101</t>
      </is>
    </oc>
    <nc r="F119"/>
  </rcc>
  <rcc rId="3063" sId="1">
    <oc r="G119" t="inlineStr">
      <is>
        <t>#20PERS SS SURG BLD Polymer-Coated</t>
      </is>
    </oc>
    <nc r="G119"/>
  </rcc>
  <rcc rId="3064" sId="1">
    <oc r="H119">
      <v>4</v>
    </oc>
    <nc r="H119"/>
  </rcc>
  <rcc rId="3065" sId="1">
    <oc r="I119">
      <v>2</v>
    </oc>
    <nc r="I119"/>
  </rcc>
  <rcc rId="3066" sId="1">
    <oc r="J119">
      <v>12000</v>
    </oc>
    <nc r="J119"/>
  </rcc>
  <rcc rId="3067" sId="1">
    <oc r="K119">
      <v>0</v>
    </oc>
    <nc r="K119"/>
  </rcc>
  <rcc rId="3068" sId="1" numFmtId="19">
    <oc r="L119">
      <v>46212.604166666664</v>
    </oc>
    <nc r="L119"/>
  </rcc>
  <rcc rId="3069" sId="1" numFmtId="19">
    <oc r="M119">
      <v>46212.680555555555</v>
    </oc>
    <nc r="M119"/>
  </rcc>
  <rcc rId="3070" sId="1">
    <oc r="AA119" t="inlineStr">
      <is>
        <t>1</t>
      </is>
    </oc>
    <nc r="AA119"/>
  </rcc>
  <rcc rId="3071" sId="1">
    <oc r="AB119" t="inlineStr">
      <is>
        <t>0</t>
      </is>
    </oc>
    <nc r="AB119"/>
  </rcc>
  <rcc rId="3072" sId="1">
    <oc r="A120" t="inlineStr">
      <is>
        <t>Zone 1</t>
      </is>
    </oc>
    <nc r="A120"/>
  </rcc>
  <rcc rId="3073" sId="1">
    <oc r="B120" t="inlineStr">
      <is>
        <t>Blade Inspect</t>
      </is>
    </oc>
    <nc r="B120"/>
  </rcc>
  <rcc rId="3074" sId="1">
    <oc r="C120">
      <v>1</v>
    </oc>
    <nc r="C120"/>
  </rcc>
  <rcc rId="3075" sId="1">
    <oc r="E120" t="inlineStr">
      <is>
        <t>W1027194/1</t>
      </is>
    </oc>
    <nc r="E120"/>
  </rcc>
  <rcc rId="3076" sId="1">
    <oc r="F120" t="inlineStr">
      <is>
        <t>SMI3/73-0015-0101UC</t>
      </is>
    </oc>
    <nc r="F120"/>
  </rcc>
  <rcc rId="3077" sId="1">
    <oc r="G120" t="inlineStr">
      <is>
        <t>#15 SS SURG BLD Un-Coated</t>
      </is>
    </oc>
    <nc r="G120"/>
  </rcc>
  <rcc rId="3078" sId="1">
    <oc r="H120">
      <v>3.33</v>
    </oc>
    <nc r="H120"/>
  </rcc>
  <rcc rId="3079" sId="1">
    <oc r="I120">
      <v>3.33</v>
    </oc>
    <nc r="I120"/>
  </rcc>
  <rcc rId="3080" sId="1">
    <oc r="J120">
      <v>10000</v>
    </oc>
    <nc r="J120"/>
  </rcc>
  <rcc rId="3081" sId="1">
    <oc r="K120">
      <v>0</v>
    </oc>
    <nc r="K120"/>
  </rcc>
  <rcc rId="3082" sId="1" numFmtId="19">
    <oc r="L120">
      <v>46212.6875</v>
    </oc>
    <nc r="L120"/>
  </rcc>
  <rcc rId="3083" sId="1" numFmtId="19">
    <oc r="M120">
      <v>46212.819444444445</v>
    </oc>
    <nc r="M120"/>
  </rcc>
  <rcc rId="3084" sId="1">
    <oc r="AA120" t="inlineStr">
      <is>
        <t>1</t>
      </is>
    </oc>
    <nc r="AA120"/>
  </rcc>
  <rcc rId="3085" sId="1">
    <oc r="AB120" t="inlineStr">
      <is>
        <t>0</t>
      </is>
    </oc>
    <nc r="AB120"/>
  </rcc>
  <rcc rId="3086" sId="1">
    <oc r="A121" t="inlineStr">
      <is>
        <t>Zone 1</t>
      </is>
    </oc>
    <nc r="A121"/>
  </rcc>
  <rcc rId="3087" sId="1">
    <oc r="B121" t="inlineStr">
      <is>
        <t>Blade Inspect</t>
      </is>
    </oc>
    <nc r="B121"/>
  </rcc>
  <rcc rId="3088" sId="1">
    <oc r="C121">
      <v>1</v>
    </oc>
    <nc r="C121"/>
  </rcc>
  <rcc rId="3089" sId="1">
    <oc r="E121" t="inlineStr">
      <is>
        <t>W1027195/1</t>
      </is>
    </oc>
    <nc r="E121"/>
  </rcc>
  <rcc rId="3090" sId="1">
    <oc r="F121" t="inlineStr">
      <is>
        <t>SMI3/73-0015-0101UC</t>
      </is>
    </oc>
    <nc r="F121"/>
  </rcc>
  <rcc rId="3091" sId="1">
    <oc r="G121" t="inlineStr">
      <is>
        <t>#15 SS SURG BLD Un-Coated</t>
      </is>
    </oc>
    <nc r="G121"/>
  </rcc>
  <rcc rId="3092" sId="1">
    <oc r="H121">
      <v>3.33</v>
    </oc>
    <nc r="H121"/>
  </rcc>
  <rcc rId="3093" sId="1">
    <oc r="I121">
      <v>3.33</v>
    </oc>
    <nc r="I121"/>
  </rcc>
  <rcc rId="3094" sId="1">
    <oc r="J121">
      <v>10000</v>
    </oc>
    <nc r="J121"/>
  </rcc>
  <rcc rId="3095" sId="1">
    <oc r="K121">
      <v>0</v>
    </oc>
    <nc r="K121"/>
  </rcc>
  <rcc rId="3096" sId="1" numFmtId="19">
    <oc r="L121">
      <v>46213.166666666664</v>
    </oc>
    <nc r="L121"/>
  </rcc>
  <rcc rId="3097" sId="1" numFmtId="19">
    <oc r="M121">
      <v>46213.298611111109</v>
    </oc>
    <nc r="M121"/>
  </rcc>
  <rcc rId="3098" sId="1">
    <oc r="AA121" t="inlineStr">
      <is>
        <t>1</t>
      </is>
    </oc>
    <nc r="AA121"/>
  </rcc>
  <rcc rId="3099" sId="1">
    <oc r="AB121" t="inlineStr">
      <is>
        <t>0</t>
      </is>
    </oc>
    <nc r="AB121"/>
  </rcc>
  <rcc rId="3100" sId="1">
    <oc r="A122" t="inlineStr">
      <is>
        <t>Zone 1</t>
      </is>
    </oc>
    <nc r="A122"/>
  </rcc>
  <rcc rId="3101" sId="1">
    <oc r="B122" t="inlineStr">
      <is>
        <t>Blade Inspect</t>
      </is>
    </oc>
    <nc r="B122"/>
  </rcc>
  <rcc rId="3102" sId="1">
    <oc r="C122">
      <v>2</v>
    </oc>
    <nc r="C122"/>
  </rcc>
  <rcc rId="3103" sId="1">
    <oc r="E122" t="inlineStr">
      <is>
        <t>W1026908/1</t>
      </is>
    </oc>
    <nc r="E122"/>
  </rcc>
  <rcc rId="3104" sId="1">
    <oc r="F122" t="inlineStr">
      <is>
        <t>SMI3/73-0015-0101</t>
      </is>
    </oc>
    <nc r="F122"/>
  </rcc>
  <rcc rId="3105" sId="1">
    <oc r="G122" t="inlineStr">
      <is>
        <t>#15 SS SURG BLD Polymer Coated</t>
      </is>
    </oc>
    <nc r="G122"/>
  </rcc>
  <rcc rId="3106" sId="1">
    <oc r="H122">
      <v>6</v>
    </oc>
    <nc r="H122"/>
  </rcc>
  <rcc rId="3107" sId="1">
    <oc r="I122">
      <v>3</v>
    </oc>
    <nc r="I122"/>
  </rcc>
  <rcc rId="3108" sId="1">
    <oc r="J122">
      <v>18000</v>
    </oc>
    <nc r="J122"/>
  </rcc>
  <rcc rId="3109" sId="1">
    <oc r="K122">
      <v>0</v>
    </oc>
    <nc r="K122"/>
  </rcc>
  <rcc rId="3110" sId="1" numFmtId="19">
    <oc r="L122">
      <v>46213.381944444445</v>
    </oc>
    <nc r="L122"/>
  </rcc>
  <rcc rId="3111" sId="1" numFmtId="19">
    <oc r="M122">
      <v>46213.5</v>
    </oc>
    <nc r="M122"/>
  </rcc>
  <rcc rId="3112" sId="1">
    <oc r="AA122" t="inlineStr">
      <is>
        <t>1</t>
      </is>
    </oc>
    <nc r="AA122"/>
  </rcc>
  <rcc rId="3113" sId="1">
    <oc r="AB122" t="inlineStr">
      <is>
        <t>0</t>
      </is>
    </oc>
    <nc r="AB122"/>
  </rcc>
  <rcc rId="3114" sId="1">
    <oc r="A123" t="inlineStr">
      <is>
        <t>Zone 1</t>
      </is>
    </oc>
    <nc r="A123"/>
  </rcc>
  <rcc rId="3115" sId="1">
    <oc r="B123" t="inlineStr">
      <is>
        <t>Blade Inspect</t>
      </is>
    </oc>
    <nc r="B123"/>
  </rcc>
  <rcc rId="3116" sId="1">
    <oc r="C123">
      <v>1</v>
    </oc>
    <nc r="C123"/>
  </rcc>
  <rcc rId="3117" sId="1">
    <oc r="E123" t="inlineStr">
      <is>
        <t>W1029911/1</t>
      </is>
    </oc>
    <nc r="E123"/>
  </rcc>
  <rcc rId="3118" sId="1">
    <oc r="F123" t="inlineStr">
      <is>
        <t>SMI3/73-0010-0101UC</t>
      </is>
    </oc>
    <nc r="F123"/>
  </rcc>
  <rcc rId="3119" sId="1">
    <oc r="G123" t="inlineStr">
      <is>
        <t>#10 SS SURG BLD Un-Coated</t>
      </is>
    </oc>
    <nc r="G123"/>
  </rcc>
  <rcc rId="3120" sId="1">
    <oc r="H123">
      <v>5</v>
    </oc>
    <nc r="H123"/>
  </rcc>
  <rcc rId="3121" sId="1">
    <oc r="I123">
      <v>5</v>
    </oc>
    <nc r="I123"/>
  </rcc>
  <rcc rId="3122" sId="1">
    <oc r="J123">
      <v>15000</v>
    </oc>
    <nc r="J123"/>
  </rcc>
  <rcc rId="3123" sId="1">
    <oc r="K123">
      <v>0</v>
    </oc>
    <nc r="K123"/>
  </rcc>
  <rcc rId="3124" sId="1" numFmtId="19">
    <oc r="L123">
      <v>46213.444444444445</v>
    </oc>
    <nc r="L123"/>
  </rcc>
  <rcc rId="3125" sId="1" numFmtId="19">
    <oc r="M123">
      <v>46213.645833333336</v>
    </oc>
    <nc r="M123"/>
  </rcc>
  <rcc rId="3126" sId="1">
    <oc r="AA123" t="inlineStr">
      <is>
        <t>1</t>
      </is>
    </oc>
    <nc r="AA123"/>
  </rcc>
  <rcc rId="3127" sId="1">
    <oc r="AB123" t="inlineStr">
      <is>
        <t>0</t>
      </is>
    </oc>
    <nc r="AB123"/>
  </rcc>
  <rcc rId="3128" sId="1">
    <oc r="A124" t="inlineStr">
      <is>
        <t>Zone 1</t>
      </is>
    </oc>
    <nc r="A124"/>
  </rcc>
  <rcc rId="3129" sId="1">
    <oc r="B124" t="inlineStr">
      <is>
        <t>Blade Inspect</t>
      </is>
    </oc>
    <nc r="B124"/>
  </rcc>
  <rcc rId="3130" sId="1">
    <oc r="C124">
      <v>2</v>
    </oc>
    <nc r="C124"/>
  </rcc>
  <rcc rId="3131" sId="1">
    <oc r="E124" t="inlineStr">
      <is>
        <t>W1027729/1</t>
      </is>
    </oc>
    <nc r="E124"/>
  </rcc>
  <rcc rId="3132" sId="1">
    <oc r="F124" t="inlineStr">
      <is>
        <t>SMI3/73-0020-0101</t>
      </is>
    </oc>
    <nc r="F124"/>
  </rcc>
  <rcc rId="3133" sId="1">
    <oc r="G124" t="inlineStr">
      <is>
        <t>#20PERS SS SURG BLD Polymer-Coated</t>
      </is>
    </oc>
    <nc r="G124"/>
  </rcc>
  <rcc rId="3134" sId="1">
    <oc r="H124">
      <v>4</v>
    </oc>
    <nc r="H124"/>
  </rcc>
  <rcc rId="3135" sId="1">
    <oc r="I124">
      <v>2</v>
    </oc>
    <nc r="I124"/>
  </rcc>
  <rcc rId="3136" sId="1">
    <oc r="J124">
      <v>12000</v>
    </oc>
    <nc r="J124"/>
  </rcc>
  <rcc rId="3137" sId="1">
    <oc r="K124">
      <v>0</v>
    </oc>
    <nc r="K124"/>
  </rcc>
  <rcc rId="3138" sId="1" numFmtId="19">
    <oc r="L124">
      <v>46213.458333333336</v>
    </oc>
    <nc r="L124"/>
  </rcc>
  <rcc rId="3139" sId="1" numFmtId="19">
    <oc r="M124">
      <v>46213.534722222219</v>
    </oc>
    <nc r="M124"/>
  </rcc>
  <rcc rId="3140" sId="1">
    <oc r="AA124" t="inlineStr">
      <is>
        <t>1</t>
      </is>
    </oc>
    <nc r="AA124"/>
  </rcc>
  <rcc rId="3141" sId="1">
    <oc r="AB124" t="inlineStr">
      <is>
        <t>0</t>
      </is>
    </oc>
    <nc r="AB124"/>
  </rcc>
  <rcc rId="3142" sId="1">
    <oc r="A125" t="inlineStr">
      <is>
        <t>Zone 1</t>
      </is>
    </oc>
    <nc r="A125"/>
  </rcc>
  <rcc rId="3143" sId="1">
    <oc r="B125" t="inlineStr">
      <is>
        <t>Blade Inspect</t>
      </is>
    </oc>
    <nc r="B125"/>
  </rcc>
  <rcc rId="3144" sId="1">
    <oc r="C125">
      <v>2</v>
    </oc>
    <nc r="C125"/>
  </rcc>
  <rcc rId="3145" sId="1">
    <oc r="E125" t="inlineStr">
      <is>
        <t>W1027730/1</t>
      </is>
    </oc>
    <nc r="E125"/>
  </rcc>
  <rcc rId="3146" sId="1">
    <oc r="F125" t="inlineStr">
      <is>
        <t>SMI3/73-0020-0101</t>
      </is>
    </oc>
    <nc r="F125"/>
  </rcc>
  <rcc rId="3147" sId="1">
    <oc r="G125" t="inlineStr">
      <is>
        <t>#20PERS SS SURG BLD Polymer-Coated</t>
      </is>
    </oc>
    <nc r="G125"/>
  </rcc>
  <rcc rId="3148" sId="1">
    <oc r="H125">
      <v>4</v>
    </oc>
    <nc r="H125"/>
  </rcc>
  <rcc rId="3149" sId="1">
    <oc r="I125">
      <v>2</v>
    </oc>
    <nc r="I125"/>
  </rcc>
  <rcc rId="3150" sId="1">
    <oc r="J125">
      <v>12000</v>
    </oc>
    <nc r="J125"/>
  </rcc>
  <rcc rId="3151" sId="1">
    <oc r="K125">
      <v>0</v>
    </oc>
    <nc r="K125"/>
  </rcc>
  <rcc rId="3152" sId="1" numFmtId="19">
    <oc r="L125">
      <v>46213.534722222219</v>
    </oc>
    <nc r="L125"/>
  </rcc>
  <rcc rId="3153" sId="1" numFmtId="19">
    <oc r="M125">
      <v>46213.611111111109</v>
    </oc>
    <nc r="M125"/>
  </rcc>
  <rcc rId="3154" sId="1">
    <oc r="AA125" t="inlineStr">
      <is>
        <t>1</t>
      </is>
    </oc>
    <nc r="AA125"/>
  </rcc>
  <rcc rId="3155" sId="1">
    <oc r="AB125" t="inlineStr">
      <is>
        <t>0</t>
      </is>
    </oc>
    <nc r="AB125"/>
  </rcc>
  <rcc rId="3156" sId="1">
    <oc r="A126" t="inlineStr">
      <is>
        <t>Zone 1</t>
      </is>
    </oc>
    <nc r="A126"/>
  </rcc>
  <rcc rId="3157" sId="1">
    <oc r="B126" t="inlineStr">
      <is>
        <t>Blade Inspect</t>
      </is>
    </oc>
    <nc r="B126"/>
  </rcc>
  <rcc rId="3158" sId="1">
    <oc r="C126">
      <v>2</v>
    </oc>
    <nc r="C126"/>
  </rcc>
  <rcc rId="3159" sId="1">
    <oc r="E126" t="inlineStr">
      <is>
        <t>W1027731/1</t>
      </is>
    </oc>
    <nc r="E126"/>
  </rcc>
  <rcc rId="3160" sId="1">
    <oc r="F126" t="inlineStr">
      <is>
        <t>SMI3/73-0020-0101</t>
      </is>
    </oc>
    <nc r="F126"/>
  </rcc>
  <rcc rId="3161" sId="1">
    <oc r="G126" t="inlineStr">
      <is>
        <t>#20PERS SS SURG BLD Polymer-Coated</t>
      </is>
    </oc>
    <nc r="G126"/>
  </rcc>
  <rcc rId="3162" sId="1">
    <oc r="H126">
      <v>4</v>
    </oc>
    <nc r="H126"/>
  </rcc>
  <rcc rId="3163" sId="1">
    <oc r="I126">
      <v>2</v>
    </oc>
    <nc r="I126"/>
  </rcc>
  <rcc rId="3164" sId="1">
    <oc r="J126">
      <v>12000</v>
    </oc>
    <nc r="J126"/>
  </rcc>
  <rcc rId="3165" sId="1">
    <oc r="K126">
      <v>0</v>
    </oc>
    <nc r="K126"/>
  </rcc>
  <rcc rId="3166" sId="1" numFmtId="19">
    <oc r="L126">
      <v>46213.611111111109</v>
    </oc>
    <nc r="L126"/>
  </rcc>
  <rcc rId="3167" sId="1" numFmtId="19">
    <oc r="M126">
      <v>46213.6875</v>
    </oc>
    <nc r="M126"/>
  </rcc>
  <rcc rId="3168" sId="1">
    <oc r="AA126" t="inlineStr">
      <is>
        <t>1</t>
      </is>
    </oc>
    <nc r="AA126"/>
  </rcc>
  <rcc rId="3169" sId="1">
    <oc r="AB126" t="inlineStr">
      <is>
        <t>0</t>
      </is>
    </oc>
    <nc r="AB126"/>
  </rcc>
  <rcc rId="3170" sId="1">
    <oc r="A127" t="inlineStr">
      <is>
        <t>Zone 1</t>
      </is>
    </oc>
    <nc r="A127"/>
  </rcc>
  <rcc rId="3171" sId="1">
    <oc r="B127" t="inlineStr">
      <is>
        <t>Blade Inspect</t>
      </is>
    </oc>
    <nc r="B127"/>
  </rcc>
  <rcc rId="3172" sId="1">
    <oc r="C127">
      <v>1</v>
    </oc>
    <nc r="C127"/>
  </rcc>
  <rcc rId="3173" sId="1">
    <oc r="E127" t="inlineStr">
      <is>
        <t>W1027196/1</t>
      </is>
    </oc>
    <nc r="E127"/>
  </rcc>
  <rcc rId="3174" sId="1">
    <oc r="F127" t="inlineStr">
      <is>
        <t>SMI3/73-0015-0101UC</t>
      </is>
    </oc>
    <nc r="F127"/>
  </rcc>
  <rcc rId="3175" sId="1">
    <oc r="G127" t="inlineStr">
      <is>
        <t>#15 SS SURG BLD Un-Coated</t>
      </is>
    </oc>
    <nc r="G127"/>
  </rcc>
  <rcc rId="3176" sId="1">
    <oc r="H127">
      <v>3.33</v>
    </oc>
    <nc r="H127"/>
  </rcc>
  <rcc rId="3177" sId="1">
    <oc r="I127">
      <v>3.33</v>
    </oc>
    <nc r="I127"/>
  </rcc>
  <rcc rId="3178" sId="1">
    <oc r="J127">
      <v>10000</v>
    </oc>
    <nc r="J127"/>
  </rcc>
  <rcc rId="3179" sId="1">
    <oc r="K127">
      <v>0</v>
    </oc>
    <nc r="K127"/>
  </rcc>
  <rcc rId="3180" sId="1" numFmtId="19">
    <oc r="L127">
      <v>46213.645833333336</v>
    </oc>
    <nc r="L127"/>
  </rcc>
  <rcc rId="3181" sId="1" numFmtId="19">
    <oc r="M127">
      <v>46213.777777777781</v>
    </oc>
    <nc r="M127"/>
  </rcc>
  <rcc rId="3182" sId="1">
    <oc r="AA127" t="inlineStr">
      <is>
        <t>1</t>
      </is>
    </oc>
    <nc r="AA127"/>
  </rcc>
  <rcc rId="3183" sId="1">
    <oc r="AB127" t="inlineStr">
      <is>
        <t>0</t>
      </is>
    </oc>
    <nc r="AB127"/>
  </rcc>
  <rcc rId="3184" sId="1">
    <oc r="A128" t="inlineStr">
      <is>
        <t>Zone 1</t>
      </is>
    </oc>
    <nc r="A128"/>
  </rcc>
  <rcc rId="3185" sId="1">
    <oc r="B128" t="inlineStr">
      <is>
        <t>Blade Inspect</t>
      </is>
    </oc>
    <nc r="B128"/>
  </rcc>
  <rcc rId="3186" sId="1">
    <oc r="C128">
      <v>1</v>
    </oc>
    <nc r="C128"/>
  </rcc>
  <rcc rId="3187" sId="1">
    <oc r="E128" t="inlineStr">
      <is>
        <t>W1027197/1</t>
      </is>
    </oc>
    <nc r="E128"/>
  </rcc>
  <rcc rId="3188" sId="1">
    <oc r="F128" t="inlineStr">
      <is>
        <t>SMI3/73-0015-0101UC</t>
      </is>
    </oc>
    <nc r="F128"/>
  </rcc>
  <rcc rId="3189" sId="1">
    <oc r="G128" t="inlineStr">
      <is>
        <t>#15 SS SURG BLD Un-Coated</t>
      </is>
    </oc>
    <nc r="G128"/>
  </rcc>
  <rcc rId="3190" sId="1">
    <oc r="H128">
      <v>3.33</v>
    </oc>
    <nc r="H128"/>
  </rcc>
  <rcc rId="3191" sId="1">
    <oc r="I128">
      <v>3.33</v>
    </oc>
    <nc r="I128"/>
  </rcc>
  <rcc rId="3192" sId="1">
    <oc r="J128">
      <v>10000</v>
    </oc>
    <nc r="J128"/>
  </rcc>
  <rcc rId="3193" sId="1">
    <oc r="K128">
      <v>0</v>
    </oc>
    <nc r="K128"/>
  </rcc>
  <rcc rId="3194" sId="1" numFmtId="19">
    <oc r="L128">
      <v>46216.125</v>
    </oc>
    <nc r="L128"/>
  </rcc>
  <rcc rId="3195" sId="1" numFmtId="19">
    <oc r="M128">
      <v>46216.256944444445</v>
    </oc>
    <nc r="M128"/>
  </rcc>
  <rcc rId="3196" sId="1">
    <oc r="AA128" t="inlineStr">
      <is>
        <t>1</t>
      </is>
    </oc>
    <nc r="AA128"/>
  </rcc>
  <rcc rId="3197" sId="1">
    <oc r="AB128" t="inlineStr">
      <is>
        <t>0</t>
      </is>
    </oc>
    <nc r="AB128"/>
  </rcc>
  <rcc rId="3198" sId="1">
    <oc r="A129" t="inlineStr">
      <is>
        <t>Zone 1</t>
      </is>
    </oc>
    <nc r="A129"/>
  </rcc>
  <rcc rId="3199" sId="1">
    <oc r="B129" t="inlineStr">
      <is>
        <t>Blade Inspect</t>
      </is>
    </oc>
    <nc r="B129"/>
  </rcc>
  <rcc rId="3200" sId="1">
    <oc r="C129">
      <v>1</v>
    </oc>
    <nc r="C129"/>
  </rcc>
  <rcc rId="3201" sId="1">
    <oc r="E129" t="inlineStr">
      <is>
        <t>W1029912/1</t>
      </is>
    </oc>
    <nc r="E129"/>
  </rcc>
  <rcc rId="3202" sId="1">
    <oc r="F129" t="inlineStr">
      <is>
        <t>SMI3/73-0010-0101UC</t>
      </is>
    </oc>
    <nc r="F129"/>
  </rcc>
  <rcc rId="3203" sId="1">
    <oc r="G129" t="inlineStr">
      <is>
        <t>#10 SS SURG BLD Un-Coated</t>
      </is>
    </oc>
    <nc r="G129"/>
  </rcc>
  <rcc rId="3204" sId="1">
    <oc r="H129">
      <v>5</v>
    </oc>
    <nc r="H129"/>
  </rcc>
  <rcc rId="3205" sId="1">
    <oc r="I129">
      <v>5</v>
    </oc>
    <nc r="I129"/>
  </rcc>
  <rcc rId="3206" sId="1">
    <oc r="J129">
      <v>15000</v>
    </oc>
    <nc r="J129"/>
  </rcc>
  <rcc rId="3207" sId="1">
    <oc r="K129">
      <v>0</v>
    </oc>
    <nc r="K129"/>
  </rcc>
  <rcc rId="3208" sId="1" numFmtId="19">
    <oc r="L129">
      <v>46216.333333333336</v>
    </oc>
    <nc r="L129"/>
  </rcc>
  <rcc rId="3209" sId="1" numFmtId="19">
    <oc r="M129">
      <v>46216.534722222219</v>
    </oc>
    <nc r="M129"/>
  </rcc>
  <rcc rId="3210" sId="1">
    <oc r="AA129" t="inlineStr">
      <is>
        <t>1</t>
      </is>
    </oc>
    <nc r="AA129"/>
  </rcc>
  <rcc rId="3211" sId="1">
    <oc r="AB129" t="inlineStr">
      <is>
        <t>0</t>
      </is>
    </oc>
    <nc r="AB129"/>
  </rcc>
  <rcc rId="3212" sId="1">
    <oc r="A130" t="inlineStr">
      <is>
        <t>Zone 1</t>
      </is>
    </oc>
    <nc r="A130"/>
  </rcc>
  <rcc rId="3213" sId="1">
    <oc r="B130" t="inlineStr">
      <is>
        <t>Blade Inspect</t>
      </is>
    </oc>
    <nc r="B130"/>
  </rcc>
  <rcc rId="3214" sId="1">
    <oc r="C130">
      <v>2</v>
    </oc>
    <nc r="C130"/>
  </rcc>
  <rcc rId="3215" sId="1">
    <oc r="E130" t="inlineStr">
      <is>
        <t>W1027732/1</t>
      </is>
    </oc>
    <nc r="E130"/>
  </rcc>
  <rcc rId="3216" sId="1">
    <oc r="F130" t="inlineStr">
      <is>
        <t>SMI3/73-0020-0101</t>
      </is>
    </oc>
    <nc r="F130"/>
  </rcc>
  <rcc rId="3217" sId="1">
    <oc r="G130" t="inlineStr">
      <is>
        <t>#20PERS SS SURG BLD Polymer-Coated</t>
      </is>
    </oc>
    <nc r="G130"/>
  </rcc>
  <rcc rId="3218" sId="1">
    <oc r="H130">
      <v>4</v>
    </oc>
    <nc r="H130"/>
  </rcc>
  <rcc rId="3219" sId="1">
    <oc r="I130">
      <v>2</v>
    </oc>
    <nc r="I130"/>
  </rcc>
  <rcc rId="3220" sId="1">
    <oc r="J130">
      <v>12000</v>
    </oc>
    <nc r="J130"/>
  </rcc>
  <rcc rId="3221" sId="1">
    <oc r="K130">
      <v>0</v>
    </oc>
    <nc r="K130"/>
  </rcc>
  <rcc rId="3222" sId="1" numFmtId="19">
    <oc r="L130">
      <v>46216.354166666664</v>
    </oc>
    <nc r="L130"/>
  </rcc>
  <rcc rId="3223" sId="1" numFmtId="19">
    <oc r="M130">
      <v>46216.430555555555</v>
    </oc>
    <nc r="M130"/>
  </rcc>
  <rcc rId="3224" sId="1">
    <oc r="AA130" t="inlineStr">
      <is>
        <t>1</t>
      </is>
    </oc>
    <nc r="AA130"/>
  </rcc>
  <rcc rId="3225" sId="1">
    <oc r="AB130" t="inlineStr">
      <is>
        <t>0</t>
      </is>
    </oc>
    <nc r="AB130"/>
  </rcc>
  <rcc rId="3226" sId="1">
    <oc r="A131" t="inlineStr">
      <is>
        <t>Zone 1</t>
      </is>
    </oc>
    <nc r="A131"/>
  </rcc>
  <rcc rId="3227" sId="1">
    <oc r="B131" t="inlineStr">
      <is>
        <t>Blade Inspect</t>
      </is>
    </oc>
    <nc r="B131"/>
  </rcc>
  <rcc rId="3228" sId="1">
    <oc r="C131">
      <v>2</v>
    </oc>
    <nc r="C131"/>
  </rcc>
  <rcc rId="3229" sId="1">
    <oc r="E131" t="inlineStr">
      <is>
        <t>W1028568/1</t>
      </is>
    </oc>
    <nc r="E131"/>
  </rcc>
  <rcc rId="3230" sId="1">
    <oc r="F131" t="inlineStr">
      <is>
        <t>SMI3/73-0015-0101</t>
      </is>
    </oc>
    <nc r="F131"/>
  </rcc>
  <rcc rId="3231" sId="1">
    <oc r="G131" t="inlineStr">
      <is>
        <t>#15 SS SURG BLD Polymer Coated</t>
      </is>
    </oc>
    <nc r="G131"/>
  </rcc>
  <rcc rId="3232" sId="1">
    <oc r="H131">
      <v>5</v>
    </oc>
    <nc r="H131"/>
  </rcc>
  <rcc rId="3233" sId="1">
    <oc r="I131">
      <v>2.5</v>
    </oc>
    <nc r="I131"/>
  </rcc>
  <rcc rId="3234" sId="1">
    <oc r="J131">
      <v>15000</v>
    </oc>
    <nc r="J131"/>
  </rcc>
  <rcc rId="3235" sId="1">
    <oc r="K131">
      <v>0</v>
    </oc>
    <nc r="K131"/>
  </rcc>
  <rcc rId="3236" sId="1" numFmtId="19">
    <oc r="L131">
      <v>46216.444444444445</v>
    </oc>
    <nc r="L131"/>
  </rcc>
  <rcc rId="3237" sId="1" numFmtId="19">
    <oc r="M131">
      <v>46216.541666666664</v>
    </oc>
    <nc r="M131"/>
  </rcc>
  <rcc rId="3238" sId="1">
    <oc r="AA131" t="inlineStr">
      <is>
        <t>1</t>
      </is>
    </oc>
    <nc r="AA131"/>
  </rcc>
  <rcc rId="3239" sId="1">
    <oc r="AB131" t="inlineStr">
      <is>
        <t>0</t>
      </is>
    </oc>
    <nc r="AB131"/>
  </rcc>
  <rcc rId="3240" sId="1">
    <oc r="A132" t="inlineStr">
      <is>
        <t>Zone 1</t>
      </is>
    </oc>
    <nc r="A132"/>
  </rcc>
  <rcc rId="3241" sId="1">
    <oc r="B132" t="inlineStr">
      <is>
        <t>Blade Inspect</t>
      </is>
    </oc>
    <nc r="B132"/>
  </rcc>
  <rcc rId="3242" sId="1">
    <oc r="C132">
      <v>2</v>
    </oc>
    <nc r="C132"/>
  </rcc>
  <rcc rId="3243" sId="1">
    <oc r="E132" t="inlineStr">
      <is>
        <t>W1028569/1</t>
      </is>
    </oc>
    <nc r="E132"/>
  </rcc>
  <rcc rId="3244" sId="1">
    <oc r="F132" t="inlineStr">
      <is>
        <t>SMI3/73-0015-0101</t>
      </is>
    </oc>
    <nc r="F132"/>
  </rcc>
  <rcc rId="3245" sId="1">
    <oc r="G132" t="inlineStr">
      <is>
        <t>#15 SS SURG BLD Polymer Coated</t>
      </is>
    </oc>
    <nc r="G132"/>
  </rcc>
  <rcc rId="3246" sId="1">
    <oc r="H132">
      <v>5</v>
    </oc>
    <nc r="H132"/>
  </rcc>
  <rcc rId="3247" sId="1">
    <oc r="I132">
      <v>2.5</v>
    </oc>
    <nc r="I132"/>
  </rcc>
  <rcc rId="3248" sId="1">
    <oc r="J132">
      <v>15000</v>
    </oc>
    <nc r="J132"/>
  </rcc>
  <rcc rId="3249" sId="1">
    <oc r="K132">
      <v>0</v>
    </oc>
    <nc r="K132"/>
  </rcc>
  <rcc rId="3250" sId="1" numFmtId="19">
    <oc r="L132">
      <v>46216.534722222219</v>
    </oc>
    <nc r="L132"/>
  </rcc>
  <rcc rId="3251" sId="1" numFmtId="19">
    <oc r="M132">
      <v>46216.631944444445</v>
    </oc>
    <nc r="M132"/>
  </rcc>
  <rcc rId="3252" sId="1">
    <oc r="AA132" t="inlineStr">
      <is>
        <t>1</t>
      </is>
    </oc>
    <nc r="AA132"/>
  </rcc>
  <rcc rId="3253" sId="1">
    <oc r="AB132" t="inlineStr">
      <is>
        <t>0</t>
      </is>
    </oc>
    <nc r="AB132"/>
  </rcc>
  <rcc rId="3254" sId="1">
    <oc r="A133" t="inlineStr">
      <is>
        <t>Zone 1</t>
      </is>
    </oc>
    <nc r="A133"/>
  </rcc>
  <rcc rId="3255" sId="1">
    <oc r="B133" t="inlineStr">
      <is>
        <t>Blade Inspect</t>
      </is>
    </oc>
    <nc r="B133"/>
  </rcc>
  <rcc rId="3256" sId="1">
    <oc r="C133">
      <v>2</v>
    </oc>
    <nc r="C133"/>
  </rcc>
  <rcc rId="3257" sId="1">
    <oc r="E133" t="inlineStr">
      <is>
        <t>W1028570/1</t>
      </is>
    </oc>
    <nc r="E133"/>
  </rcc>
  <rcc rId="3258" sId="1">
    <oc r="F133" t="inlineStr">
      <is>
        <t>SMI3/73-0015-0101</t>
      </is>
    </oc>
    <nc r="F133"/>
  </rcc>
  <rcc rId="3259" sId="1">
    <oc r="G133" t="inlineStr">
      <is>
        <t>#15 SS SURG BLD Polymer Coated</t>
      </is>
    </oc>
    <nc r="G133"/>
  </rcc>
  <rcc rId="3260" sId="1">
    <oc r="H133">
      <v>5</v>
    </oc>
    <nc r="H133"/>
  </rcc>
  <rcc rId="3261" sId="1">
    <oc r="I133">
      <v>2.5</v>
    </oc>
    <nc r="I133"/>
  </rcc>
  <rcc rId="3262" sId="1">
    <oc r="J133">
      <v>15000</v>
    </oc>
    <nc r="J133"/>
  </rcc>
  <rcc rId="3263" sId="1">
    <oc r="K133">
      <v>0</v>
    </oc>
    <nc r="K133"/>
  </rcc>
  <rcc rId="3264" sId="1" numFmtId="19">
    <oc r="L133">
      <v>46216.625</v>
    </oc>
    <nc r="L133"/>
  </rcc>
  <rcc rId="3265" sId="1" numFmtId="19">
    <oc r="M133">
      <v>46216.722222222219</v>
    </oc>
    <nc r="M133"/>
  </rcc>
  <rcc rId="3266" sId="1">
    <oc r="AA133" t="inlineStr">
      <is>
        <t>1</t>
      </is>
    </oc>
    <nc r="AA133"/>
  </rcc>
  <rcc rId="3267" sId="1">
    <oc r="AB133" t="inlineStr">
      <is>
        <t>0</t>
      </is>
    </oc>
    <nc r="AB133"/>
  </rcc>
  <rcc rId="3268" sId="1">
    <oc r="A134" t="inlineStr">
      <is>
        <t>Zone 1</t>
      </is>
    </oc>
    <nc r="A134"/>
  </rcc>
  <rcc rId="3269" sId="1">
    <oc r="B134" t="inlineStr">
      <is>
        <t>Blade Inspect</t>
      </is>
    </oc>
    <nc r="B134"/>
  </rcc>
  <rcc rId="3270" sId="1">
    <oc r="C134">
      <v>1</v>
    </oc>
    <nc r="C134"/>
  </rcc>
  <rcc rId="3271" sId="1">
    <oc r="E134" t="inlineStr">
      <is>
        <t>W1028320/1</t>
      </is>
    </oc>
    <nc r="E134"/>
  </rcc>
  <rcc rId="3272" sId="1">
    <oc r="F134" t="inlineStr">
      <is>
        <t>SMI3/73-0015-0101UC</t>
      </is>
    </oc>
    <nc r="F134"/>
  </rcc>
  <rcc rId="3273" sId="1">
    <oc r="G134" t="inlineStr">
      <is>
        <t>#15 SS SURG BLD Un-Coated</t>
      </is>
    </oc>
    <nc r="G134"/>
  </rcc>
  <rcc rId="3274" sId="1">
    <oc r="H134">
      <v>5</v>
    </oc>
    <nc r="H134"/>
  </rcc>
  <rcc rId="3275" sId="1">
    <oc r="I134">
      <v>5</v>
    </oc>
    <nc r="I134"/>
  </rcc>
  <rcc rId="3276" sId="1">
    <oc r="J134">
      <v>15000</v>
    </oc>
    <nc r="J134"/>
  </rcc>
  <rcc rId="3277" sId="1">
    <oc r="K134">
      <v>0</v>
    </oc>
    <nc r="K134"/>
  </rcc>
  <rcc rId="3278" sId="1" numFmtId="19">
    <oc r="L134">
      <v>46216.840277777781</v>
    </oc>
    <nc r="L134"/>
  </rcc>
  <rcc rId="3279" sId="1" numFmtId="19">
    <oc r="M134">
      <v>46217.041666666664</v>
    </oc>
    <nc r="M134"/>
  </rcc>
  <rcc rId="3280" sId="1">
    <oc r="AA134" t="inlineStr">
      <is>
        <t>1</t>
      </is>
    </oc>
    <nc r="AA134"/>
  </rcc>
  <rcc rId="3281" sId="1">
    <oc r="AB134" t="inlineStr">
      <is>
        <t>0</t>
      </is>
    </oc>
    <nc r="AB134"/>
  </rcc>
  <rcc rId="3282" sId="1">
    <oc r="A135" t="inlineStr">
      <is>
        <t>Zone 1</t>
      </is>
    </oc>
    <nc r="A135"/>
  </rcc>
  <rcc rId="3283" sId="1">
    <oc r="B135" t="inlineStr">
      <is>
        <t>Blade Inspect</t>
      </is>
    </oc>
    <nc r="B135"/>
  </rcc>
  <rcc rId="3284" sId="1">
    <oc r="C135">
      <v>1</v>
    </oc>
    <nc r="C135"/>
  </rcc>
  <rcc rId="3285" sId="1">
    <oc r="E135" t="inlineStr">
      <is>
        <t>W1029913/1</t>
      </is>
    </oc>
    <nc r="E135"/>
  </rcc>
  <rcc rId="3286" sId="1">
    <oc r="F135" t="inlineStr">
      <is>
        <t>SMI3/73-0010-0101UC</t>
      </is>
    </oc>
    <nc r="F135"/>
  </rcc>
  <rcc rId="3287" sId="1">
    <oc r="G135" t="inlineStr">
      <is>
        <t>#10 SS SURG BLD Un-Coated</t>
      </is>
    </oc>
    <nc r="G135"/>
  </rcc>
  <rcc rId="3288" sId="1">
    <oc r="H135">
      <v>5</v>
    </oc>
    <nc r="H135"/>
  </rcc>
  <rcc rId="3289" sId="1">
    <oc r="I135">
      <v>5</v>
    </oc>
    <nc r="I135"/>
  </rcc>
  <rcc rId="3290" sId="1">
    <oc r="J135">
      <v>15000</v>
    </oc>
    <nc r="J135"/>
  </rcc>
  <rcc rId="3291" sId="1">
    <oc r="K135">
      <v>0</v>
    </oc>
    <nc r="K135"/>
  </rcc>
  <rcc rId="3292" sId="1" numFmtId="19">
    <oc r="L135">
      <v>46217.222222222219</v>
    </oc>
    <nc r="L135"/>
  </rcc>
  <rcc rId="3293" sId="1" numFmtId="19">
    <oc r="M135">
      <v>46217.423611111109</v>
    </oc>
    <nc r="M135"/>
  </rcc>
  <rcc rId="3294" sId="1">
    <oc r="AA135" t="inlineStr">
      <is>
        <t>1</t>
      </is>
    </oc>
    <nc r="AA135"/>
  </rcc>
  <rcc rId="3295" sId="1">
    <oc r="AB135" t="inlineStr">
      <is>
        <t>0</t>
      </is>
    </oc>
    <nc r="AB135"/>
  </rcc>
  <rcc rId="3296" sId="1">
    <oc r="A136" t="inlineStr">
      <is>
        <t>Zone 1</t>
      </is>
    </oc>
    <nc r="A136"/>
  </rcc>
  <rcc rId="3297" sId="1">
    <oc r="B136" t="inlineStr">
      <is>
        <t>Blade Inspect</t>
      </is>
    </oc>
    <nc r="B136"/>
  </rcc>
  <rcc rId="3298" sId="1">
    <oc r="C136">
      <v>2</v>
    </oc>
    <nc r="C136"/>
  </rcc>
  <rcc rId="3299" sId="1">
    <oc r="E136" t="inlineStr">
      <is>
        <t>W1028571/1</t>
      </is>
    </oc>
    <nc r="E136"/>
  </rcc>
  <rcc rId="3300" sId="1">
    <oc r="F136" t="inlineStr">
      <is>
        <t>SMI3/73-0015-0101</t>
      </is>
    </oc>
    <nc r="F136"/>
  </rcc>
  <rcc rId="3301" sId="1">
    <oc r="G136" t="inlineStr">
      <is>
        <t>#15 SS SURG BLD Polymer Coated</t>
      </is>
    </oc>
    <nc r="G136"/>
  </rcc>
  <rcc rId="3302" sId="1">
    <oc r="H136">
      <v>5</v>
    </oc>
    <nc r="H136"/>
  </rcc>
  <rcc rId="3303" sId="1">
    <oc r="I136">
      <v>2.5</v>
    </oc>
    <nc r="I136"/>
  </rcc>
  <rcc rId="3304" sId="1">
    <oc r="J136">
      <v>15000</v>
    </oc>
    <nc r="J136"/>
  </rcc>
  <rcc rId="3305" sId="1">
    <oc r="K136">
      <v>0</v>
    </oc>
    <nc r="K136"/>
  </rcc>
  <rcc rId="3306" sId="1" numFmtId="19">
    <oc r="L136">
      <v>46217.381944444445</v>
    </oc>
    <nc r="L136"/>
  </rcc>
  <rcc rId="3307" sId="1" numFmtId="19">
    <oc r="M136">
      <v>46217.479166666664</v>
    </oc>
    <nc r="M136"/>
  </rcc>
  <rcc rId="3308" sId="1">
    <oc r="AA136" t="inlineStr">
      <is>
        <t>1</t>
      </is>
    </oc>
    <nc r="AA136"/>
  </rcc>
  <rcc rId="3309" sId="1">
    <oc r="AB136" t="inlineStr">
      <is>
        <t>0</t>
      </is>
    </oc>
    <nc r="AB136"/>
  </rcc>
  <rcc rId="3310" sId="1">
    <oc r="A137" t="inlineStr">
      <is>
        <t>Zone 1</t>
      </is>
    </oc>
    <nc r="A137"/>
  </rcc>
  <rcc rId="3311" sId="1">
    <oc r="B137" t="inlineStr">
      <is>
        <t>Blade Inspect</t>
      </is>
    </oc>
    <nc r="B137"/>
  </rcc>
  <rcc rId="3312" sId="1">
    <oc r="C137">
      <v>2</v>
    </oc>
    <nc r="C137"/>
  </rcc>
  <rcc rId="3313" sId="1">
    <oc r="E137" t="inlineStr">
      <is>
        <t>W1028572/1</t>
      </is>
    </oc>
    <nc r="E137"/>
  </rcc>
  <rcc rId="3314" sId="1">
    <oc r="F137" t="inlineStr">
      <is>
        <t>SMI3/73-0015-0101</t>
      </is>
    </oc>
    <nc r="F137"/>
  </rcc>
  <rcc rId="3315" sId="1">
    <oc r="G137" t="inlineStr">
      <is>
        <t>#15 SS SURG BLD Polymer Coated</t>
      </is>
    </oc>
    <nc r="G137"/>
  </rcc>
  <rcc rId="3316" sId="1">
    <oc r="H137">
      <v>5</v>
    </oc>
    <nc r="H137"/>
  </rcc>
  <rcc rId="3317" sId="1">
    <oc r="I137">
      <v>2.5</v>
    </oc>
    <nc r="I137"/>
  </rcc>
  <rcc rId="3318" sId="1">
    <oc r="J137">
      <v>15000</v>
    </oc>
    <nc r="J137"/>
  </rcc>
  <rcc rId="3319" sId="1">
    <oc r="K137">
      <v>0</v>
    </oc>
    <nc r="K137"/>
  </rcc>
  <rcc rId="3320" sId="1" numFmtId="19">
    <oc r="L137">
      <v>46217.472222222219</v>
    </oc>
    <nc r="L137"/>
  </rcc>
  <rcc rId="3321" sId="1" numFmtId="19">
    <oc r="M137">
      <v>46217.569444444445</v>
    </oc>
    <nc r="M137"/>
  </rcc>
  <rcc rId="3322" sId="1">
    <oc r="AA137" t="inlineStr">
      <is>
        <t>1</t>
      </is>
    </oc>
    <nc r="AA137"/>
  </rcc>
  <rcc rId="3323" sId="1">
    <oc r="AB137" t="inlineStr">
      <is>
        <t>0</t>
      </is>
    </oc>
    <nc r="AB137"/>
  </rcc>
  <rcc rId="3324" sId="1">
    <oc r="A138" t="inlineStr">
      <is>
        <t>Zone 1</t>
      </is>
    </oc>
    <nc r="A138"/>
  </rcc>
  <rcc rId="3325" sId="1">
    <oc r="B138" t="inlineStr">
      <is>
        <t>Blade Inspect</t>
      </is>
    </oc>
    <nc r="B138"/>
  </rcc>
  <rcc rId="3326" sId="1">
    <oc r="C138">
      <v>1</v>
    </oc>
    <nc r="C138"/>
  </rcc>
  <rcc rId="3327" sId="1">
    <oc r="E138" t="inlineStr">
      <is>
        <t>W1028928/1</t>
      </is>
    </oc>
    <nc r="E138"/>
  </rcc>
  <rcc rId="3328" sId="1">
    <oc r="F138" t="inlineStr">
      <is>
        <t>SMI3/73-0015-0101UC</t>
      </is>
    </oc>
    <nc r="F138"/>
  </rcc>
  <rcc rId="3329" sId="1">
    <oc r="G138" t="inlineStr">
      <is>
        <t>#15 SS SURG BLD Un-Coated</t>
      </is>
    </oc>
    <nc r="G138"/>
  </rcc>
  <rcc rId="3330" sId="1">
    <oc r="H138">
      <v>5</v>
    </oc>
    <nc r="H138"/>
  </rcc>
  <rcc rId="3331" sId="1">
    <oc r="I138">
      <v>5</v>
    </oc>
    <nc r="I138"/>
  </rcc>
  <rcc rId="3332" sId="1">
    <oc r="J138">
      <v>15000</v>
    </oc>
    <nc r="J138"/>
  </rcc>
  <rcc rId="3333" sId="1">
    <oc r="K138">
      <v>0</v>
    </oc>
    <nc r="K138"/>
  </rcc>
  <rcc rId="3334" sId="1" numFmtId="19">
    <oc r="L138">
      <v>46217.555555555555</v>
    </oc>
    <nc r="L138"/>
  </rcc>
  <rcc rId="3335" sId="1" numFmtId="19">
    <oc r="M138">
      <v>46217.756944444445</v>
    </oc>
    <nc r="M138"/>
  </rcc>
  <rcc rId="3336" sId="1">
    <oc r="AA138" t="inlineStr">
      <is>
        <t>1</t>
      </is>
    </oc>
    <nc r="AA138"/>
  </rcc>
  <rcc rId="3337" sId="1">
    <oc r="AB138" t="inlineStr">
      <is>
        <t>0</t>
      </is>
    </oc>
    <nc r="AB138"/>
  </rcc>
  <rcc rId="3338" sId="1">
    <oc r="A139" t="inlineStr">
      <is>
        <t>Zone 1</t>
      </is>
    </oc>
    <nc r="A139"/>
  </rcc>
  <rcc rId="3339" sId="1">
    <oc r="B139" t="inlineStr">
      <is>
        <t>Blade Inspect</t>
      </is>
    </oc>
    <nc r="B139"/>
  </rcc>
  <rcc rId="3340" sId="1">
    <oc r="C139">
      <v>2</v>
    </oc>
    <nc r="C139"/>
  </rcc>
  <rcc rId="3341" sId="1">
    <oc r="E139" t="inlineStr">
      <is>
        <t>W1028573/1</t>
      </is>
    </oc>
    <nc r="E139"/>
  </rcc>
  <rcc rId="3342" sId="1">
    <oc r="F139" t="inlineStr">
      <is>
        <t>SMI3/73-0015-0101</t>
      </is>
    </oc>
    <nc r="F139"/>
  </rcc>
  <rcc rId="3343" sId="1">
    <oc r="G139" t="inlineStr">
      <is>
        <t>#15 SS SURG BLD Polymer Coated</t>
      </is>
    </oc>
    <nc r="G139"/>
  </rcc>
  <rcc rId="3344" sId="1">
    <oc r="H139">
      <v>5</v>
    </oc>
    <nc r="H139"/>
  </rcc>
  <rcc rId="3345" sId="1">
    <oc r="I139">
      <v>2.5</v>
    </oc>
    <nc r="I139"/>
  </rcc>
  <rcc rId="3346" sId="1">
    <oc r="J139">
      <v>15000</v>
    </oc>
    <nc r="J139"/>
  </rcc>
  <rcc rId="3347" sId="1">
    <oc r="K139">
      <v>0</v>
    </oc>
    <nc r="K139"/>
  </rcc>
  <rcc rId="3348" sId="1" numFmtId="19">
    <oc r="L139">
      <v>46217.5625</v>
    </oc>
    <nc r="L139"/>
  </rcc>
  <rcc rId="3349" sId="1" numFmtId="19">
    <oc r="M139">
      <v>46217.659722222219</v>
    </oc>
    <nc r="M139"/>
  </rcc>
  <rcc rId="3350" sId="1">
    <oc r="AA139" t="inlineStr">
      <is>
        <t>1</t>
      </is>
    </oc>
    <nc r="AA139"/>
  </rcc>
  <rcc rId="3351" sId="1">
    <oc r="AB139" t="inlineStr">
      <is>
        <t>0</t>
      </is>
    </oc>
    <nc r="AB139"/>
  </rcc>
  <rcc rId="3352" sId="1">
    <oc r="A140" t="inlineStr">
      <is>
        <t>Zone 1</t>
      </is>
    </oc>
    <nc r="A140"/>
  </rcc>
  <rcc rId="3353" sId="1">
    <oc r="B140" t="inlineStr">
      <is>
        <t>Blade Inspect</t>
      </is>
    </oc>
    <nc r="B140"/>
  </rcc>
  <rcc rId="3354" sId="1">
    <oc r="C140">
      <v>1</v>
    </oc>
    <nc r="C140"/>
  </rcc>
  <rcc rId="3355" sId="1">
    <oc r="E140" t="inlineStr">
      <is>
        <t>W1028933/1</t>
      </is>
    </oc>
    <nc r="E140"/>
  </rcc>
  <rcc rId="3356" sId="1">
    <oc r="F140" t="inlineStr">
      <is>
        <t>SMI3/73-0015-0101UC</t>
      </is>
    </oc>
    <nc r="F140"/>
  </rcc>
  <rcc rId="3357" sId="1">
    <oc r="G140" t="inlineStr">
      <is>
        <t>#15 SS SURG BLD Un-Coated</t>
      </is>
    </oc>
    <nc r="G140"/>
  </rcc>
  <rcc rId="3358" sId="1">
    <oc r="H140">
      <v>5</v>
    </oc>
    <nc r="H140"/>
  </rcc>
  <rcc rId="3359" sId="1">
    <oc r="I140">
      <v>5</v>
    </oc>
    <nc r="I140"/>
  </rcc>
  <rcc rId="3360" sId="1">
    <oc r="J140">
      <v>15000</v>
    </oc>
    <nc r="J140"/>
  </rcc>
  <rcc rId="3361" sId="1">
    <oc r="K140">
      <v>0</v>
    </oc>
    <nc r="K140"/>
  </rcc>
  <rcc rId="3362" sId="1" numFmtId="19">
    <oc r="L140">
      <v>46217.701388888891</v>
    </oc>
    <nc r="L140"/>
  </rcc>
  <rcc rId="3363" sId="1" numFmtId="19">
    <oc r="M140">
      <v>46217.902777777781</v>
    </oc>
    <nc r="M140"/>
  </rcc>
  <rcc rId="3364" sId="1">
    <oc r="AA140" t="inlineStr">
      <is>
        <t>1</t>
      </is>
    </oc>
    <nc r="AA140"/>
  </rcc>
  <rcc rId="3365" sId="1">
    <oc r="AB140" t="inlineStr">
      <is>
        <t>0</t>
      </is>
    </oc>
    <nc r="AB140"/>
  </rcc>
  <rcc rId="3366" sId="1">
    <oc r="A141" t="inlineStr">
      <is>
        <t>Zone 1</t>
      </is>
    </oc>
    <nc r="A141"/>
  </rcc>
  <rcc rId="3367" sId="1">
    <oc r="B141" t="inlineStr">
      <is>
        <t>Blade Inspect</t>
      </is>
    </oc>
    <nc r="B141"/>
  </rcc>
  <rcc rId="3368" sId="1">
    <oc r="C141">
      <v>1</v>
    </oc>
    <nc r="C141"/>
  </rcc>
  <rcc rId="3369" sId="1">
    <oc r="E141" t="inlineStr">
      <is>
        <t>W1029914/1</t>
      </is>
    </oc>
    <nc r="E141"/>
  </rcc>
  <rcc rId="3370" sId="1">
    <oc r="F141" t="inlineStr">
      <is>
        <t>SMI3/73-0010-0101UC</t>
      </is>
    </oc>
    <nc r="F141"/>
  </rcc>
  <rcc rId="3371" sId="1">
    <oc r="G141" t="inlineStr">
      <is>
        <t>#10 SS SURG BLD Un-Coated</t>
      </is>
    </oc>
    <nc r="G141"/>
  </rcc>
  <rcc rId="3372" sId="1">
    <oc r="H141">
      <v>5</v>
    </oc>
    <nc r="H141"/>
  </rcc>
  <rcc rId="3373" sId="1">
    <oc r="I141">
      <v>5</v>
    </oc>
    <nc r="I141"/>
  </rcc>
  <rcc rId="3374" sId="1">
    <oc r="J141">
      <v>15000</v>
    </oc>
    <nc r="J141"/>
  </rcc>
  <rcc rId="3375" sId="1">
    <oc r="K141">
      <v>0</v>
    </oc>
    <nc r="K141"/>
  </rcc>
  <rcc rId="3376" sId="1" numFmtId="19">
    <oc r="L141">
      <v>46218.111111111109</v>
    </oc>
    <nc r="L141"/>
  </rcc>
  <rcc rId="3377" sId="1" numFmtId="19">
    <oc r="M141">
      <v>46218.3125</v>
    </oc>
    <nc r="M141"/>
  </rcc>
  <rcc rId="3378" sId="1">
    <oc r="AA141" t="inlineStr">
      <is>
        <t>1</t>
      </is>
    </oc>
    <nc r="AA141"/>
  </rcc>
  <rcc rId="3379" sId="1">
    <oc r="AB141" t="inlineStr">
      <is>
        <t>0</t>
      </is>
    </oc>
    <nc r="AB141"/>
  </rcc>
  <rcc rId="3380" sId="1">
    <oc r="A142" t="inlineStr">
      <is>
        <t>Zone 1</t>
      </is>
    </oc>
    <nc r="A142"/>
  </rcc>
  <rcc rId="3381" sId="1">
    <oc r="B142" t="inlineStr">
      <is>
        <t>Blade Inspect</t>
      </is>
    </oc>
    <nc r="B142"/>
  </rcc>
  <rcc rId="3382" sId="1">
    <oc r="C142">
      <v>2</v>
    </oc>
    <nc r="C142"/>
  </rcc>
  <rcc rId="3383" sId="1">
    <oc r="E142" t="inlineStr">
      <is>
        <t>W1027104/1</t>
      </is>
    </oc>
    <nc r="E142"/>
  </rcc>
  <rcc rId="3384" sId="1">
    <oc r="F142" t="inlineStr">
      <is>
        <t>SMI3/73-0010R-0101</t>
      </is>
    </oc>
    <nc r="F142"/>
  </rcc>
  <rcc rId="3385" sId="1">
    <oc r="G142" t="inlineStr">
      <is>
        <t>#10R SS SURG BLD Polymer Coated</t>
      </is>
    </oc>
    <nc r="G142"/>
  </rcc>
  <rcc rId="3386" sId="1">
    <oc r="H142">
      <v>6.6</v>
    </oc>
    <nc r="H142"/>
  </rcc>
  <rcc rId="3387" sId="1">
    <oc r="I142">
      <v>3.3</v>
    </oc>
    <nc r="I142"/>
  </rcc>
  <rcc rId="3388" sId="1">
    <oc r="J142">
      <v>19800</v>
    </oc>
    <nc r="J142"/>
  </rcc>
  <rcc rId="3389" sId="1">
    <oc r="K142">
      <v>0</v>
    </oc>
    <nc r="K142"/>
  </rcc>
  <rcc rId="3390" sId="1" numFmtId="19">
    <oc r="L142">
      <v>46218.347222222219</v>
    </oc>
    <nc r="L142"/>
  </rcc>
  <rcc rId="3391" sId="1" numFmtId="19">
    <oc r="M142">
      <v>46218.479166666664</v>
    </oc>
    <nc r="M142"/>
  </rcc>
  <rcc rId="3392" sId="1">
    <oc r="AA142" t="inlineStr">
      <is>
        <t>1</t>
      </is>
    </oc>
    <nc r="AA142"/>
  </rcc>
  <rcc rId="3393" sId="1">
    <oc r="AB142" t="inlineStr">
      <is>
        <t>0</t>
      </is>
    </oc>
    <nc r="AB142"/>
  </rcc>
  <rcc rId="3394" sId="1">
    <oc r="A143" t="inlineStr">
      <is>
        <t>Zone 1</t>
      </is>
    </oc>
    <nc r="A143"/>
  </rcc>
  <rcc rId="3395" sId="1">
    <oc r="B143" t="inlineStr">
      <is>
        <t>Blade Inspect</t>
      </is>
    </oc>
    <nc r="B143"/>
  </rcc>
  <rcc rId="3396" sId="1">
    <oc r="C143">
      <v>2</v>
    </oc>
    <nc r="C143"/>
  </rcc>
  <rcc rId="3397" sId="1">
    <oc r="E143" t="inlineStr">
      <is>
        <t>W1029388/1</t>
      </is>
    </oc>
    <nc r="E143"/>
  </rcc>
  <rcc rId="3398" sId="1">
    <oc r="F143" t="inlineStr">
      <is>
        <t>SMI3/73-0010-0101</t>
      </is>
    </oc>
    <nc r="F143"/>
  </rcc>
  <rcc rId="3399" sId="1">
    <oc r="G143" t="inlineStr">
      <is>
        <t>#10 SS SURG BLD Polymer Coated</t>
      </is>
    </oc>
    <nc r="G143"/>
  </rcc>
  <rcc rId="3400" sId="1">
    <oc r="H143">
      <v>5</v>
    </oc>
    <nc r="H143"/>
  </rcc>
  <rcc rId="3401" sId="1">
    <oc r="I143">
      <v>2.5</v>
    </oc>
    <nc r="I143"/>
  </rcc>
  <rcc rId="3402" sId="1">
    <oc r="J143">
      <v>15000</v>
    </oc>
    <nc r="J143"/>
  </rcc>
  <rcc rId="3403" sId="1">
    <oc r="K143">
      <v>0</v>
    </oc>
    <nc r="K143"/>
  </rcc>
  <rcc rId="3404" sId="1" numFmtId="19">
    <oc r="L143">
      <v>46218.354166666664</v>
    </oc>
    <nc r="L143"/>
  </rcc>
  <rcc rId="3405" sId="1" numFmtId="19">
    <oc r="M143">
      <v>46218.451388888891</v>
    </oc>
    <nc r="M143"/>
  </rcc>
  <rcc rId="3406" sId="1">
    <oc r="AA143" t="inlineStr">
      <is>
        <t>1</t>
      </is>
    </oc>
    <nc r="AA143"/>
  </rcc>
  <rcc rId="3407" sId="1">
    <oc r="AB143" t="inlineStr">
      <is>
        <t>0</t>
      </is>
    </oc>
    <nc r="AB143"/>
  </rcc>
  <rcc rId="3408" sId="1">
    <oc r="A144" t="inlineStr">
      <is>
        <t>Zone 1</t>
      </is>
    </oc>
    <nc r="A144"/>
  </rcc>
  <rcc rId="3409" sId="1">
    <oc r="B144" t="inlineStr">
      <is>
        <t>Blade Inspect</t>
      </is>
    </oc>
    <nc r="B144"/>
  </rcc>
  <rcc rId="3410" sId="1">
    <oc r="C144">
      <v>1</v>
    </oc>
    <nc r="C144"/>
  </rcc>
  <rcc rId="3411" sId="1">
    <oc r="E144" t="inlineStr">
      <is>
        <t>W1028934/1</t>
      </is>
    </oc>
    <nc r="E144"/>
  </rcc>
  <rcc rId="3412" sId="1">
    <oc r="F144" t="inlineStr">
      <is>
        <t>SMI3/73-0015-0101UC</t>
      </is>
    </oc>
    <nc r="F144"/>
  </rcc>
  <rcc rId="3413" sId="1">
    <oc r="G144" t="inlineStr">
      <is>
        <t>#15 SS SURG BLD Un-Coated</t>
      </is>
    </oc>
    <nc r="G144"/>
  </rcc>
  <rcc rId="3414" sId="1">
    <oc r="H144">
      <v>5</v>
    </oc>
    <nc r="H144"/>
  </rcc>
  <rcc rId="3415" sId="1">
    <oc r="I144">
      <v>5</v>
    </oc>
    <nc r="I144"/>
  </rcc>
  <rcc rId="3416" sId="1">
    <oc r="J144">
      <v>15000</v>
    </oc>
    <nc r="J144"/>
  </rcc>
  <rcc rId="3417" sId="1">
    <oc r="K144">
      <v>0</v>
    </oc>
    <nc r="K144"/>
  </rcc>
  <rcc rId="3418" sId="1" numFmtId="19">
    <oc r="L144">
      <v>46218.416666666664</v>
    </oc>
    <nc r="L144"/>
  </rcc>
  <rcc rId="3419" sId="1" numFmtId="19">
    <oc r="M144">
      <v>46218.618055555555</v>
    </oc>
    <nc r="M144"/>
  </rcc>
  <rcc rId="3420" sId="1">
    <oc r="AA144" t="inlineStr">
      <is>
        <t>1</t>
      </is>
    </oc>
    <nc r="AA144"/>
  </rcc>
  <rcc rId="3421" sId="1">
    <oc r="AB144" t="inlineStr">
      <is>
        <t>0</t>
      </is>
    </oc>
    <nc r="AB144"/>
  </rcc>
  <rcc rId="3422" sId="1">
    <oc r="A145" t="inlineStr">
      <is>
        <t>Zone 1</t>
      </is>
    </oc>
    <nc r="A145"/>
  </rcc>
  <rcc rId="3423" sId="1">
    <oc r="B145" t="inlineStr">
      <is>
        <t>Blade Inspect</t>
      </is>
    </oc>
    <nc r="B145"/>
  </rcc>
  <rcc rId="3424" sId="1">
    <oc r="C145">
      <v>2</v>
    </oc>
    <nc r="C145"/>
  </rcc>
  <rcc rId="3425" sId="1">
    <oc r="E145" t="inlineStr">
      <is>
        <t>W1029389/1</t>
      </is>
    </oc>
    <nc r="E145"/>
  </rcc>
  <rcc rId="3426" sId="1">
    <oc r="F145" t="inlineStr">
      <is>
        <t>SMI3/73-0010-0101</t>
      </is>
    </oc>
    <nc r="F145"/>
  </rcc>
  <rcc rId="3427" sId="1">
    <oc r="G145" t="inlineStr">
      <is>
        <t>#10 SS SURG BLD Polymer Coated</t>
      </is>
    </oc>
    <nc r="G145"/>
  </rcc>
  <rcc rId="3428" sId="1">
    <oc r="H145">
      <v>5</v>
    </oc>
    <nc r="H145"/>
  </rcc>
  <rcc rId="3429" sId="1">
    <oc r="I145">
      <v>2.5</v>
    </oc>
    <nc r="I145"/>
  </rcc>
  <rcc rId="3430" sId="1">
    <oc r="J145">
      <v>15000</v>
    </oc>
    <nc r="J145"/>
  </rcc>
  <rcc rId="3431" sId="1">
    <oc r="K145">
      <v>0</v>
    </oc>
    <nc r="K145"/>
  </rcc>
  <rcc rId="3432" sId="1" numFmtId="19">
    <oc r="L145">
      <v>46218.444444444445</v>
    </oc>
    <nc r="L145"/>
  </rcc>
  <rcc rId="3433" sId="1" numFmtId="19">
    <oc r="M145">
      <v>46218.541666666664</v>
    </oc>
    <nc r="M145"/>
  </rcc>
  <rcc rId="3434" sId="1">
    <oc r="AA145" t="inlineStr">
      <is>
        <t>1</t>
      </is>
    </oc>
    <nc r="AA145"/>
  </rcc>
  <rcc rId="3435" sId="1">
    <oc r="AB145" t="inlineStr">
      <is>
        <t>0</t>
      </is>
    </oc>
    <nc r="AB145"/>
  </rcc>
  <rcc rId="3436" sId="1">
    <oc r="A146" t="inlineStr">
      <is>
        <t>Zone 1</t>
      </is>
    </oc>
    <nc r="A146"/>
  </rcc>
  <rcc rId="3437" sId="1">
    <oc r="B146" t="inlineStr">
      <is>
        <t>Blade Inspect</t>
      </is>
    </oc>
    <nc r="B146"/>
  </rcc>
  <rcc rId="3438" sId="1">
    <oc r="C146">
      <v>2</v>
    </oc>
    <nc r="C146"/>
  </rcc>
  <rcc rId="3439" sId="1">
    <oc r="E146" t="inlineStr">
      <is>
        <t>W1029116/1</t>
      </is>
    </oc>
    <nc r="E146"/>
  </rcc>
  <rcc rId="3440" sId="1">
    <oc r="F146" t="inlineStr">
      <is>
        <t>SMI3/73-0015-0101</t>
      </is>
    </oc>
    <nc r="F146"/>
  </rcc>
  <rcc rId="3441" sId="1">
    <oc r="G146" t="inlineStr">
      <is>
        <t>#15 SS SURG BLD Polymer Coated</t>
      </is>
    </oc>
    <nc r="G146"/>
  </rcc>
  <rcc rId="3442" sId="1">
    <oc r="H146">
      <v>5</v>
    </oc>
    <nc r="H146"/>
  </rcc>
  <rcc rId="3443" sId="1">
    <oc r="I146">
      <v>2.5</v>
    </oc>
    <nc r="I146"/>
  </rcc>
  <rcc rId="3444" sId="1">
    <oc r="J146">
      <v>15000</v>
    </oc>
    <nc r="J146"/>
  </rcc>
  <rcc rId="3445" sId="1">
    <oc r="K146">
      <v>0</v>
    </oc>
    <nc r="K146"/>
  </rcc>
  <rcc rId="3446" sId="1" numFmtId="19">
    <oc r="L146">
      <v>46218.534722222219</v>
    </oc>
    <nc r="L146"/>
  </rcc>
  <rcc rId="3447" sId="1" numFmtId="19">
    <oc r="M146">
      <v>46218.631944444445</v>
    </oc>
    <nc r="M146"/>
  </rcc>
  <rcc rId="3448" sId="1">
    <oc r="AA146" t="inlineStr">
      <is>
        <t>1</t>
      </is>
    </oc>
    <nc r="AA146"/>
  </rcc>
  <rcc rId="3449" sId="1">
    <oc r="AB146" t="inlineStr">
      <is>
        <t>0</t>
      </is>
    </oc>
    <nc r="AB146"/>
  </rcc>
  <rcc rId="3450" sId="1">
    <oc r="A147" t="inlineStr">
      <is>
        <t>Zone 1</t>
      </is>
    </oc>
    <nc r="A147"/>
  </rcc>
  <rcc rId="3451" sId="1">
    <oc r="B147" t="inlineStr">
      <is>
        <t>Blade Inspect</t>
      </is>
    </oc>
    <nc r="B147"/>
  </rcc>
  <rcc rId="3452" sId="1">
    <oc r="C147">
      <v>2</v>
    </oc>
    <nc r="C147"/>
  </rcc>
  <rcc rId="3453" sId="1">
    <oc r="E147" t="inlineStr">
      <is>
        <t>W1029113/1</t>
      </is>
    </oc>
    <nc r="E147"/>
  </rcc>
  <rcc rId="3454" sId="1">
    <oc r="F147" t="inlineStr">
      <is>
        <t>SMI3/73-0015-0101</t>
      </is>
    </oc>
    <nc r="F147"/>
  </rcc>
  <rcc rId="3455" sId="1">
    <oc r="G147" t="inlineStr">
      <is>
        <t>#15 SS SURG BLD Polymer Coated</t>
      </is>
    </oc>
    <nc r="G147"/>
  </rcc>
  <rcc rId="3456" sId="1">
    <oc r="H147">
      <v>5</v>
    </oc>
    <nc r="H147"/>
  </rcc>
  <rcc rId="3457" sId="1">
    <oc r="I147">
      <v>2.5</v>
    </oc>
    <nc r="I147"/>
  </rcc>
  <rcc rId="3458" sId="1">
    <oc r="J147">
      <v>15000</v>
    </oc>
    <nc r="J147"/>
  </rcc>
  <rcc rId="3459" sId="1">
    <oc r="K147">
      <v>0</v>
    </oc>
    <nc r="K147"/>
  </rcc>
  <rcc rId="3460" sId="1" numFmtId="19">
    <oc r="L147">
      <v>46218.625</v>
    </oc>
    <nc r="L147"/>
  </rcc>
  <rcc rId="3461" sId="1" numFmtId="19">
    <oc r="M147">
      <v>46218.722222222219</v>
    </oc>
    <nc r="M147"/>
  </rcc>
  <rcc rId="3462" sId="1">
    <oc r="AA147" t="inlineStr">
      <is>
        <t>1</t>
      </is>
    </oc>
    <nc r="AA147"/>
  </rcc>
  <rcc rId="3463" sId="1">
    <oc r="AB147" t="inlineStr">
      <is>
        <t>0</t>
      </is>
    </oc>
    <nc r="AB147"/>
  </rcc>
  <rcc rId="3464" sId="1">
    <oc r="A148" t="inlineStr">
      <is>
        <t>Zone 1</t>
      </is>
    </oc>
    <nc r="A148"/>
  </rcc>
  <rcc rId="3465" sId="1">
    <oc r="B148" t="inlineStr">
      <is>
        <t>Blade Inspect</t>
      </is>
    </oc>
    <nc r="B148"/>
  </rcc>
  <rcc rId="3466" sId="1">
    <oc r="C148">
      <v>1</v>
    </oc>
    <nc r="C148"/>
  </rcc>
  <rcc rId="3467" sId="1">
    <oc r="E148" t="inlineStr">
      <is>
        <t>W1029915/1</t>
      </is>
    </oc>
    <nc r="E148"/>
  </rcc>
  <rcc rId="3468" sId="1">
    <oc r="F148" t="inlineStr">
      <is>
        <t>SMI3/73-0010-0101UC</t>
      </is>
    </oc>
    <nc r="F148"/>
  </rcc>
  <rcc rId="3469" sId="1">
    <oc r="G148" t="inlineStr">
      <is>
        <t>#10 SS SURG BLD Un-Coated</t>
      </is>
    </oc>
    <nc r="G148"/>
  </rcc>
  <rcc rId="3470" sId="1">
    <oc r="H148">
      <v>5</v>
    </oc>
    <nc r="H148"/>
  </rcc>
  <rcc rId="3471" sId="1">
    <oc r="I148">
      <v>5</v>
    </oc>
    <nc r="I148"/>
  </rcc>
  <rcc rId="3472" sId="1">
    <oc r="J148">
      <v>15000</v>
    </oc>
    <nc r="J148"/>
  </rcc>
  <rcc rId="3473" sId="1">
    <oc r="K148">
      <v>0</v>
    </oc>
    <nc r="K148"/>
  </rcc>
  <rcc rId="3474" sId="1" numFmtId="19">
    <oc r="L148">
      <v>46219</v>
    </oc>
    <nc r="L148"/>
  </rcc>
  <rcc rId="3475" sId="1" numFmtId="19">
    <oc r="M148">
      <v>46219.201388888891</v>
    </oc>
    <nc r="M148"/>
  </rcc>
  <rcc rId="3476" sId="1">
    <oc r="AA148" t="inlineStr">
      <is>
        <t>1</t>
      </is>
    </oc>
    <nc r="AA148"/>
  </rcc>
  <rcc rId="3477" sId="1">
    <oc r="AB148" t="inlineStr">
      <is>
        <t>0</t>
      </is>
    </oc>
    <nc r="AB148"/>
  </rcc>
  <rcc rId="3478" sId="1">
    <oc r="A149" t="inlineStr">
      <is>
        <t>Zone 1</t>
      </is>
    </oc>
    <nc r="A149"/>
  </rcc>
  <rcc rId="3479" sId="1">
    <oc r="B149" t="inlineStr">
      <is>
        <t>Blade Inspect</t>
      </is>
    </oc>
    <nc r="B149"/>
  </rcc>
  <rcc rId="3480" sId="1">
    <oc r="C149">
      <v>1</v>
    </oc>
    <nc r="C149"/>
  </rcc>
  <rcc rId="3481" sId="1">
    <oc r="E149" t="inlineStr">
      <is>
        <t>W1028935/1</t>
      </is>
    </oc>
    <nc r="E149"/>
  </rcc>
  <rcc rId="3482" sId="1">
    <oc r="F149" t="inlineStr">
      <is>
        <t>SMI3/73-0015-0101UC</t>
      </is>
    </oc>
    <nc r="F149"/>
  </rcc>
  <rcc rId="3483" sId="1">
    <oc r="G149" t="inlineStr">
      <is>
        <t>#15 SS SURG BLD Un-Coated</t>
      </is>
    </oc>
    <nc r="G149"/>
  </rcc>
  <rcc rId="3484" sId="1">
    <oc r="H149">
      <v>5</v>
    </oc>
    <nc r="H149"/>
  </rcc>
  <rcc rId="3485" sId="1">
    <oc r="I149">
      <v>5</v>
    </oc>
    <nc r="I149"/>
  </rcc>
  <rcc rId="3486" sId="1">
    <oc r="J149">
      <v>15000</v>
    </oc>
    <nc r="J149"/>
  </rcc>
  <rcc rId="3487" sId="1">
    <oc r="K149">
      <v>0</v>
    </oc>
    <nc r="K149"/>
  </rcc>
  <rcc rId="3488" sId="1" numFmtId="19">
    <oc r="L149">
      <v>46219.131944444445</v>
    </oc>
    <nc r="L149"/>
  </rcc>
  <rcc rId="3489" sId="1" numFmtId="19">
    <oc r="M149">
      <v>46219.333333333336</v>
    </oc>
    <nc r="M149"/>
  </rcc>
  <rcc rId="3490" sId="1">
    <oc r="AA149" t="inlineStr">
      <is>
        <t>1</t>
      </is>
    </oc>
    <nc r="AA149"/>
  </rcc>
  <rcc rId="3491" sId="1">
    <oc r="AB149" t="inlineStr">
      <is>
        <t>0</t>
      </is>
    </oc>
    <nc r="AB149"/>
  </rcc>
  <rcc rId="3492" sId="1">
    <oc r="A150" t="inlineStr">
      <is>
        <t>Zone 1</t>
      </is>
    </oc>
    <nc r="A150"/>
  </rcc>
  <rcc rId="3493" sId="1">
    <oc r="B150" t="inlineStr">
      <is>
        <t>Blade Inspect</t>
      </is>
    </oc>
    <nc r="B150"/>
  </rcc>
  <rcc rId="3494" sId="1">
    <oc r="C150">
      <v>2</v>
    </oc>
    <nc r="C150"/>
  </rcc>
  <rcc rId="3495" sId="1">
    <oc r="E150" t="inlineStr">
      <is>
        <t>W1029114/1</t>
      </is>
    </oc>
    <nc r="E150"/>
  </rcc>
  <rcc rId="3496" sId="1">
    <oc r="F150" t="inlineStr">
      <is>
        <t>SMI3/73-0015-0101</t>
      </is>
    </oc>
    <nc r="F150"/>
  </rcc>
  <rcc rId="3497" sId="1">
    <oc r="G150" t="inlineStr">
      <is>
        <t>#15 SS SURG BLD Polymer Coated</t>
      </is>
    </oc>
    <nc r="G150"/>
  </rcc>
  <rcc rId="3498" sId="1">
    <oc r="H150">
      <v>5</v>
    </oc>
    <nc r="H150"/>
  </rcc>
  <rcc rId="3499" sId="1">
    <oc r="I150">
      <v>2.5</v>
    </oc>
    <nc r="I150"/>
  </rcc>
  <rcc rId="3500" sId="1">
    <oc r="J150">
      <v>15000</v>
    </oc>
    <nc r="J150"/>
  </rcc>
  <rcc rId="3501" sId="1">
    <oc r="K150">
      <v>0</v>
    </oc>
    <nc r="K150"/>
  </rcc>
  <rcc rId="3502" sId="1" numFmtId="19">
    <oc r="L150">
      <v>46219.381944444445</v>
    </oc>
    <nc r="L150"/>
  </rcc>
  <rcc rId="3503" sId="1" numFmtId="19">
    <oc r="M150">
      <v>46219.479166666664</v>
    </oc>
    <nc r="M150"/>
  </rcc>
  <rcc rId="3504" sId="1">
    <oc r="AA150" t="inlineStr">
      <is>
        <t>1</t>
      </is>
    </oc>
    <nc r="AA150"/>
  </rcc>
  <rcc rId="3505" sId="1">
    <oc r="AB150" t="inlineStr">
      <is>
        <t>0</t>
      </is>
    </oc>
    <nc r="AB150"/>
  </rcc>
  <rcc rId="3506" sId="1">
    <oc r="A151" t="inlineStr">
      <is>
        <t>Zone 1</t>
      </is>
    </oc>
    <nc r="A151"/>
  </rcc>
  <rcc rId="3507" sId="1">
    <oc r="B151" t="inlineStr">
      <is>
        <t>Blade Inspect</t>
      </is>
    </oc>
    <nc r="B151"/>
  </rcc>
  <rcc rId="3508" sId="1">
    <oc r="C151">
      <v>2</v>
    </oc>
    <nc r="C151"/>
  </rcc>
  <rcc rId="3509" sId="1">
    <oc r="E151" t="inlineStr">
      <is>
        <t>W1029115/1</t>
      </is>
    </oc>
    <nc r="E151"/>
  </rcc>
  <rcc rId="3510" sId="1">
    <oc r="F151" t="inlineStr">
      <is>
        <t>SMI3/73-0015-0101</t>
      </is>
    </oc>
    <nc r="F151"/>
  </rcc>
  <rcc rId="3511" sId="1">
    <oc r="G151" t="inlineStr">
      <is>
        <t>#15 SS SURG BLD Polymer Coated</t>
      </is>
    </oc>
    <nc r="G151"/>
  </rcc>
  <rcc rId="3512" sId="1">
    <oc r="H151">
      <v>5</v>
    </oc>
    <nc r="H151"/>
  </rcc>
  <rcc rId="3513" sId="1">
    <oc r="I151">
      <v>2.5</v>
    </oc>
    <nc r="I151"/>
  </rcc>
  <rcc rId="3514" sId="1">
    <oc r="J151">
      <v>15000</v>
    </oc>
    <nc r="J151"/>
  </rcc>
  <rcc rId="3515" sId="1">
    <oc r="K151">
      <v>0</v>
    </oc>
    <nc r="K151"/>
  </rcc>
  <rcc rId="3516" sId="1" numFmtId="19">
    <oc r="L151">
      <v>46219.472222222219</v>
    </oc>
    <nc r="L151"/>
  </rcc>
  <rcc rId="3517" sId="1" numFmtId="19">
    <oc r="M151">
      <v>46219.569444444445</v>
    </oc>
    <nc r="M151"/>
  </rcc>
  <rcc rId="3518" sId="1">
    <oc r="AA151" t="inlineStr">
      <is>
        <t>1</t>
      </is>
    </oc>
    <nc r="AA151"/>
  </rcc>
  <rcc rId="3519" sId="1">
    <oc r="AB151" t="inlineStr">
      <is>
        <t>0</t>
      </is>
    </oc>
    <nc r="AB151"/>
  </rcc>
  <rcc rId="3520" sId="1">
    <oc r="A152" t="inlineStr">
      <is>
        <t>Zone 1</t>
      </is>
    </oc>
    <nc r="A152"/>
  </rcc>
  <rcc rId="3521" sId="1">
    <oc r="B152" t="inlineStr">
      <is>
        <t>Blade Inspect</t>
      </is>
    </oc>
    <nc r="B152"/>
  </rcc>
  <rcc rId="3522" sId="1">
    <oc r="C152">
      <v>2</v>
    </oc>
    <nc r="C152"/>
  </rcc>
  <rcc rId="3523" sId="1">
    <oc r="E152" t="inlineStr">
      <is>
        <t>W1029117/1</t>
      </is>
    </oc>
    <nc r="E152"/>
  </rcc>
  <rcc rId="3524" sId="1">
    <oc r="F152" t="inlineStr">
      <is>
        <t>SMI3/73-0015-0101</t>
      </is>
    </oc>
    <nc r="F152"/>
  </rcc>
  <rcc rId="3525" sId="1">
    <oc r="G152" t="inlineStr">
      <is>
        <t>#15 SS SURG BLD Polymer Coated</t>
      </is>
    </oc>
    <nc r="G152"/>
  </rcc>
  <rcc rId="3526" sId="1">
    <oc r="H152">
      <v>5</v>
    </oc>
    <nc r="H152"/>
  </rcc>
  <rcc rId="3527" sId="1">
    <oc r="I152">
      <v>2.5</v>
    </oc>
    <nc r="I152"/>
  </rcc>
  <rcc rId="3528" sId="1">
    <oc r="J152">
      <v>15000</v>
    </oc>
    <nc r="J152"/>
  </rcc>
  <rcc rId="3529" sId="1">
    <oc r="K152">
      <v>0</v>
    </oc>
    <nc r="K152"/>
  </rcc>
  <rcc rId="3530" sId="1" numFmtId="19">
    <oc r="L152">
      <v>46219.5625</v>
    </oc>
    <nc r="L152"/>
  </rcc>
  <rcc rId="3531" sId="1" numFmtId="19">
    <oc r="M152">
      <v>46219.659722222219</v>
    </oc>
    <nc r="M152"/>
  </rcc>
  <rcc rId="3532" sId="1">
    <oc r="AA152" t="inlineStr">
      <is>
        <t>1</t>
      </is>
    </oc>
    <nc r="AA152"/>
  </rcc>
  <rcc rId="3533" sId="1">
    <oc r="AB152" t="inlineStr">
      <is>
        <t>0</t>
      </is>
    </oc>
    <nc r="AB152"/>
  </rcc>
  <rcc rId="3534" sId="1">
    <oc r="A153" t="inlineStr">
      <is>
        <t>Zone 1</t>
      </is>
    </oc>
    <nc r="A153"/>
  </rcc>
  <rcc rId="3535" sId="1">
    <oc r="B153" t="inlineStr">
      <is>
        <t>Blade Inspect</t>
      </is>
    </oc>
    <nc r="B153"/>
  </rcc>
  <rcc rId="3536" sId="1">
    <oc r="C153">
      <v>1</v>
    </oc>
    <nc r="C153"/>
  </rcc>
  <rcc rId="3537" sId="1">
    <oc r="E153" t="inlineStr">
      <is>
        <t>W1029916/1</t>
      </is>
    </oc>
    <nc r="E153"/>
  </rcc>
  <rcc rId="3538" sId="1">
    <oc r="F153" t="inlineStr">
      <is>
        <t>SMI3/73-0010-0101UC</t>
      </is>
    </oc>
    <nc r="F153"/>
  </rcc>
  <rcc rId="3539" sId="1">
    <oc r="G153" t="inlineStr">
      <is>
        <t>#10 SS SURG BLD Un-Coated</t>
      </is>
    </oc>
    <nc r="G153"/>
  </rcc>
  <rcc rId="3540" sId="1">
    <oc r="H153">
      <v>5</v>
    </oc>
    <nc r="H153"/>
  </rcc>
  <rcc rId="3541" sId="1">
    <oc r="I153">
      <v>5</v>
    </oc>
    <nc r="I153"/>
  </rcc>
  <rcc rId="3542" sId="1">
    <oc r="J153">
      <v>15000</v>
    </oc>
    <nc r="J153"/>
  </rcc>
  <rcc rId="3543" sId="1">
    <oc r="K153">
      <v>0</v>
    </oc>
    <nc r="K153"/>
  </rcc>
  <rcc rId="3544" sId="1" numFmtId="19">
    <oc r="L153">
      <v>46219.888888888891</v>
    </oc>
    <nc r="L153"/>
  </rcc>
  <rcc rId="3545" sId="1" numFmtId="19">
    <oc r="M153">
      <v>46220.090277777781</v>
    </oc>
    <nc r="M153"/>
  </rcc>
  <rcc rId="3546" sId="1">
    <oc r="AA153" t="inlineStr">
      <is>
        <t>1</t>
      </is>
    </oc>
    <nc r="AA153"/>
  </rcc>
  <rcc rId="3547" sId="1">
    <oc r="AB153" t="inlineStr">
      <is>
        <t>0</t>
      </is>
    </oc>
    <nc r="AB153"/>
  </rcc>
  <rcc rId="3548" sId="1">
    <oc r="A154" t="inlineStr">
      <is>
        <t>Zone 1</t>
      </is>
    </oc>
    <nc r="A154"/>
  </rcc>
  <rcc rId="3549" sId="1">
    <oc r="B154" t="inlineStr">
      <is>
        <t>Blade Inspect</t>
      </is>
    </oc>
    <nc r="B154"/>
  </rcc>
  <rcc rId="3550" sId="1">
    <oc r="C154">
      <v>1</v>
    </oc>
    <nc r="C154"/>
  </rcc>
  <rcc rId="3551" sId="1">
    <oc r="E154" t="inlineStr">
      <is>
        <t>W1029920/1</t>
      </is>
    </oc>
    <nc r="E154"/>
  </rcc>
  <rcc rId="3552" sId="1">
    <oc r="F154" t="inlineStr">
      <is>
        <t>SMI3/73-0015-0101UC</t>
      </is>
    </oc>
    <nc r="F154"/>
  </rcc>
  <rcc rId="3553" sId="1">
    <oc r="G154" t="inlineStr">
      <is>
        <t>#15 SS SURG BLD Un-Coated</t>
      </is>
    </oc>
    <nc r="G154"/>
  </rcc>
  <rcc rId="3554" sId="1">
    <oc r="H154">
      <v>6</v>
    </oc>
    <nc r="H154"/>
  </rcc>
  <rcc rId="3555" sId="1">
    <oc r="I154">
      <v>6</v>
    </oc>
    <nc r="I154"/>
  </rcc>
  <rcc rId="3556" sId="1">
    <oc r="J154">
      <v>18000</v>
    </oc>
    <nc r="J154"/>
  </rcc>
  <rcc rId="3557" sId="1">
    <oc r="K154">
      <v>0</v>
    </oc>
    <nc r="K154"/>
  </rcc>
  <rcc rId="3558" sId="1" numFmtId="19">
    <oc r="L154">
      <v>46219.986111111109</v>
    </oc>
    <nc r="L154"/>
  </rcc>
  <rcc rId="3559" sId="1" numFmtId="19">
    <oc r="M154">
      <v>46220.229166666664</v>
    </oc>
    <nc r="M154"/>
  </rcc>
  <rcc rId="3560" sId="1">
    <oc r="AA154" t="inlineStr">
      <is>
        <t>1</t>
      </is>
    </oc>
    <nc r="AA154"/>
  </rcc>
  <rcc rId="3561" sId="1">
    <oc r="AB154" t="inlineStr">
      <is>
        <t>0</t>
      </is>
    </oc>
    <nc r="AB154"/>
  </rcc>
  <rcc rId="3562" sId="1">
    <oc r="A155" t="inlineStr">
      <is>
        <t>Zone 1</t>
      </is>
    </oc>
    <nc r="A155"/>
  </rcc>
  <rcc rId="3563" sId="1">
    <oc r="B155" t="inlineStr">
      <is>
        <t>Blade Inspect</t>
      </is>
    </oc>
    <nc r="B155"/>
  </rcc>
  <rcc rId="3564" sId="1">
    <oc r="C155">
      <v>2</v>
    </oc>
    <nc r="C155"/>
  </rcc>
  <rcc rId="3565" sId="1">
    <oc r="E155" t="inlineStr">
      <is>
        <t>W1029594/1</t>
      </is>
    </oc>
    <nc r="E155"/>
  </rcc>
  <rcc rId="3566" sId="1">
    <oc r="F155" t="inlineStr">
      <is>
        <t>SMI3/73-0015-0101</t>
      </is>
    </oc>
    <nc r="F155"/>
  </rcc>
  <rcc rId="3567" sId="1">
    <oc r="G155" t="inlineStr">
      <is>
        <t>#15 SS SURG BLD Polymer Coated</t>
      </is>
    </oc>
    <nc r="G155"/>
  </rcc>
  <rcc rId="3568" sId="1">
    <oc r="H155">
      <v>5</v>
    </oc>
    <nc r="H155"/>
  </rcc>
  <rcc rId="3569" sId="1">
    <oc r="I155">
      <v>2.5</v>
    </oc>
    <nc r="I155"/>
  </rcc>
  <rcc rId="3570" sId="1">
    <oc r="J155">
      <v>15000</v>
    </oc>
    <nc r="J155"/>
  </rcc>
  <rcc rId="3571" sId="1">
    <oc r="K155">
      <v>0</v>
    </oc>
    <nc r="K155"/>
  </rcc>
  <rcc rId="3572" sId="1" numFmtId="19">
    <oc r="L155">
      <v>46220.319444444445</v>
    </oc>
    <nc r="L155"/>
  </rcc>
  <rcc rId="3573" sId="1" numFmtId="19">
    <oc r="M155">
      <v>46220.416666666664</v>
    </oc>
    <nc r="M155"/>
  </rcc>
  <rcc rId="3574" sId="1">
    <oc r="AA155" t="inlineStr">
      <is>
        <t>1</t>
      </is>
    </oc>
    <nc r="AA155"/>
  </rcc>
  <rcc rId="3575" sId="1">
    <oc r="AB155" t="inlineStr">
      <is>
        <t>0</t>
      </is>
    </oc>
    <nc r="AB155"/>
  </rcc>
  <rcc rId="3576" sId="1">
    <oc r="A156" t="inlineStr">
      <is>
        <t>Zone 1</t>
      </is>
    </oc>
    <nc r="A156"/>
  </rcc>
  <rcc rId="3577" sId="1">
    <oc r="B156" t="inlineStr">
      <is>
        <t>Blade Inspect</t>
      </is>
    </oc>
    <nc r="B156"/>
  </rcc>
  <rcc rId="3578" sId="1">
    <oc r="C156">
      <v>2</v>
    </oc>
    <nc r="C156"/>
  </rcc>
  <rcc rId="3579" sId="1">
    <oc r="E156" t="inlineStr">
      <is>
        <t>W1029595/1</t>
      </is>
    </oc>
    <nc r="E156"/>
  </rcc>
  <rcc rId="3580" sId="1">
    <oc r="F156" t="inlineStr">
      <is>
        <t>SMI3/73-0015-0101</t>
      </is>
    </oc>
    <nc r="F156"/>
  </rcc>
  <rcc rId="3581" sId="1">
    <oc r="G156" t="inlineStr">
      <is>
        <t>#15 SS SURG BLD Polymer Coated</t>
      </is>
    </oc>
    <nc r="G156"/>
  </rcc>
  <rcc rId="3582" sId="1">
    <oc r="H156">
      <v>5</v>
    </oc>
    <nc r="H156"/>
  </rcc>
  <rcc rId="3583" sId="1">
    <oc r="I156">
      <v>2.5</v>
    </oc>
    <nc r="I156"/>
  </rcc>
  <rcc rId="3584" sId="1">
    <oc r="J156">
      <v>15000</v>
    </oc>
    <nc r="J156"/>
  </rcc>
  <rcc rId="3585" sId="1">
    <oc r="K156">
      <v>0</v>
    </oc>
    <nc r="K156"/>
  </rcc>
  <rcc rId="3586" sId="1" numFmtId="19">
    <oc r="L156">
      <v>46220.409722222219</v>
    </oc>
    <nc r="L156"/>
  </rcc>
  <rcc rId="3587" sId="1" numFmtId="19">
    <oc r="M156">
      <v>46220.506944444445</v>
    </oc>
    <nc r="M156"/>
  </rcc>
  <rcc rId="3588" sId="1">
    <oc r="AA156" t="inlineStr">
      <is>
        <t>1</t>
      </is>
    </oc>
    <nc r="AA156"/>
  </rcc>
  <rcc rId="3589" sId="1">
    <oc r="AB156" t="inlineStr">
      <is>
        <t>0</t>
      </is>
    </oc>
    <nc r="AB156"/>
  </rcc>
  <rcc rId="3590" sId="1">
    <oc r="A157" t="inlineStr">
      <is>
        <t>Zone 1</t>
      </is>
    </oc>
    <nc r="A157"/>
  </rcc>
  <rcc rId="3591" sId="1">
    <oc r="B157" t="inlineStr">
      <is>
        <t>Blade Inspect</t>
      </is>
    </oc>
    <nc r="B157"/>
  </rcc>
  <rcc rId="3592" sId="1">
    <oc r="C157">
      <v>2</v>
    </oc>
    <nc r="C157"/>
  </rcc>
  <rcc rId="3593" sId="1">
    <oc r="E157" t="inlineStr">
      <is>
        <t>W1029596/1</t>
      </is>
    </oc>
    <nc r="E157"/>
  </rcc>
  <rcc rId="3594" sId="1">
    <oc r="F157" t="inlineStr">
      <is>
        <t>SMI3/73-0015-0101</t>
      </is>
    </oc>
    <nc r="F157"/>
  </rcc>
  <rcc rId="3595" sId="1">
    <oc r="G157" t="inlineStr">
      <is>
        <t>#15 SS SURG BLD Polymer Coated</t>
      </is>
    </oc>
    <nc r="G157"/>
  </rcc>
  <rcc rId="3596" sId="1">
    <oc r="H157">
      <v>5</v>
    </oc>
    <nc r="H157"/>
  </rcc>
  <rcc rId="3597" sId="1">
    <oc r="I157">
      <v>2.5</v>
    </oc>
    <nc r="I157"/>
  </rcc>
  <rcc rId="3598" sId="1">
    <oc r="J157">
      <v>15000</v>
    </oc>
    <nc r="J157"/>
  </rcc>
  <rcc rId="3599" sId="1">
    <oc r="K157">
      <v>0</v>
    </oc>
    <nc r="K157"/>
  </rcc>
  <rcc rId="3600" sId="1" numFmtId="19">
    <oc r="L157">
      <v>46220.5</v>
    </oc>
    <nc r="L157"/>
  </rcc>
  <rcc rId="3601" sId="1" numFmtId="19">
    <oc r="M157">
      <v>46220.597222222219</v>
    </oc>
    <nc r="M157"/>
  </rcc>
  <rcc rId="3602" sId="1">
    <oc r="AA157" t="inlineStr">
      <is>
        <t>1</t>
      </is>
    </oc>
    <nc r="AA157"/>
  </rcc>
  <rcc rId="3603" sId="1">
    <oc r="AB157" t="inlineStr">
      <is>
        <t>0</t>
      </is>
    </oc>
    <nc r="AB157"/>
  </rcc>
  <rcc rId="3604" sId="1">
    <oc r="A158" t="inlineStr">
      <is>
        <t>Zone 1</t>
      </is>
    </oc>
    <nc r="A158"/>
  </rcc>
  <rcc rId="3605" sId="1">
    <oc r="B158" t="inlineStr">
      <is>
        <t>Blade Inspect</t>
      </is>
    </oc>
    <nc r="B158"/>
  </rcc>
  <rcc rId="3606" sId="1">
    <oc r="C158">
      <v>2</v>
    </oc>
    <nc r="C158"/>
  </rcc>
  <rcc rId="3607" sId="1">
    <oc r="E158" t="inlineStr">
      <is>
        <t>W1029597/1</t>
      </is>
    </oc>
    <nc r="E158"/>
  </rcc>
  <rcc rId="3608" sId="1">
    <oc r="F158" t="inlineStr">
      <is>
        <t>SMI3/73-0015-0101</t>
      </is>
    </oc>
    <nc r="F158"/>
  </rcc>
  <rcc rId="3609" sId="1">
    <oc r="G158" t="inlineStr">
      <is>
        <t>#15 SS SURG BLD Polymer Coated</t>
      </is>
    </oc>
    <nc r="G158"/>
  </rcc>
  <rcc rId="3610" sId="1">
    <oc r="H158">
      <v>5</v>
    </oc>
    <nc r="H158"/>
  </rcc>
  <rcc rId="3611" sId="1">
    <oc r="I158">
      <v>2.5</v>
    </oc>
    <nc r="I158"/>
  </rcc>
  <rcc rId="3612" sId="1">
    <oc r="J158">
      <v>15000</v>
    </oc>
    <nc r="J158"/>
  </rcc>
  <rcc rId="3613" sId="1">
    <oc r="K158">
      <v>0</v>
    </oc>
    <nc r="K158"/>
  </rcc>
  <rcc rId="3614" sId="1" numFmtId="19">
    <oc r="L158">
      <v>46220.590277777781</v>
    </oc>
    <nc r="L158"/>
  </rcc>
  <rcc rId="3615" sId="1" numFmtId="19">
    <oc r="M158">
      <v>46220.6875</v>
    </oc>
    <nc r="M158"/>
  </rcc>
  <rcc rId="3616" sId="1">
    <oc r="AA158" t="inlineStr">
      <is>
        <t>1</t>
      </is>
    </oc>
    <nc r="AA158"/>
  </rcc>
  <rcc rId="3617" sId="1">
    <oc r="AB158" t="inlineStr">
      <is>
        <t>0</t>
      </is>
    </oc>
    <nc r="AB158"/>
  </rcc>
  <rcc rId="3618" sId="1">
    <oc r="A159" t="inlineStr">
      <is>
        <t>Zone 1</t>
      </is>
    </oc>
    <nc r="A159"/>
  </rcc>
  <rcc rId="3619" sId="1">
    <oc r="B159" t="inlineStr">
      <is>
        <t>Blade Inspect</t>
      </is>
    </oc>
    <nc r="B159"/>
  </rcc>
  <rcc rId="3620" sId="1">
    <oc r="C159">
      <v>1</v>
    </oc>
    <nc r="C159"/>
  </rcc>
  <rcc rId="3621" sId="1">
    <oc r="E159" t="inlineStr">
      <is>
        <t>W1029917/1</t>
      </is>
    </oc>
    <nc r="E159"/>
  </rcc>
  <rcc rId="3622" sId="1">
    <oc r="F159" t="inlineStr">
      <is>
        <t>SMI3/73-0010-0101UC</t>
      </is>
    </oc>
    <nc r="F159"/>
  </rcc>
  <rcc rId="3623" sId="1">
    <oc r="G159" t="inlineStr">
      <is>
        <t>#10 SS SURG BLD Un-Coated</t>
      </is>
    </oc>
    <nc r="G159"/>
  </rcc>
  <rcc rId="3624" sId="1">
    <oc r="H159">
      <v>5</v>
    </oc>
    <nc r="H159"/>
  </rcc>
  <rcc rId="3625" sId="1">
    <oc r="I159">
      <v>5</v>
    </oc>
    <nc r="I159"/>
  </rcc>
  <rcc rId="3626" sId="1">
    <oc r="J159">
      <v>15000</v>
    </oc>
    <nc r="J159"/>
  </rcc>
  <rcc rId="3627" sId="1">
    <oc r="K159">
      <v>0</v>
    </oc>
    <nc r="K159"/>
  </rcc>
  <rcc rId="3628" sId="1" numFmtId="19">
    <oc r="L159">
      <v>46220.777777777781</v>
    </oc>
    <nc r="L159"/>
  </rcc>
  <rcc rId="3629" sId="1" numFmtId="19">
    <oc r="M159">
      <v>46222.979166666664</v>
    </oc>
    <nc r="M159"/>
  </rcc>
  <rcc rId="3630" sId="1">
    <oc r="AA159" t="inlineStr">
      <is>
        <t>1</t>
      </is>
    </oc>
    <nc r="AA159"/>
  </rcc>
  <rcc rId="3631" sId="1">
    <oc r="AB159" t="inlineStr">
      <is>
        <t>0</t>
      </is>
    </oc>
    <nc r="AB159"/>
  </rcc>
  <rcc rId="3632" sId="1">
    <oc r="A160" t="inlineStr">
      <is>
        <t>Zone 1</t>
      </is>
    </oc>
    <nc r="A160"/>
  </rcc>
  <rcc rId="3633" sId="1">
    <oc r="B160" t="inlineStr">
      <is>
        <t>Blade Inspect</t>
      </is>
    </oc>
    <nc r="B160"/>
  </rcc>
  <rcc rId="3634" sId="1">
    <oc r="C160">
      <v>1</v>
    </oc>
    <nc r="C160"/>
  </rcc>
  <rcc rId="3635" sId="1">
    <oc r="E160" t="inlineStr">
      <is>
        <t>W1029921/1</t>
      </is>
    </oc>
    <nc r="E160"/>
  </rcc>
  <rcc rId="3636" sId="1">
    <oc r="F160" t="inlineStr">
      <is>
        <t>SMI3/73-0015-0101UC</t>
      </is>
    </oc>
    <nc r="F160"/>
  </rcc>
  <rcc rId="3637" sId="1">
    <oc r="G160" t="inlineStr">
      <is>
        <t>#15 SS SURG BLD Un-Coated</t>
      </is>
    </oc>
    <nc r="G160"/>
  </rcc>
  <rcc rId="3638" sId="1">
    <oc r="H160">
      <v>6</v>
    </oc>
    <nc r="H160"/>
  </rcc>
  <rcc rId="3639" sId="1">
    <oc r="I160">
      <v>6</v>
    </oc>
    <nc r="I160"/>
  </rcc>
  <rcc rId="3640" sId="1">
    <oc r="J160">
      <v>18000</v>
    </oc>
    <nc r="J160"/>
  </rcc>
  <rcc rId="3641" sId="1">
    <oc r="K160">
      <v>0</v>
    </oc>
    <nc r="K160"/>
  </rcc>
  <rcc rId="3642" sId="1" numFmtId="19">
    <oc r="L160">
      <v>46220.840277777781</v>
    </oc>
    <nc r="L160"/>
  </rcc>
  <rcc rId="3643" sId="1" numFmtId="19">
    <oc r="M160">
      <v>46223.083333333336</v>
    </oc>
    <nc r="M160"/>
  </rcc>
  <rcc rId="3644" sId="1">
    <oc r="AA160" t="inlineStr">
      <is>
        <t>1</t>
      </is>
    </oc>
    <nc r="AA160"/>
  </rcc>
  <rcc rId="3645" sId="1">
    <oc r="AB160" t="inlineStr">
      <is>
        <t>0</t>
      </is>
    </oc>
    <nc r="AB160"/>
  </rcc>
  <rcc rId="3646" sId="1">
    <oc r="A161" t="inlineStr">
      <is>
        <t>Zone 1</t>
      </is>
    </oc>
    <nc r="A161"/>
  </rcc>
  <rcc rId="3647" sId="1">
    <oc r="B161" t="inlineStr">
      <is>
        <t>Blade Inspect</t>
      </is>
    </oc>
    <nc r="B161"/>
  </rcc>
  <rcc rId="3648" sId="1">
    <oc r="C161">
      <v>2</v>
    </oc>
    <nc r="C161"/>
  </rcc>
  <rcc rId="3649" sId="1">
    <oc r="E161" t="inlineStr">
      <is>
        <t>W1029598/1</t>
      </is>
    </oc>
    <nc r="E161"/>
  </rcc>
  <rcc rId="3650" sId="1">
    <oc r="F161" t="inlineStr">
      <is>
        <t>SMI3/73-0015-0101</t>
      </is>
    </oc>
    <nc r="F161"/>
  </rcc>
  <rcc rId="3651" sId="1">
    <oc r="G161" t="inlineStr">
      <is>
        <t>#15 SS SURG BLD Polymer Coated</t>
      </is>
    </oc>
    <nc r="G161"/>
  </rcc>
  <rcc rId="3652" sId="1">
    <oc r="H161">
      <v>5</v>
    </oc>
    <nc r="H161"/>
  </rcc>
  <rcc rId="3653" sId="1">
    <oc r="I161">
      <v>2.5</v>
    </oc>
    <nc r="I161"/>
  </rcc>
  <rcc rId="3654" sId="1">
    <oc r="J161">
      <v>15000</v>
    </oc>
    <nc r="J161"/>
  </rcc>
  <rcc rId="3655" sId="1">
    <oc r="K161">
      <v>0</v>
    </oc>
    <nc r="K161"/>
  </rcc>
  <rcc rId="3656" sId="1" numFmtId="19">
    <oc r="L161">
      <v>46223.347222222219</v>
    </oc>
    <nc r="L161"/>
  </rcc>
  <rcc rId="3657" sId="1" numFmtId="19">
    <oc r="M161">
      <v>46223.444444444445</v>
    </oc>
    <nc r="M161"/>
  </rcc>
  <rcc rId="3658" sId="1">
    <oc r="AA161" t="inlineStr">
      <is>
        <t>1</t>
      </is>
    </oc>
    <nc r="AA161"/>
  </rcc>
  <rcc rId="3659" sId="1">
    <oc r="AB161" t="inlineStr">
      <is>
        <t>0</t>
      </is>
    </oc>
    <nc r="AB161"/>
  </rcc>
  <rcc rId="3660" sId="1">
    <oc r="A162" t="inlineStr">
      <is>
        <t>Zone 1</t>
      </is>
    </oc>
    <nc r="A162"/>
  </rcc>
  <rcc rId="3661" sId="1">
    <oc r="B162" t="inlineStr">
      <is>
        <t>Blade Inspect</t>
      </is>
    </oc>
    <nc r="B162"/>
  </rcc>
  <rcc rId="3662" sId="1">
    <oc r="C162">
      <v>2</v>
    </oc>
    <nc r="C162"/>
  </rcc>
  <rcc rId="3663" sId="1">
    <oc r="E162" t="inlineStr">
      <is>
        <t>W1028765/1</t>
      </is>
    </oc>
    <nc r="E162"/>
  </rcc>
  <rcc rId="3664" sId="1">
    <oc r="F162" t="inlineStr">
      <is>
        <t>SMI3/73-0010-0101</t>
      </is>
    </oc>
    <nc r="F162"/>
  </rcc>
  <rcc rId="3665" sId="1">
    <oc r="G162" t="inlineStr">
      <is>
        <t>#10 SS SURG BLD Polymer Coated</t>
      </is>
    </oc>
    <nc r="G162"/>
  </rcc>
  <rcc rId="3666" sId="1">
    <oc r="H162">
      <v>5</v>
    </oc>
    <nc r="H162"/>
  </rcc>
  <rcc rId="3667" sId="1">
    <oc r="I162">
      <v>2.5</v>
    </oc>
    <nc r="I162"/>
  </rcc>
  <rcc rId="3668" sId="1">
    <oc r="J162">
      <v>15000</v>
    </oc>
    <nc r="J162"/>
  </rcc>
  <rcc rId="3669" sId="1">
    <oc r="K162">
      <v>0</v>
    </oc>
    <nc r="K162"/>
  </rcc>
  <rcc rId="3670" sId="1" numFmtId="19">
    <oc r="L162">
      <v>46223.4375</v>
    </oc>
    <nc r="L162"/>
  </rcc>
  <rcc rId="3671" sId="1" numFmtId="19">
    <oc r="M162">
      <v>46223.534722222219</v>
    </oc>
    <nc r="M162"/>
  </rcc>
  <rcc rId="3672" sId="1">
    <oc r="AA162" t="inlineStr">
      <is>
        <t>1</t>
      </is>
    </oc>
    <nc r="AA162"/>
  </rcc>
  <rcc rId="3673" sId="1">
    <oc r="AB162" t="inlineStr">
      <is>
        <t>0</t>
      </is>
    </oc>
    <nc r="AB162"/>
  </rcc>
  <rcc rId="3674" sId="1">
    <oc r="A163" t="inlineStr">
      <is>
        <t>Zone 1</t>
      </is>
    </oc>
    <nc r="A163"/>
  </rcc>
  <rcc rId="3675" sId="1">
    <oc r="B163" t="inlineStr">
      <is>
        <t>Blade Inspect</t>
      </is>
    </oc>
    <nc r="B163"/>
  </rcc>
  <rcc rId="3676" sId="1">
    <oc r="C163">
      <v>2</v>
    </oc>
    <nc r="C163"/>
  </rcc>
  <rcc rId="3677" sId="1">
    <oc r="E163" t="inlineStr">
      <is>
        <t>W1029588/1</t>
      </is>
    </oc>
    <nc r="E163"/>
  </rcc>
  <rcc rId="3678" sId="1">
    <oc r="F163" t="inlineStr">
      <is>
        <t>SMI3/73-0010-0101</t>
      </is>
    </oc>
    <nc r="F163"/>
  </rcc>
  <rcc rId="3679" sId="1">
    <oc r="G163" t="inlineStr">
      <is>
        <t>#10 SS SURG BLD Polymer Coated</t>
      </is>
    </oc>
    <nc r="G163"/>
  </rcc>
  <rcc rId="3680" sId="1">
    <oc r="H163">
      <v>5</v>
    </oc>
    <nc r="H163"/>
  </rcc>
  <rcc rId="3681" sId="1">
    <oc r="I163">
      <v>1.03</v>
    </oc>
    <nc r="I163"/>
  </rcc>
  <rcc rId="3682" sId="1">
    <oc r="J163">
      <v>15000</v>
    </oc>
    <nc r="J163"/>
  </rcc>
  <rcc rId="3683" sId="1">
    <oc r="K163">
      <v>8805</v>
    </oc>
    <nc r="K163"/>
  </rcc>
  <rcc rId="3684" sId="1" numFmtId="19">
    <oc r="L163">
      <v>46223.479166666664</v>
    </oc>
    <nc r="L163"/>
  </rcc>
  <rcc rId="3685" sId="1" numFmtId="19">
    <oc r="M163">
      <v>46223.520833333336</v>
    </oc>
    <nc r="M163"/>
  </rcc>
  <rcc rId="3686" sId="1">
    <oc r="AA163" t="inlineStr">
      <is>
        <t>1</t>
      </is>
    </oc>
    <nc r="AA163"/>
  </rcc>
  <rcc rId="3687" sId="1">
    <oc r="AB163" t="inlineStr">
      <is>
        <t>0</t>
      </is>
    </oc>
    <nc r="AB163"/>
  </rcc>
  <rcc rId="3688" sId="1">
    <oc r="A164" t="inlineStr">
      <is>
        <t>Zone 1</t>
      </is>
    </oc>
    <nc r="A164"/>
  </rcc>
  <rcc rId="3689" sId="1">
    <oc r="B164" t="inlineStr">
      <is>
        <t>Blade Inspect</t>
      </is>
    </oc>
    <nc r="B164"/>
  </rcc>
  <rcc rId="3690" sId="1">
    <oc r="C164">
      <v>2</v>
    </oc>
    <nc r="C164"/>
  </rcc>
  <rcc rId="3691" sId="1">
    <oc r="E164" t="inlineStr">
      <is>
        <t>W1029590/1</t>
      </is>
    </oc>
    <nc r="E164"/>
  </rcc>
  <rcc rId="3692" sId="1">
    <oc r="F164" t="inlineStr">
      <is>
        <t>SMI3/73-0010-0101</t>
      </is>
    </oc>
    <nc r="F164"/>
  </rcc>
  <rcc rId="3693" sId="1">
    <oc r="G164" t="inlineStr">
      <is>
        <t>#10 SS SURG BLD Polymer Coated</t>
      </is>
    </oc>
    <nc r="G164"/>
  </rcc>
  <rcc rId="3694" sId="1">
    <oc r="H164">
      <v>5</v>
    </oc>
    <nc r="H164"/>
  </rcc>
  <rcc rId="3695" sId="1">
    <oc r="I164">
      <v>2.5</v>
    </oc>
    <nc r="I164"/>
  </rcc>
  <rcc rId="3696" sId="1">
    <oc r="J164">
      <v>15000</v>
    </oc>
    <nc r="J164"/>
  </rcc>
  <rcc rId="3697" sId="1">
    <oc r="K164">
      <v>0</v>
    </oc>
    <nc r="K164"/>
  </rcc>
  <rcc rId="3698" sId="1" numFmtId="19">
    <oc r="L164">
      <v>46223.5</v>
    </oc>
    <nc r="L164"/>
  </rcc>
  <rcc rId="3699" sId="1" numFmtId="19">
    <oc r="M164">
      <v>46223.597222222219</v>
    </oc>
    <nc r="M164"/>
  </rcc>
  <rcc rId="3700" sId="1">
    <oc r="AA164" t="inlineStr">
      <is>
        <t>1</t>
      </is>
    </oc>
    <nc r="AA164"/>
  </rcc>
  <rcc rId="3701" sId="1">
    <oc r="AB164" t="inlineStr">
      <is>
        <t>0</t>
      </is>
    </oc>
    <nc r="AB164"/>
  </rcc>
  <rcc rId="3702" sId="1">
    <oc r="A165" t="inlineStr">
      <is>
        <t>Zone 1</t>
      </is>
    </oc>
    <nc r="A165"/>
  </rcc>
  <rcc rId="3703" sId="1">
    <oc r="B165" t="inlineStr">
      <is>
        <t>Blade Inspect</t>
      </is>
    </oc>
    <nc r="B165"/>
  </rcc>
  <rcc rId="3704" sId="1">
    <oc r="C165">
      <v>2</v>
    </oc>
    <nc r="C165"/>
  </rcc>
  <rcc rId="3705" sId="1">
    <oc r="E165" t="inlineStr">
      <is>
        <t>W1029591/1</t>
      </is>
    </oc>
    <nc r="E165"/>
  </rcc>
  <rcc rId="3706" sId="1">
    <oc r="F165" t="inlineStr">
      <is>
        <t>SMI3/73-0010-0101</t>
      </is>
    </oc>
    <nc r="F165"/>
  </rcc>
  <rcc rId="3707" sId="1">
    <oc r="G165" t="inlineStr">
      <is>
        <t>#10 SS SURG BLD Polymer Coated</t>
      </is>
    </oc>
    <nc r="G165"/>
  </rcc>
  <rcc rId="3708" sId="1">
    <oc r="H165">
      <v>5</v>
    </oc>
    <nc r="H165"/>
  </rcc>
  <rcc rId="3709" sId="1">
    <oc r="I165">
      <v>1.89</v>
    </oc>
    <nc r="I165"/>
  </rcc>
  <rcc rId="3710" sId="1">
    <oc r="J165">
      <v>15000</v>
    </oc>
    <nc r="J165"/>
  </rcc>
  <rcc rId="3711" sId="1">
    <oc r="K165">
      <v>3640</v>
    </oc>
    <nc r="K165"/>
  </rcc>
  <rcc rId="3712" sId="1" numFmtId="19">
    <oc r="L165">
      <v>46223.541666666664</v>
    </oc>
    <nc r="L165"/>
  </rcc>
  <rcc rId="3713" sId="1" numFmtId="19">
    <oc r="M165">
      <v>46223.618055555555</v>
    </oc>
    <nc r="M165"/>
  </rcc>
  <rcc rId="3714" sId="1">
    <oc r="AA165" t="inlineStr">
      <is>
        <t>1</t>
      </is>
    </oc>
    <nc r="AA165"/>
  </rcc>
  <rcc rId="3715" sId="1">
    <oc r="AB165" t="inlineStr">
      <is>
        <t>0</t>
      </is>
    </oc>
    <nc r="AB165"/>
  </rcc>
  <rcc rId="3716" sId="1">
    <oc r="A166" t="inlineStr">
      <is>
        <t>Zone 1</t>
      </is>
    </oc>
    <nc r="A166"/>
  </rcc>
  <rcc rId="3717" sId="1">
    <oc r="B166" t="inlineStr">
      <is>
        <t>Blade Inspect</t>
      </is>
    </oc>
    <nc r="B166"/>
  </rcc>
  <rcc rId="3718" sId="1">
    <oc r="C166">
      <v>2</v>
    </oc>
    <nc r="C166"/>
  </rcc>
  <rcc rId="3719" sId="1">
    <oc r="E166" t="inlineStr">
      <is>
        <t>W1029592/1</t>
      </is>
    </oc>
    <nc r="E166"/>
  </rcc>
  <rcc rId="3720" sId="1">
    <oc r="F166" t="inlineStr">
      <is>
        <t>SMI3/73-0010-0101</t>
      </is>
    </oc>
    <nc r="F166"/>
  </rcc>
  <rcc rId="3721" sId="1">
    <oc r="G166" t="inlineStr">
      <is>
        <t>#10 SS SURG BLD Polymer Coated</t>
      </is>
    </oc>
    <nc r="G166"/>
  </rcc>
  <rcc rId="3722" sId="1">
    <oc r="H166">
      <v>5</v>
    </oc>
    <nc r="H166"/>
  </rcc>
  <rcc rId="3723" sId="1">
    <oc r="I166">
      <v>2.5</v>
    </oc>
    <nc r="I166"/>
  </rcc>
  <rcc rId="3724" sId="1">
    <oc r="J166">
      <v>15000</v>
    </oc>
    <nc r="J166"/>
  </rcc>
  <rcc rId="3725" sId="1">
    <oc r="K166">
      <v>0</v>
    </oc>
    <nc r="K166"/>
  </rcc>
  <rcc rId="3726" sId="1" numFmtId="19">
    <oc r="L166">
      <v>46223.583333333336</v>
    </oc>
    <nc r="L166"/>
  </rcc>
  <rcc rId="3727" sId="1" numFmtId="19">
    <oc r="M166">
      <v>46223.680555555555</v>
    </oc>
    <nc r="M166"/>
  </rcc>
  <rcc rId="3728" sId="1">
    <oc r="AA166" t="inlineStr">
      <is>
        <t>1</t>
      </is>
    </oc>
    <nc r="AA166"/>
  </rcc>
  <rcc rId="3729" sId="1">
    <oc r="AB166" t="inlineStr">
      <is>
        <t>0</t>
      </is>
    </oc>
    <nc r="AB166"/>
  </rcc>
  <rcc rId="3730" sId="1">
    <oc r="A167" t="inlineStr">
      <is>
        <t>Zone 1</t>
      </is>
    </oc>
    <nc r="A167"/>
  </rcc>
  <rcc rId="3731" sId="1">
    <oc r="B167" t="inlineStr">
      <is>
        <t>Blade Inspect</t>
      </is>
    </oc>
    <nc r="B167"/>
  </rcc>
  <rcc rId="3732" sId="1">
    <oc r="C167">
      <v>1</v>
    </oc>
    <nc r="C167"/>
  </rcc>
  <rcc rId="3733" sId="1">
    <oc r="E167" t="inlineStr">
      <is>
        <t>W1029918/1</t>
      </is>
    </oc>
    <nc r="E167"/>
  </rcc>
  <rcc rId="3734" sId="1">
    <oc r="F167" t="inlineStr">
      <is>
        <t>SMI3/73-0010-0101UC</t>
      </is>
    </oc>
    <nc r="F167"/>
  </rcc>
  <rcc rId="3735" sId="1">
    <oc r="G167" t="inlineStr">
      <is>
        <t>#10 SS SURG BLD Un-Coated</t>
      </is>
    </oc>
    <nc r="G167"/>
  </rcc>
  <rcc rId="3736" sId="1">
    <oc r="H167">
      <v>5</v>
    </oc>
    <nc r="H167"/>
  </rcc>
  <rcc rId="3737" sId="1">
    <oc r="I167">
      <v>5</v>
    </oc>
    <nc r="I167"/>
  </rcc>
  <rcc rId="3738" sId="1">
    <oc r="J167">
      <v>15000</v>
    </oc>
    <nc r="J167"/>
  </rcc>
  <rcc rId="3739" sId="1">
    <oc r="K167">
      <v>0</v>
    </oc>
    <nc r="K167"/>
  </rcc>
  <rcc rId="3740" sId="1" numFmtId="19">
    <oc r="L167">
      <v>46223.666666666664</v>
    </oc>
    <nc r="L167"/>
  </rcc>
  <rcc rId="3741" sId="1" numFmtId="19">
    <oc r="M167">
      <v>46223.868055555555</v>
    </oc>
    <nc r="M167"/>
  </rcc>
  <rcc rId="3742" sId="1">
    <oc r="AA167" t="inlineStr">
      <is>
        <t>1</t>
      </is>
    </oc>
    <nc r="AA167"/>
  </rcc>
  <rcc rId="3743" sId="1">
    <oc r="AB167" t="inlineStr">
      <is>
        <t>0</t>
      </is>
    </oc>
    <nc r="AB167"/>
  </rcc>
  <rcc rId="3744" sId="1">
    <oc r="A168" t="inlineStr">
      <is>
        <t>Zone 1</t>
      </is>
    </oc>
    <nc r="A168"/>
  </rcc>
  <rcc rId="3745" sId="1">
    <oc r="B168" t="inlineStr">
      <is>
        <t>Blade Inspect</t>
      </is>
    </oc>
    <nc r="B168"/>
  </rcc>
  <rcc rId="3746" sId="1">
    <oc r="C168">
      <v>1</v>
    </oc>
    <nc r="C168"/>
  </rcc>
  <rcc rId="3747" sId="1">
    <oc r="E168" t="inlineStr">
      <is>
        <t>W1029922/1</t>
      </is>
    </oc>
    <nc r="E168"/>
  </rcc>
  <rcc rId="3748" sId="1">
    <oc r="F168" t="inlineStr">
      <is>
        <t>SMI3/73-0015-0101UC</t>
      </is>
    </oc>
    <nc r="F168"/>
  </rcc>
  <rcc rId="3749" sId="1">
    <oc r="G168" t="inlineStr">
      <is>
        <t>#15 SS SURG BLD Un-Coated</t>
      </is>
    </oc>
    <nc r="G168"/>
  </rcc>
  <rcc rId="3750" sId="1">
    <oc r="H168">
      <v>6</v>
    </oc>
    <nc r="H168"/>
  </rcc>
  <rcc rId="3751" sId="1">
    <oc r="I168">
      <v>6</v>
    </oc>
    <nc r="I168"/>
  </rcc>
  <rcc rId="3752" sId="1">
    <oc r="J168">
      <v>18000</v>
    </oc>
    <nc r="J168"/>
  </rcc>
  <rcc rId="3753" sId="1">
    <oc r="K168">
      <v>0</v>
    </oc>
    <nc r="K168"/>
  </rcc>
  <rcc rId="3754" sId="1" numFmtId="19">
    <oc r="L168">
      <v>46223.694444444445</v>
    </oc>
    <nc r="L168"/>
  </rcc>
  <rcc rId="3755" sId="1" numFmtId="19">
    <oc r="M168">
      <v>46223.9375</v>
    </oc>
    <nc r="M168"/>
  </rcc>
  <rcc rId="3756" sId="1">
    <oc r="AA168" t="inlineStr">
      <is>
        <t>1</t>
      </is>
    </oc>
    <nc r="AA168"/>
  </rcc>
  <rcc rId="3757" sId="1">
    <oc r="AB168" t="inlineStr">
      <is>
        <t>0</t>
      </is>
    </oc>
    <nc r="AB168"/>
  </rcc>
  <rcc rId="3758" sId="1">
    <oc r="A169" t="inlineStr">
      <is>
        <t>Zone 1</t>
      </is>
    </oc>
    <nc r="A169"/>
  </rcc>
  <rcc rId="3759" sId="1">
    <oc r="B169" t="inlineStr">
      <is>
        <t>Blade Inspect</t>
      </is>
    </oc>
    <nc r="B169"/>
  </rcc>
  <rcc rId="3760" sId="1">
    <oc r="C169">
      <v>2</v>
    </oc>
    <nc r="C169"/>
  </rcc>
  <rcc rId="3761" sId="1">
    <oc r="E169" t="inlineStr">
      <is>
        <t>W1029901/1</t>
      </is>
    </oc>
    <nc r="E169"/>
  </rcc>
  <rcc rId="3762" sId="1">
    <oc r="F169" t="inlineStr">
      <is>
        <t>SMI3/73-0015-0101</t>
      </is>
    </oc>
    <nc r="F169"/>
  </rcc>
  <rcc rId="3763" sId="1">
    <oc r="G169" t="inlineStr">
      <is>
        <t>#15 SS SURG BLD Polymer Coated</t>
      </is>
    </oc>
    <nc r="G169"/>
  </rcc>
  <rcc rId="3764" sId="1">
    <oc r="H169">
      <v>6</v>
    </oc>
    <nc r="H169"/>
  </rcc>
  <rcc rId="3765" sId="1">
    <oc r="I169">
      <v>3</v>
    </oc>
    <nc r="I169"/>
  </rcc>
  <rcc rId="3766" sId="1">
    <oc r="J169">
      <v>18000</v>
    </oc>
    <nc r="J169"/>
  </rcc>
  <rcc rId="3767" sId="1">
    <oc r="K169">
      <v>0</v>
    </oc>
    <nc r="K169"/>
  </rcc>
  <rcc rId="3768" sId="1" numFmtId="19">
    <oc r="L169">
      <v>46224.361111111109</v>
    </oc>
    <nc r="L169"/>
  </rcc>
  <rcc rId="3769" sId="1" numFmtId="19">
    <oc r="M169">
      <v>46224.479166666664</v>
    </oc>
    <nc r="M169"/>
  </rcc>
  <rcc rId="3770" sId="1">
    <oc r="AA169" t="inlineStr">
      <is>
        <t>1</t>
      </is>
    </oc>
    <nc r="AA169"/>
  </rcc>
  <rcc rId="3771" sId="1">
    <oc r="AB169" t="inlineStr">
      <is>
        <t>0</t>
      </is>
    </oc>
    <nc r="AB169"/>
  </rcc>
  <rcc rId="3772" sId="1">
    <oc r="A170" t="inlineStr">
      <is>
        <t>Zone 1</t>
      </is>
    </oc>
    <nc r="A170"/>
  </rcc>
  <rcc rId="3773" sId="1">
    <oc r="B170" t="inlineStr">
      <is>
        <t>Blade Inspect</t>
      </is>
    </oc>
    <nc r="B170"/>
  </rcc>
  <rcc rId="3774" sId="1">
    <oc r="C170">
      <v>2</v>
    </oc>
    <nc r="C170"/>
  </rcc>
  <rcc rId="3775" sId="1">
    <oc r="E170" t="inlineStr">
      <is>
        <t>W1029902/1</t>
      </is>
    </oc>
    <nc r="E170"/>
  </rcc>
  <rcc rId="3776" sId="1">
    <oc r="F170" t="inlineStr">
      <is>
        <t>SMI3/73-0015-0101</t>
      </is>
    </oc>
    <nc r="F170"/>
  </rcc>
  <rcc rId="3777" sId="1">
    <oc r="G170" t="inlineStr">
      <is>
        <t>#15 SS SURG BLD Polymer Coated</t>
      </is>
    </oc>
    <nc r="G170"/>
  </rcc>
  <rcc rId="3778" sId="1">
    <oc r="H170">
      <v>6</v>
    </oc>
    <nc r="H170"/>
  </rcc>
  <rcc rId="3779" sId="1">
    <oc r="I170">
      <v>3</v>
    </oc>
    <nc r="I170"/>
  </rcc>
  <rcc rId="3780" sId="1">
    <oc r="J170">
      <v>18000</v>
    </oc>
    <nc r="J170"/>
  </rcc>
  <rcc rId="3781" sId="1">
    <oc r="K170">
      <v>0</v>
    </oc>
    <nc r="K170"/>
  </rcc>
  <rcc rId="3782" sId="1" numFmtId="19">
    <oc r="L170">
      <v>46224.472222222219</v>
    </oc>
    <nc r="L170"/>
  </rcc>
  <rcc rId="3783" sId="1" numFmtId="19">
    <oc r="M170">
      <v>46224.590277777781</v>
    </oc>
    <nc r="M170"/>
  </rcc>
  <rcc rId="3784" sId="1">
    <oc r="AA170" t="inlineStr">
      <is>
        <t>1</t>
      </is>
    </oc>
    <nc r="AA170"/>
  </rcc>
  <rcc rId="3785" sId="1">
    <oc r="AB170" t="inlineStr">
      <is>
        <t>0</t>
      </is>
    </oc>
    <nc r="AB170"/>
  </rcc>
  <rcc rId="3786" sId="1">
    <oc r="A171" t="inlineStr">
      <is>
        <t>Zone 1</t>
      </is>
    </oc>
    <nc r="A171"/>
  </rcc>
  <rcc rId="3787" sId="1">
    <oc r="B171" t="inlineStr">
      <is>
        <t>Blade Inspect</t>
      </is>
    </oc>
    <nc r="B171"/>
  </rcc>
  <rcc rId="3788" sId="1">
    <oc r="C171">
      <v>1</v>
    </oc>
    <nc r="C171"/>
  </rcc>
  <rcc rId="3789" sId="1">
    <oc r="E171" t="inlineStr">
      <is>
        <t>W1029923/1</t>
      </is>
    </oc>
    <nc r="E171"/>
  </rcc>
  <rcc rId="3790" sId="1">
    <oc r="F171" t="inlineStr">
      <is>
        <t>SMI3/73-0015-0101UC</t>
      </is>
    </oc>
    <nc r="F171"/>
  </rcc>
  <rcc rId="3791" sId="1">
    <oc r="G171" t="inlineStr">
      <is>
        <t>#15 SS SURG BLD Un-Coated</t>
      </is>
    </oc>
    <nc r="G171"/>
  </rcc>
  <rcc rId="3792" sId="1">
    <oc r="H171">
      <v>6</v>
    </oc>
    <nc r="H171"/>
  </rcc>
  <rcc rId="3793" sId="1">
    <oc r="I171">
      <v>6</v>
    </oc>
    <nc r="I171"/>
  </rcc>
  <rcc rId="3794" sId="1">
    <oc r="J171">
      <v>18000</v>
    </oc>
    <nc r="J171"/>
  </rcc>
  <rcc rId="3795" sId="1">
    <oc r="K171">
      <v>0</v>
    </oc>
    <nc r="K171"/>
  </rcc>
  <rcc rId="3796" sId="1" numFmtId="19">
    <oc r="L171">
      <v>46224.548611111109</v>
    </oc>
    <nc r="L171"/>
  </rcc>
  <rcc rId="3797" sId="1" numFmtId="19">
    <oc r="M171">
      <v>46224.791666666664</v>
    </oc>
    <nc r="M171"/>
  </rcc>
  <rcc rId="3798" sId="1">
    <oc r="AA171" t="inlineStr">
      <is>
        <t>1</t>
      </is>
    </oc>
    <nc r="AA171"/>
  </rcc>
  <rcc rId="3799" sId="1">
    <oc r="AB171" t="inlineStr">
      <is>
        <t>0</t>
      </is>
    </oc>
    <nc r="AB171"/>
  </rcc>
  <rcc rId="3800" sId="1">
    <oc r="A172" t="inlineStr">
      <is>
        <t>Zone 1</t>
      </is>
    </oc>
    <nc r="A172"/>
  </rcc>
  <rcc rId="3801" sId="1">
    <oc r="B172" t="inlineStr">
      <is>
        <t>Blade Inspect</t>
      </is>
    </oc>
    <nc r="B172"/>
  </rcc>
  <rcc rId="3802" sId="1">
    <oc r="C172">
      <v>1</v>
    </oc>
    <nc r="C172"/>
  </rcc>
  <rcc rId="3803" sId="1">
    <oc r="E172" t="inlineStr">
      <is>
        <t>W1029919/1</t>
      </is>
    </oc>
    <nc r="E172"/>
  </rcc>
  <rcc rId="3804" sId="1">
    <oc r="F172" t="inlineStr">
      <is>
        <t>SMI3/73-0010-0101UC</t>
      </is>
    </oc>
    <nc r="F172"/>
  </rcc>
  <rcc rId="3805" sId="1">
    <oc r="G172" t="inlineStr">
      <is>
        <t>#10 SS SURG BLD Un-Coated</t>
      </is>
    </oc>
    <nc r="G172"/>
  </rcc>
  <rcc rId="3806" sId="1">
    <oc r="H172">
      <v>5</v>
    </oc>
    <nc r="H172"/>
  </rcc>
  <rcc rId="3807" sId="1">
    <oc r="I172">
      <v>5</v>
    </oc>
    <nc r="I172"/>
  </rcc>
  <rcc rId="3808" sId="1">
    <oc r="J172">
      <v>15000</v>
    </oc>
    <nc r="J172"/>
  </rcc>
  <rcc rId="3809" sId="1">
    <oc r="K172">
      <v>0</v>
    </oc>
    <nc r="K172"/>
  </rcc>
  <rcc rId="3810" sId="1" numFmtId="19">
    <oc r="L172">
      <v>46224.555555555555</v>
    </oc>
    <nc r="L172"/>
  </rcc>
  <rcc rId="3811" sId="1" numFmtId="19">
    <oc r="M172">
      <v>46224.756944444445</v>
    </oc>
    <nc r="M172"/>
  </rcc>
  <rcc rId="3812" sId="1">
    <oc r="AA172" t="inlineStr">
      <is>
        <t>1</t>
      </is>
    </oc>
    <nc r="AA172"/>
  </rcc>
  <rcc rId="3813" sId="1">
    <oc r="AB172" t="inlineStr">
      <is>
        <t>0</t>
      </is>
    </oc>
    <nc r="AB172"/>
  </rcc>
  <rcc rId="3814" sId="1">
    <oc r="A173" t="inlineStr">
      <is>
        <t>Zone 1</t>
      </is>
    </oc>
    <nc r="A173"/>
  </rcc>
  <rcc rId="3815" sId="1">
    <oc r="B173" t="inlineStr">
      <is>
        <t>Blade Inspect</t>
      </is>
    </oc>
    <nc r="B173"/>
  </rcc>
  <rcc rId="3816" sId="1">
    <oc r="C173">
      <v>2</v>
    </oc>
    <nc r="C173"/>
  </rcc>
  <rcc rId="3817" sId="1">
    <oc r="E173" t="inlineStr">
      <is>
        <t>W1029903/1</t>
      </is>
    </oc>
    <nc r="E173"/>
  </rcc>
  <rcc rId="3818" sId="1">
    <oc r="F173" t="inlineStr">
      <is>
        <t>SMI3/73-0015-0101</t>
      </is>
    </oc>
    <nc r="F173"/>
  </rcc>
  <rcc rId="3819" sId="1">
    <oc r="G173" t="inlineStr">
      <is>
        <t>#15 SS SURG BLD Polymer Coated</t>
      </is>
    </oc>
    <nc r="G173"/>
  </rcc>
  <rcc rId="3820" sId="1">
    <oc r="H173">
      <v>6</v>
    </oc>
    <nc r="H173"/>
  </rcc>
  <rcc rId="3821" sId="1">
    <oc r="I173">
      <v>3</v>
    </oc>
    <nc r="I173"/>
  </rcc>
  <rcc rId="3822" sId="1">
    <oc r="J173">
      <v>18000</v>
    </oc>
    <nc r="J173"/>
  </rcc>
  <rcc rId="3823" sId="1">
    <oc r="K173">
      <v>0</v>
    </oc>
    <nc r="K173"/>
  </rcc>
  <rcc rId="3824" sId="1" numFmtId="19">
    <oc r="L173">
      <v>46224.583333333336</v>
    </oc>
    <nc r="L173"/>
  </rcc>
  <rcc rId="3825" sId="1" numFmtId="19">
    <oc r="M173">
      <v>46224.701388888891</v>
    </oc>
    <nc r="M173"/>
  </rcc>
  <rcc rId="3826" sId="1">
    <oc r="AA173" t="inlineStr">
      <is>
        <t>1</t>
      </is>
    </oc>
    <nc r="AA173"/>
  </rcc>
  <rcc rId="3827" sId="1">
    <oc r="AB173" t="inlineStr">
      <is>
        <t>0</t>
      </is>
    </oc>
    <nc r="AB173"/>
  </rcc>
  <rcc rId="3828" sId="1">
    <oc r="A174" t="inlineStr">
      <is>
        <t>Zone 1</t>
      </is>
    </oc>
    <nc r="A174"/>
  </rcc>
  <rcc rId="3829" sId="1">
    <oc r="B174" t="inlineStr">
      <is>
        <t>Blade Inspect</t>
      </is>
    </oc>
    <nc r="B174"/>
  </rcc>
  <rcc rId="3830" sId="1">
    <oc r="C174">
      <v>2</v>
    </oc>
    <nc r="C174"/>
  </rcc>
  <rcc rId="3831" sId="1">
    <oc r="E174" t="inlineStr">
      <is>
        <t>W1029904/1</t>
      </is>
    </oc>
    <nc r="E174"/>
  </rcc>
  <rcc rId="3832" sId="1">
    <oc r="F174" t="inlineStr">
      <is>
        <t>SMI3/73-0015-0101</t>
      </is>
    </oc>
    <nc r="F174"/>
  </rcc>
  <rcc rId="3833" sId="1">
    <oc r="G174" t="inlineStr">
      <is>
        <t>#15 SS SURG BLD Polymer Coated</t>
      </is>
    </oc>
    <nc r="G174"/>
  </rcc>
  <rcc rId="3834" sId="1">
    <oc r="H174">
      <v>6</v>
    </oc>
    <nc r="H174"/>
  </rcc>
  <rcc rId="3835" sId="1">
    <oc r="I174">
      <v>3</v>
    </oc>
    <nc r="I174"/>
  </rcc>
  <rcc rId="3836" sId="1">
    <oc r="J174">
      <v>18000</v>
    </oc>
    <nc r="J174"/>
  </rcc>
  <rcc rId="3837" sId="1">
    <oc r="K174">
      <v>0</v>
    </oc>
    <nc r="K174"/>
  </rcc>
  <rcc rId="3838" sId="1" numFmtId="19">
    <oc r="L174">
      <v>46225.361111111109</v>
    </oc>
    <nc r="L174"/>
  </rcc>
  <rcc rId="3839" sId="1" numFmtId="19">
    <oc r="M174">
      <v>46225.479166666664</v>
    </oc>
    <nc r="M174"/>
  </rcc>
  <rcc rId="3840" sId="1">
    <oc r="AA174" t="inlineStr">
      <is>
        <t>1</t>
      </is>
    </oc>
    <nc r="AA174"/>
  </rcc>
  <rcc rId="3841" sId="1">
    <oc r="AB174" t="inlineStr">
      <is>
        <t>0</t>
      </is>
    </oc>
    <nc r="AB174"/>
  </rcc>
  <rcc rId="3842" sId="1">
    <oc r="A175" t="inlineStr">
      <is>
        <t>Zone 1</t>
      </is>
    </oc>
    <nc r="A175"/>
  </rcc>
  <rcc rId="3843" sId="1">
    <oc r="B175" t="inlineStr">
      <is>
        <t>Blade Inspect</t>
      </is>
    </oc>
    <nc r="B175"/>
  </rcc>
  <rcc rId="3844" sId="1">
    <oc r="C175">
      <v>1</v>
    </oc>
    <nc r="C175"/>
  </rcc>
  <rcc rId="3845" sId="1">
    <oc r="E175" t="inlineStr">
      <is>
        <t>W1029924/1</t>
      </is>
    </oc>
    <nc r="E175"/>
  </rcc>
  <rcc rId="3846" sId="1">
    <oc r="F175" t="inlineStr">
      <is>
        <t>SMI3/73-0015-0101UC</t>
      </is>
    </oc>
    <nc r="F175"/>
  </rcc>
  <rcc rId="3847" sId="1">
    <oc r="G175" t="inlineStr">
      <is>
        <t>#15 SS SURG BLD Un-Coated</t>
      </is>
    </oc>
    <nc r="G175"/>
  </rcc>
  <rcc rId="3848" sId="1">
    <oc r="H175">
      <v>6</v>
    </oc>
    <nc r="H175"/>
  </rcc>
  <rcc rId="3849" sId="1">
    <oc r="I175">
      <v>6</v>
    </oc>
    <nc r="I175"/>
  </rcc>
  <rcc rId="3850" sId="1">
    <oc r="J175">
      <v>18000</v>
    </oc>
    <nc r="J175"/>
  </rcc>
  <rcc rId="3851" sId="1">
    <oc r="K175">
      <v>0</v>
    </oc>
    <nc r="K175"/>
  </rcc>
  <rcc rId="3852" sId="1" numFmtId="19">
    <oc r="L175">
      <v>46225.402777777781</v>
    </oc>
    <nc r="L175"/>
  </rcc>
  <rcc rId="3853" sId="1" numFmtId="19">
    <oc r="M175">
      <v>46225.645833333336</v>
    </oc>
    <nc r="M175"/>
  </rcc>
  <rcc rId="3854" sId="1">
    <oc r="AA175" t="inlineStr">
      <is>
        <t>1</t>
      </is>
    </oc>
    <nc r="AA175"/>
  </rcc>
  <rcc rId="3855" sId="1">
    <oc r="AB175" t="inlineStr">
      <is>
        <t>0</t>
      </is>
    </oc>
    <nc r="AB175"/>
  </rcc>
  <rcc rId="3856" sId="1">
    <oc r="A176" t="inlineStr">
      <is>
        <t>Zone 1</t>
      </is>
    </oc>
    <nc r="A176"/>
  </rcc>
  <rcc rId="3857" sId="1">
    <oc r="B176" t="inlineStr">
      <is>
        <t>Blade Inspect</t>
      </is>
    </oc>
    <nc r="B176"/>
  </rcc>
  <rcc rId="3858" sId="1">
    <oc r="C176">
      <v>2</v>
    </oc>
    <nc r="C176"/>
  </rcc>
  <rcc rId="3859" sId="1">
    <oc r="E176" t="inlineStr">
      <is>
        <t>W1029905/1</t>
      </is>
    </oc>
    <nc r="E176"/>
  </rcc>
  <rcc rId="3860" sId="1">
    <oc r="F176" t="inlineStr">
      <is>
        <t>SMI3/73-0015-0101</t>
      </is>
    </oc>
    <nc r="F176"/>
  </rcc>
  <rcc rId="3861" sId="1">
    <oc r="G176" t="inlineStr">
      <is>
        <t>#15 SS SURG BLD Polymer Coated</t>
      </is>
    </oc>
    <nc r="G176"/>
  </rcc>
  <rcc rId="3862" sId="1">
    <oc r="H176">
      <v>6</v>
    </oc>
    <nc r="H176"/>
  </rcc>
  <rcc rId="3863" sId="1">
    <oc r="I176">
      <v>3</v>
    </oc>
    <nc r="I176"/>
  </rcc>
  <rcc rId="3864" sId="1">
    <oc r="J176">
      <v>18000</v>
    </oc>
    <nc r="J176"/>
  </rcc>
  <rcc rId="3865" sId="1">
    <oc r="K176">
      <v>0</v>
    </oc>
    <nc r="K176"/>
  </rcc>
  <rcc rId="3866" sId="1" numFmtId="19">
    <oc r="L176">
      <v>46225.472222222219</v>
    </oc>
    <nc r="L176"/>
  </rcc>
  <rcc rId="3867" sId="1" numFmtId="19">
    <oc r="M176">
      <v>46225.590277777781</v>
    </oc>
    <nc r="M176"/>
  </rcc>
  <rcc rId="3868" sId="1">
    <oc r="AA176" t="inlineStr">
      <is>
        <t>1</t>
      </is>
    </oc>
    <nc r="AA176"/>
  </rcc>
  <rcc rId="3869" sId="1">
    <oc r="AB176" t="inlineStr">
      <is>
        <t>0</t>
      </is>
    </oc>
    <nc r="AB176"/>
  </rcc>
  <rcc rId="3870" sId="1">
    <oc r="A177" t="inlineStr">
      <is>
        <t>Zone 1</t>
      </is>
    </oc>
    <nc r="A177"/>
  </rcc>
  <rcc rId="3871" sId="1">
    <oc r="B177" t="inlineStr">
      <is>
        <t>Blade Inspect</t>
      </is>
    </oc>
    <nc r="B177"/>
  </rcc>
  <rcc rId="3872" sId="1">
    <oc r="C177">
      <v>2</v>
    </oc>
    <nc r="C177"/>
  </rcc>
  <rcc rId="3873" sId="1">
    <oc r="E177" t="inlineStr">
      <is>
        <t>W1029906/1</t>
      </is>
    </oc>
    <nc r="E177"/>
  </rcc>
  <rcc rId="3874" sId="1">
    <oc r="F177" t="inlineStr">
      <is>
        <t>SMI3/73-0015-0101</t>
      </is>
    </oc>
    <nc r="F177"/>
  </rcc>
  <rcc rId="3875" sId="1">
    <oc r="G177" t="inlineStr">
      <is>
        <t>#15 SS SURG BLD Polymer Coated</t>
      </is>
    </oc>
    <nc r="G177"/>
  </rcc>
  <rcc rId="3876" sId="1">
    <oc r="H177">
      <v>6</v>
    </oc>
    <nc r="H177"/>
  </rcc>
  <rcc rId="3877" sId="1">
    <oc r="I177">
      <v>3</v>
    </oc>
    <nc r="I177"/>
  </rcc>
  <rcc rId="3878" sId="1">
    <oc r="J177">
      <v>18000</v>
    </oc>
    <nc r="J177"/>
  </rcc>
  <rcc rId="3879" sId="1">
    <oc r="K177">
      <v>0</v>
    </oc>
    <nc r="K177"/>
  </rcc>
  <rcc rId="3880" sId="1" numFmtId="19">
    <oc r="L177">
      <v>46225.583333333336</v>
    </oc>
    <nc r="L177"/>
  </rcc>
  <rcc rId="3881" sId="1" numFmtId="19">
    <oc r="M177">
      <v>46225.701388888891</v>
    </oc>
    <nc r="M177"/>
  </rcc>
  <rcc rId="3882" sId="1">
    <oc r="AA177" t="inlineStr">
      <is>
        <t>1</t>
      </is>
    </oc>
    <nc r="AA177"/>
  </rcc>
  <rcc rId="3883" sId="1">
    <oc r="AB177" t="inlineStr">
      <is>
        <t>0</t>
      </is>
    </oc>
    <nc r="AB177"/>
  </rcc>
  <rcc rId="3884" sId="1">
    <oc r="A178" t="inlineStr">
      <is>
        <t>Zone 1</t>
      </is>
    </oc>
    <nc r="A178"/>
  </rcc>
  <rcc rId="3885" sId="1">
    <oc r="B178" t="inlineStr">
      <is>
        <t>Blade Inspect</t>
      </is>
    </oc>
    <nc r="B178"/>
  </rcc>
  <rcc rId="3886" sId="1">
    <oc r="C178">
      <v>1</v>
    </oc>
    <nc r="C178"/>
  </rcc>
  <rcc rId="3887" sId="1">
    <oc r="E178" t="inlineStr">
      <is>
        <t>W1029925/1</t>
      </is>
    </oc>
    <nc r="E178"/>
  </rcc>
  <rcc rId="3888" sId="1">
    <oc r="F178" t="inlineStr">
      <is>
        <t>SMI3/73-0015-0101UC</t>
      </is>
    </oc>
    <nc r="F178"/>
  </rcc>
  <rcc rId="3889" sId="1">
    <oc r="G178" t="inlineStr">
      <is>
        <t>#15 SS SURG BLD Un-Coated</t>
      </is>
    </oc>
    <nc r="G178"/>
  </rcc>
  <rcc rId="3890" sId="1">
    <oc r="H178">
      <v>6</v>
    </oc>
    <nc r="H178"/>
  </rcc>
  <rcc rId="3891" sId="1">
    <oc r="I178">
      <v>6</v>
    </oc>
    <nc r="I178"/>
  </rcc>
  <rcc rId="3892" sId="1">
    <oc r="J178">
      <v>18000</v>
    </oc>
    <nc r="J178"/>
  </rcc>
  <rcc rId="3893" sId="1">
    <oc r="K178">
      <v>0</v>
    </oc>
    <nc r="K178"/>
  </rcc>
  <rcc rId="3894" sId="1" numFmtId="19">
    <oc r="L178">
      <v>46226.256944444445</v>
    </oc>
    <nc r="L178"/>
  </rcc>
  <rcc rId="3895" sId="1" numFmtId="19">
    <oc r="M178">
      <v>46226.5</v>
    </oc>
    <nc r="M178"/>
  </rcc>
  <rcc rId="3896" sId="1">
    <oc r="AA178" t="inlineStr">
      <is>
        <t>1</t>
      </is>
    </oc>
    <nc r="AA178"/>
  </rcc>
  <rcc rId="3897" sId="1">
    <oc r="AB178" t="inlineStr">
      <is>
        <t>0</t>
      </is>
    </oc>
    <nc r="AB178"/>
  </rcc>
  <rcc rId="3898" sId="1">
    <oc r="A179" t="inlineStr">
      <is>
        <t>Zone 1</t>
      </is>
    </oc>
    <nc r="A179"/>
  </rcc>
  <rcc rId="3899" sId="1">
    <oc r="B179" t="inlineStr">
      <is>
        <t>Blade Inspect</t>
      </is>
    </oc>
    <nc r="B179"/>
  </rcc>
  <rcc rId="3900" sId="1">
    <oc r="C179">
      <v>2</v>
    </oc>
    <nc r="C179"/>
  </rcc>
  <rcc rId="3901" sId="1">
    <oc r="E179" t="inlineStr">
      <is>
        <t>W1029907/1</t>
      </is>
    </oc>
    <nc r="E179"/>
  </rcc>
  <rcc rId="3902" sId="1">
    <oc r="F179" t="inlineStr">
      <is>
        <t>SMI3/73-0015-0101</t>
      </is>
    </oc>
    <nc r="F179"/>
  </rcc>
  <rcc rId="3903" sId="1">
    <oc r="G179" t="inlineStr">
      <is>
        <t>#15 SS SURG BLD Polymer Coated</t>
      </is>
    </oc>
    <nc r="G179"/>
  </rcc>
  <rcc rId="3904" sId="1">
    <oc r="H179">
      <v>6</v>
    </oc>
    <nc r="H179"/>
  </rcc>
  <rcc rId="3905" sId="1">
    <oc r="I179">
      <v>3</v>
    </oc>
    <nc r="I179"/>
  </rcc>
  <rcc rId="3906" sId="1">
    <oc r="J179">
      <v>18000</v>
    </oc>
    <nc r="J179"/>
  </rcc>
  <rcc rId="3907" sId="1">
    <oc r="K179">
      <v>0</v>
    </oc>
    <nc r="K179"/>
  </rcc>
  <rcc rId="3908" sId="1" numFmtId="19">
    <oc r="L179">
      <v>46226.361111111109</v>
    </oc>
    <nc r="L179"/>
  </rcc>
  <rcc rId="3909" sId="1" numFmtId="19">
    <oc r="M179">
      <v>46226.479166666664</v>
    </oc>
    <nc r="M179"/>
  </rcc>
  <rcc rId="3910" sId="1">
    <oc r="AA179" t="inlineStr">
      <is>
        <t>1</t>
      </is>
    </oc>
    <nc r="AA179"/>
  </rcc>
  <rcc rId="3911" sId="1">
    <oc r="AB179" t="inlineStr">
      <is>
        <t>0</t>
      </is>
    </oc>
    <nc r="AB179"/>
  </rcc>
  <rcc rId="3912" sId="1">
    <oc r="A180" t="inlineStr">
      <is>
        <t>Zone 1</t>
      </is>
    </oc>
    <nc r="A180"/>
  </rcc>
  <rcc rId="3913" sId="1">
    <oc r="B180" t="inlineStr">
      <is>
        <t>Blade Inspect</t>
      </is>
    </oc>
    <nc r="B180"/>
  </rcc>
  <rcc rId="3914" sId="1">
    <oc r="C180">
      <v>2</v>
    </oc>
    <nc r="C180"/>
  </rcc>
  <rcc rId="3915" sId="1">
    <oc r="E180" t="inlineStr">
      <is>
        <t>W1029908/1</t>
      </is>
    </oc>
    <nc r="E180"/>
  </rcc>
  <rcc rId="3916" sId="1">
    <oc r="F180" t="inlineStr">
      <is>
        <t>SMI3/73-0015-0101</t>
      </is>
    </oc>
    <nc r="F180"/>
  </rcc>
  <rcc rId="3917" sId="1">
    <oc r="G180" t="inlineStr">
      <is>
        <t>#15 SS SURG BLD Polymer Coated</t>
      </is>
    </oc>
    <nc r="G180"/>
  </rcc>
  <rcc rId="3918" sId="1">
    <oc r="H180">
      <v>6</v>
    </oc>
    <nc r="H180"/>
  </rcc>
  <rcc rId="3919" sId="1">
    <oc r="I180">
      <v>3</v>
    </oc>
    <nc r="I180"/>
  </rcc>
  <rcc rId="3920" sId="1">
    <oc r="J180">
      <v>18000</v>
    </oc>
    <nc r="J180"/>
  </rcc>
  <rcc rId="3921" sId="1">
    <oc r="K180">
      <v>0</v>
    </oc>
    <nc r="K180"/>
  </rcc>
  <rcc rId="3922" sId="1" numFmtId="19">
    <oc r="L180">
      <v>46226.472222222219</v>
    </oc>
    <nc r="L180"/>
  </rcc>
  <rcc rId="3923" sId="1" numFmtId="19">
    <oc r="M180">
      <v>46226.590277777781</v>
    </oc>
    <nc r="M180"/>
  </rcc>
  <rcc rId="3924" sId="1">
    <oc r="AA180" t="inlineStr">
      <is>
        <t>1</t>
      </is>
    </oc>
    <nc r="AA180"/>
  </rcc>
  <rcc rId="3925" sId="1">
    <oc r="AB180" t="inlineStr">
      <is>
        <t>0</t>
      </is>
    </oc>
    <nc r="AB180"/>
  </rcc>
  <rcc rId="3926" sId="1">
    <oc r="A181" t="inlineStr">
      <is>
        <t>Zone 1</t>
      </is>
    </oc>
    <nc r="A181"/>
  </rcc>
  <rcc rId="3927" sId="1">
    <oc r="B181" t="inlineStr">
      <is>
        <t>Blade Inspect</t>
      </is>
    </oc>
    <nc r="B181"/>
  </rcc>
  <rcc rId="3928" sId="1">
    <oc r="C181">
      <v>2</v>
    </oc>
    <nc r="C181"/>
  </rcc>
  <rcc rId="3929" sId="1">
    <oc r="E181" t="inlineStr">
      <is>
        <t>W1029909/1</t>
      </is>
    </oc>
    <nc r="E181"/>
  </rcc>
  <rcc rId="3930" sId="1">
    <oc r="F181" t="inlineStr">
      <is>
        <t>SMI3/73-0015-0101</t>
      </is>
    </oc>
    <nc r="F181"/>
  </rcc>
  <rcc rId="3931" sId="1">
    <oc r="G181" t="inlineStr">
      <is>
        <t>#15 SS SURG BLD Polymer Coated</t>
      </is>
    </oc>
    <nc r="G181"/>
  </rcc>
  <rcc rId="3932" sId="1">
    <oc r="H181">
      <v>6</v>
    </oc>
    <nc r="H181"/>
  </rcc>
  <rcc rId="3933" sId="1">
    <oc r="I181">
      <v>3</v>
    </oc>
    <nc r="I181"/>
  </rcc>
  <rcc rId="3934" sId="1">
    <oc r="J181">
      <v>18000</v>
    </oc>
    <nc r="J181"/>
  </rcc>
  <rcc rId="3935" sId="1">
    <oc r="K181">
      <v>0</v>
    </oc>
    <nc r="K181"/>
  </rcc>
  <rcc rId="3936" sId="1" numFmtId="19">
    <oc r="L181">
      <v>46226.583333333336</v>
    </oc>
    <nc r="L181"/>
  </rcc>
  <rcc rId="3937" sId="1" numFmtId="19">
    <oc r="M181">
      <v>46226.701388888891</v>
    </oc>
    <nc r="M181"/>
  </rcc>
  <rcc rId="3938" sId="1">
    <oc r="AA181" t="inlineStr">
      <is>
        <t>1</t>
      </is>
    </oc>
    <nc r="AA181"/>
  </rcc>
  <rcc rId="3939" sId="1">
    <oc r="AB181" t="inlineStr">
      <is>
        <t>0</t>
      </is>
    </oc>
    <nc r="AB181"/>
  </rcc>
  <rcc rId="3940" sId="1">
    <oc r="A182" t="inlineStr">
      <is>
        <t>Zone 1</t>
      </is>
    </oc>
    <nc r="A182"/>
  </rcc>
  <rcc rId="3941" sId="1">
    <oc r="B182" t="inlineStr">
      <is>
        <t>Blade Inspect</t>
      </is>
    </oc>
    <nc r="B182"/>
  </rcc>
  <rcc rId="3942" sId="1">
    <oc r="C182">
      <v>1</v>
    </oc>
    <nc r="C182"/>
  </rcc>
  <rcc rId="3943" sId="1">
    <oc r="E182" t="inlineStr">
      <is>
        <t>W1029926/1</t>
      </is>
    </oc>
    <nc r="E182"/>
  </rcc>
  <rcc rId="3944" sId="1">
    <oc r="F182" t="inlineStr">
      <is>
        <t>SMI3/73-0015-0101UC</t>
      </is>
    </oc>
    <nc r="F182"/>
  </rcc>
  <rcc rId="3945" sId="1">
    <oc r="G182" t="inlineStr">
      <is>
        <t>#15 SS SURG BLD Un-Coated</t>
      </is>
    </oc>
    <nc r="G182"/>
  </rcc>
  <rcc rId="3946" sId="1">
    <oc r="H182">
      <v>6</v>
    </oc>
    <nc r="H182"/>
  </rcc>
  <rcc rId="3947" sId="1">
    <oc r="I182">
      <v>6</v>
    </oc>
    <nc r="I182"/>
  </rcc>
  <rcc rId="3948" sId="1">
    <oc r="J182">
      <v>18000</v>
    </oc>
    <nc r="J182"/>
  </rcc>
  <rcc rId="3949" sId="1">
    <oc r="K182">
      <v>0</v>
    </oc>
    <nc r="K182"/>
  </rcc>
  <rcc rId="3950" sId="1" numFmtId="19">
    <oc r="L182">
      <v>46227.111111111109</v>
    </oc>
    <nc r="L182"/>
  </rcc>
  <rcc rId="3951" sId="1" numFmtId="19">
    <oc r="M182">
      <v>46227.354166666664</v>
    </oc>
    <nc r="M182"/>
  </rcc>
  <rcc rId="3952" sId="1">
    <oc r="AA182" t="inlineStr">
      <is>
        <t>1</t>
      </is>
    </oc>
    <nc r="AA182"/>
  </rcc>
  <rcc rId="3953" sId="1">
    <oc r="AB182" t="inlineStr">
      <is>
        <t>0</t>
      </is>
    </oc>
    <nc r="AB182"/>
  </rcc>
  <rcc rId="3954" sId="1">
    <oc r="A183" t="inlineStr">
      <is>
        <t>Zone 1</t>
      </is>
    </oc>
    <nc r="A183"/>
  </rcc>
  <rcc rId="3955" sId="1">
    <oc r="B183" t="inlineStr">
      <is>
        <t>Blade Inspect</t>
      </is>
    </oc>
    <nc r="B183"/>
  </rcc>
  <rcc rId="3956" sId="1">
    <oc r="C183">
      <v>2</v>
    </oc>
    <nc r="C183"/>
  </rcc>
  <rcc rId="3957" sId="1">
    <oc r="E183" t="inlineStr">
      <is>
        <t>W1029790/1</t>
      </is>
    </oc>
    <nc r="E183"/>
  </rcc>
  <rcc rId="3958" sId="1">
    <oc r="F183" t="inlineStr">
      <is>
        <t>SMI3/73-0010R-0101</t>
      </is>
    </oc>
    <nc r="F183"/>
  </rcc>
  <rcc rId="3959" sId="1">
    <oc r="G183" t="inlineStr">
      <is>
        <t>#10R SS SURG BLD Polymer Coated</t>
      </is>
    </oc>
    <nc r="G183"/>
  </rcc>
  <rcc rId="3960" sId="1">
    <oc r="H183">
      <v>6.6</v>
    </oc>
    <nc r="H183"/>
  </rcc>
  <rcc rId="3961" sId="1">
    <oc r="I183">
      <v>3.3</v>
    </oc>
    <nc r="I183"/>
  </rcc>
  <rcc rId="3962" sId="1">
    <oc r="J183">
      <v>19800</v>
    </oc>
    <nc r="J183"/>
  </rcc>
  <rcc rId="3963" sId="1">
    <oc r="K183">
      <v>0</v>
    </oc>
    <nc r="K183"/>
  </rcc>
  <rcc rId="3964" sId="1" numFmtId="19">
    <oc r="L183">
      <v>46227.409722222219</v>
    </oc>
    <nc r="L183"/>
  </rcc>
  <rcc rId="3965" sId="1" numFmtId="19">
    <oc r="M183">
      <v>46227.541666666664</v>
    </oc>
    <nc r="M183"/>
  </rcc>
  <rcc rId="3966" sId="1">
    <oc r="AA183" t="inlineStr">
      <is>
        <t>1</t>
      </is>
    </oc>
    <nc r="AA183"/>
  </rcc>
  <rcc rId="3967" sId="1">
    <oc r="AB183" t="inlineStr">
      <is>
        <t>0</t>
      </is>
    </oc>
    <nc r="AB183"/>
  </rcc>
  <rcc rId="3968" sId="1">
    <oc r="A184" t="inlineStr">
      <is>
        <t>Zone 1</t>
      </is>
    </oc>
    <nc r="A184"/>
  </rcc>
  <rcc rId="3969" sId="1">
    <oc r="B184" t="inlineStr">
      <is>
        <t>Blade Inspect</t>
      </is>
    </oc>
    <nc r="B184"/>
  </rcc>
  <rcc rId="3970" sId="1">
    <oc r="C184">
      <v>2</v>
    </oc>
    <nc r="C184"/>
  </rcc>
  <rcc rId="3971" sId="1">
    <oc r="E184" t="inlineStr">
      <is>
        <t>W1029791/1</t>
      </is>
    </oc>
    <nc r="E184"/>
  </rcc>
  <rcc rId="3972" sId="1">
    <oc r="F184" t="inlineStr">
      <is>
        <t>SMI3/73-0010R-0101</t>
      </is>
    </oc>
    <nc r="F184"/>
  </rcc>
  <rcc rId="3973" sId="1">
    <oc r="G184" t="inlineStr">
      <is>
        <t>#10R SS SURG BLD Polymer Coated</t>
      </is>
    </oc>
    <nc r="G184"/>
  </rcc>
  <rcc rId="3974" sId="1">
    <oc r="H184">
      <v>6.6</v>
    </oc>
    <nc r="H184"/>
  </rcc>
  <rcc rId="3975" sId="1">
    <oc r="I184">
      <v>3.3</v>
    </oc>
    <nc r="I184"/>
  </rcc>
  <rcc rId="3976" sId="1">
    <oc r="J184">
      <v>19800</v>
    </oc>
    <nc r="J184"/>
  </rcc>
  <rcc rId="3977" sId="1">
    <oc r="K184">
      <v>0</v>
    </oc>
    <nc r="K184"/>
  </rcc>
  <rcc rId="3978" sId="1" numFmtId="19">
    <oc r="L184">
      <v>46227.527777777781</v>
    </oc>
    <nc r="L184"/>
  </rcc>
  <rcc rId="3979" sId="1" numFmtId="19">
    <oc r="M184">
      <v>46227.659722222219</v>
    </oc>
    <nc r="M184"/>
  </rcc>
  <rcc rId="3980" sId="1">
    <oc r="AA184" t="inlineStr">
      <is>
        <t>1</t>
      </is>
    </oc>
    <nc r="AA184"/>
  </rcc>
  <rcc rId="3981" sId="1">
    <oc r="AB184" t="inlineStr">
      <is>
        <t>0</t>
      </is>
    </oc>
    <nc r="AB184"/>
  </rcc>
  <rcc rId="3982" sId="1">
    <oc r="A185" t="inlineStr">
      <is>
        <t>Zone 1</t>
      </is>
    </oc>
    <nc r="A185"/>
  </rcc>
  <rcc rId="3983" sId="1">
    <oc r="B185" t="inlineStr">
      <is>
        <t>Blade Inspect</t>
      </is>
    </oc>
    <nc r="B185"/>
  </rcc>
  <rcc rId="3984" sId="1">
    <oc r="C185">
      <v>2</v>
    </oc>
    <nc r="C185"/>
  </rcc>
  <rcc rId="3985" sId="1">
    <oc r="E185" t="inlineStr">
      <is>
        <t>W1029792/1</t>
      </is>
    </oc>
    <nc r="E185"/>
  </rcc>
  <rcc rId="3986" sId="1">
    <oc r="F185" t="inlineStr">
      <is>
        <t>SMI3/73-0010R-0101</t>
      </is>
    </oc>
    <nc r="F185"/>
  </rcc>
  <rcc rId="3987" sId="1">
    <oc r="G185" t="inlineStr">
      <is>
        <t>#10R SS SURG BLD Polymer Coated</t>
      </is>
    </oc>
    <nc r="G185"/>
  </rcc>
  <rcc rId="3988" sId="1">
    <oc r="H185">
      <v>6.6</v>
    </oc>
    <nc r="H185"/>
  </rcc>
  <rcc rId="3989" sId="1">
    <oc r="I185">
      <v>3.3</v>
    </oc>
    <nc r="I185"/>
  </rcc>
  <rcc rId="3990" sId="1">
    <oc r="J185">
      <v>19800</v>
    </oc>
    <nc r="J185"/>
  </rcc>
  <rcc rId="3991" sId="1">
    <oc r="K185">
      <v>0</v>
    </oc>
    <nc r="K185"/>
  </rcc>
  <rcc rId="3992" sId="1" numFmtId="19">
    <oc r="L185">
      <v>46230.3125</v>
    </oc>
    <nc r="L185"/>
  </rcc>
  <rcc rId="3993" sId="1" numFmtId="19">
    <oc r="M185">
      <v>46230.444444444445</v>
    </oc>
    <nc r="M185"/>
  </rcc>
  <rcc rId="3994" sId="1">
    <oc r="AA185" t="inlineStr">
      <is>
        <t>1</t>
      </is>
    </oc>
    <nc r="AA185"/>
  </rcc>
  <rcc rId="3995" sId="1">
    <oc r="AB185" t="inlineStr">
      <is>
        <t>0</t>
      </is>
    </oc>
    <nc r="AB185"/>
  </rcc>
  <rcc rId="3996" sId="1">
    <oc r="A186" t="inlineStr">
      <is>
        <t>Zone 1</t>
      </is>
    </oc>
    <nc r="A186"/>
  </rcc>
  <rcc rId="3997" sId="1">
    <oc r="B186" t="inlineStr">
      <is>
        <t>Blade Inspect</t>
      </is>
    </oc>
    <nc r="B186"/>
  </rcc>
  <rcc rId="3998" sId="1">
    <oc r="C186">
      <v>2</v>
    </oc>
    <nc r="C186"/>
  </rcc>
  <rcc rId="3999" sId="1">
    <oc r="E186" t="inlineStr">
      <is>
        <t>W1028991/1</t>
      </is>
    </oc>
    <nc r="E186"/>
  </rcc>
  <rcc rId="4000" sId="1">
    <oc r="F186" t="inlineStr">
      <is>
        <t>SMI3/73-0011-0101</t>
      </is>
    </oc>
    <nc r="F186"/>
  </rcc>
  <rcc rId="4001" sId="1">
    <oc r="G186" t="inlineStr">
      <is>
        <t>#11 SS SURG BLD Polymer Coated</t>
      </is>
    </oc>
    <nc r="G186"/>
  </rcc>
  <rcc rId="4002" sId="1">
    <oc r="H186">
      <v>5</v>
    </oc>
    <nc r="H186"/>
  </rcc>
  <rcc rId="4003" sId="1">
    <oc r="I186">
      <v>2.5</v>
    </oc>
    <nc r="I186"/>
  </rcc>
  <rcc rId="4004" sId="1">
    <oc r="J186">
      <v>15000</v>
    </oc>
    <nc r="J186"/>
  </rcc>
  <rcc rId="4005" sId="1">
    <oc r="K186">
      <v>0</v>
    </oc>
    <nc r="K186"/>
  </rcc>
  <rcc rId="4006" sId="1" numFmtId="19">
    <oc r="L186">
      <v>46230.402777777781</v>
    </oc>
    <nc r="L186"/>
  </rcc>
  <rcc rId="4007" sId="1" numFmtId="19">
    <oc r="M186">
      <v>46230.5</v>
    </oc>
    <nc r="M186"/>
  </rcc>
  <rcc rId="4008" sId="1">
    <oc r="AA186" t="inlineStr">
      <is>
        <t>1</t>
      </is>
    </oc>
    <nc r="AA186"/>
  </rcc>
  <rcc rId="4009" sId="1">
    <oc r="AB186" t="inlineStr">
      <is>
        <t>0</t>
      </is>
    </oc>
    <nc r="AB186"/>
  </rcc>
  <rcc rId="4010" sId="1">
    <oc r="A187" t="inlineStr">
      <is>
        <t>Zone 1</t>
      </is>
    </oc>
    <nc r="A187"/>
  </rcc>
  <rcc rId="4011" sId="1">
    <oc r="B187" t="inlineStr">
      <is>
        <t>Blade Inspect</t>
      </is>
    </oc>
    <nc r="B187"/>
  </rcc>
  <rcc rId="4012" sId="1">
    <oc r="C187">
      <v>2</v>
    </oc>
    <nc r="C187"/>
  </rcc>
  <rcc rId="4013" sId="1">
    <oc r="E187" t="inlineStr">
      <is>
        <t>W1028992/1</t>
      </is>
    </oc>
    <nc r="E187"/>
  </rcc>
  <rcc rId="4014" sId="1">
    <oc r="F187" t="inlineStr">
      <is>
        <t>SMI3/73-0011-0101</t>
      </is>
    </oc>
    <nc r="F187"/>
  </rcc>
  <rcc rId="4015" sId="1">
    <oc r="G187" t="inlineStr">
      <is>
        <t>#11 SS SURG BLD Polymer Coated</t>
      </is>
    </oc>
    <nc r="G187"/>
  </rcc>
  <rcc rId="4016" sId="1">
    <oc r="H187">
      <v>5</v>
    </oc>
    <nc r="H187"/>
  </rcc>
  <rcc rId="4017" sId="1">
    <oc r="I187">
      <v>2.5</v>
    </oc>
    <nc r="I187"/>
  </rcc>
  <rcc rId="4018" sId="1">
    <oc r="J187">
      <v>15000</v>
    </oc>
    <nc r="J187"/>
  </rcc>
  <rcc rId="4019" sId="1">
    <oc r="K187">
      <v>0</v>
    </oc>
    <nc r="K187"/>
  </rcc>
  <rcc rId="4020" sId="1" numFmtId="19">
    <oc r="L187">
      <v>46230.493055555555</v>
    </oc>
    <nc r="L187"/>
  </rcc>
  <rcc rId="4021" sId="1" numFmtId="19">
    <oc r="M187">
      <v>46230.590277777781</v>
    </oc>
    <nc r="M187"/>
  </rcc>
  <rcc rId="4022" sId="1">
    <oc r="AA187" t="inlineStr">
      <is>
        <t>1</t>
      </is>
    </oc>
    <nc r="AA187"/>
  </rcc>
  <rcc rId="4023" sId="1">
    <oc r="AB187" t="inlineStr">
      <is>
        <t>0</t>
      </is>
    </oc>
    <nc r="AB187"/>
  </rcc>
  <rcc rId="4024" sId="1">
    <oc r="A188" t="inlineStr">
      <is>
        <t>Zone 1</t>
      </is>
    </oc>
    <nc r="A188"/>
  </rcc>
  <rcc rId="4025" sId="1">
    <oc r="B188" t="inlineStr">
      <is>
        <t>Blade Inspect</t>
      </is>
    </oc>
    <nc r="B188"/>
  </rcc>
  <rcc rId="4026" sId="1">
    <oc r="C188">
      <v>2</v>
    </oc>
    <nc r="C188"/>
  </rcc>
  <rcc rId="4027" sId="1">
    <oc r="E188" t="inlineStr">
      <is>
        <t>W1028993/1</t>
      </is>
    </oc>
    <nc r="E188"/>
  </rcc>
  <rcc rId="4028" sId="1">
    <oc r="F188" t="inlineStr">
      <is>
        <t>SMI3/73-0011-0101</t>
      </is>
    </oc>
    <nc r="F188"/>
  </rcc>
  <rcc rId="4029" sId="1">
    <oc r="G188" t="inlineStr">
      <is>
        <t>#11 SS SURG BLD Polymer Coated</t>
      </is>
    </oc>
    <nc r="G188"/>
  </rcc>
  <rcc rId="4030" sId="1">
    <oc r="H188">
      <v>5</v>
    </oc>
    <nc r="H188"/>
  </rcc>
  <rcc rId="4031" sId="1">
    <oc r="I188">
      <v>2.5</v>
    </oc>
    <nc r="I188"/>
  </rcc>
  <rcc rId="4032" sId="1">
    <oc r="J188">
      <v>15000</v>
    </oc>
    <nc r="J188"/>
  </rcc>
  <rcc rId="4033" sId="1">
    <oc r="K188">
      <v>0</v>
    </oc>
    <nc r="K188"/>
  </rcc>
  <rcc rId="4034" sId="1" numFmtId="19">
    <oc r="L188">
      <v>46230.583333333336</v>
    </oc>
    <nc r="L188"/>
  </rcc>
  <rcc rId="4035" sId="1" numFmtId="19">
    <oc r="M188">
      <v>46230.680555555555</v>
    </oc>
    <nc r="M188"/>
  </rcc>
  <rcc rId="4036" sId="1">
    <oc r="AA188" t="inlineStr">
      <is>
        <t>1</t>
      </is>
    </oc>
    <nc r="AA188"/>
  </rcc>
  <rcc rId="4037" sId="1">
    <oc r="AB188" t="inlineStr">
      <is>
        <t>0</t>
      </is>
    </oc>
    <nc r="AB188"/>
  </rcc>
  <rcc rId="4038" sId="1">
    <oc r="A189" t="inlineStr">
      <is>
        <t>Zone 1</t>
      </is>
    </oc>
    <nc r="A189"/>
  </rcc>
  <rcc rId="4039" sId="1">
    <oc r="B189" t="inlineStr">
      <is>
        <t>Blade Singulate</t>
      </is>
    </oc>
    <nc r="B189"/>
  </rcc>
  <rcc rId="4040" sId="1">
    <oc r="C189">
      <v>0.125</v>
    </oc>
    <nc r="C189"/>
  </rcc>
  <rcc rId="4041" sId="1">
    <oc r="E189" t="inlineStr">
      <is>
        <t>W1029547/1</t>
      </is>
    </oc>
    <nc r="E189"/>
  </rcc>
  <rcc rId="4042" sId="1">
    <oc r="F189" t="inlineStr">
      <is>
        <t>SMI3/730082</t>
      </is>
    </oc>
    <nc r="F189"/>
  </rcc>
  <rcc rId="4043" sId="1">
    <oc r="G189" t="inlineStr">
      <is>
        <t>Singulated #15 Blade Blank</t>
      </is>
    </oc>
    <nc r="G189"/>
  </rcc>
  <rcc rId="4044" sId="1">
    <oc r="H189">
      <v>1.2194</v>
    </oc>
    <nc r="H189"/>
  </rcc>
  <rcc rId="4045" sId="1">
    <oc r="I189">
      <v>9.3800000000000008</v>
    </oc>
    <nc r="I189"/>
  </rcc>
  <rcc rId="4046" sId="1">
    <oc r="J189">
      <v>15000</v>
    </oc>
    <nc r="J189"/>
  </rcc>
  <rcc rId="4047" sId="1">
    <oc r="K189">
      <v>0</v>
    </oc>
    <nc r="K189"/>
  </rcc>
  <rcc rId="4048" sId="1" numFmtId="19">
    <oc r="L189">
      <v>46208.958333333336</v>
    </oc>
    <nc r="L189"/>
  </rcc>
  <rcc rId="4049" sId="1" numFmtId="19">
    <oc r="M189">
      <v>46209.368055555555</v>
    </oc>
    <nc r="M189"/>
  </rcc>
  <rcc rId="4050" sId="1">
    <oc r="AA189" t="inlineStr">
      <is>
        <t>1</t>
      </is>
    </oc>
    <nc r="AA189"/>
  </rcc>
  <rcc rId="4051" sId="1">
    <oc r="AB189" t="inlineStr">
      <is>
        <t>0</t>
      </is>
    </oc>
    <nc r="AB189"/>
  </rcc>
  <rcc rId="4052" sId="1">
    <oc r="A190" t="inlineStr">
      <is>
        <t>Zone 1</t>
      </is>
    </oc>
    <nc r="A190"/>
  </rcc>
  <rcc rId="4053" sId="1">
    <oc r="B190" t="inlineStr">
      <is>
        <t>Blade Singulate</t>
      </is>
    </oc>
    <nc r="B190"/>
  </rcc>
  <rcc rId="4054" sId="1">
    <oc r="C190">
      <v>0.125</v>
    </oc>
    <nc r="C190"/>
  </rcc>
  <rcc rId="4055" sId="1">
    <oc r="E190" t="inlineStr">
      <is>
        <t>W1029629/1</t>
      </is>
    </oc>
    <nc r="E190"/>
  </rcc>
  <rcc rId="4056" sId="1">
    <oc r="F190" t="inlineStr">
      <is>
        <t>SMI3/730080</t>
      </is>
    </oc>
    <nc r="F190"/>
  </rcc>
  <rcc rId="4057" sId="1">
    <oc r="G190" t="inlineStr">
      <is>
        <t>Singulated #10 Blade Blank</t>
      </is>
    </oc>
    <nc r="G190"/>
  </rcc>
  <rcc rId="4058" sId="1">
    <oc r="H190">
      <v>1.3</v>
    </oc>
    <nc r="H190"/>
  </rcc>
  <rcc rId="4059" sId="1">
    <oc r="I190">
      <v>10</v>
    </oc>
    <nc r="I190"/>
  </rcc>
  <rcc rId="4060" sId="1">
    <oc r="J190">
      <v>16000</v>
    </oc>
    <nc r="J190"/>
  </rcc>
  <rcc rId="4061" sId="1">
    <oc r="K190">
      <v>0</v>
    </oc>
    <nc r="K190"/>
  </rcc>
  <rcc rId="4062" sId="1" numFmtId="19">
    <oc r="L190">
      <v>46209.375</v>
    </oc>
    <nc r="L190"/>
  </rcc>
  <rcc rId="4063" sId="1" numFmtId="19">
    <oc r="M190">
      <v>46209.805555555555</v>
    </oc>
    <nc r="M190"/>
  </rcc>
  <rcc rId="4064" sId="1">
    <oc r="AA190" t="inlineStr">
      <is>
        <t>1</t>
      </is>
    </oc>
    <nc r="AA190"/>
  </rcc>
  <rcc rId="4065" sId="1">
    <oc r="AB190" t="inlineStr">
      <is>
        <t>0</t>
      </is>
    </oc>
    <nc r="AB190"/>
  </rcc>
  <rcc rId="4066" sId="1">
    <oc r="A191" t="inlineStr">
      <is>
        <t>Zone 1</t>
      </is>
    </oc>
    <nc r="A191"/>
  </rcc>
  <rcc rId="4067" sId="1">
    <oc r="B191" t="inlineStr">
      <is>
        <t>Blade Singulate</t>
      </is>
    </oc>
    <nc r="B191"/>
  </rcc>
  <rcc rId="4068" sId="1">
    <oc r="C191">
      <v>0.125</v>
    </oc>
    <nc r="C191"/>
  </rcc>
  <rcc rId="4069" sId="1">
    <oc r="E191" t="inlineStr">
      <is>
        <t>W1029630/1</t>
      </is>
    </oc>
    <nc r="E191"/>
  </rcc>
  <rcc rId="4070" sId="1">
    <oc r="F191" t="inlineStr">
      <is>
        <t>SMI3/730080</t>
      </is>
    </oc>
    <nc r="F191"/>
  </rcc>
  <rcc rId="4071" sId="1">
    <oc r="G191" t="inlineStr">
      <is>
        <t>Singulated #10 Blade Blank</t>
      </is>
    </oc>
    <nc r="G191"/>
  </rcc>
  <rcc rId="4072" sId="1">
    <oc r="H191">
      <v>1.3</v>
    </oc>
    <nc r="H191"/>
  </rcc>
  <rcc rId="4073" sId="1">
    <oc r="I191">
      <v>10</v>
    </oc>
    <nc r="I191"/>
  </rcc>
  <rcc rId="4074" sId="1">
    <oc r="J191">
      <v>16000</v>
    </oc>
    <nc r="J191"/>
  </rcc>
  <rcc rId="4075" sId="1">
    <oc r="K191">
      <v>0</v>
    </oc>
    <nc r="K191"/>
  </rcc>
  <rcc rId="4076" sId="1" numFmtId="19">
    <oc r="L191">
      <v>46209.8125</v>
    </oc>
    <nc r="L191"/>
  </rcc>
  <rcc rId="4077" sId="1" numFmtId="19">
    <oc r="M191">
      <v>46210.243055555555</v>
    </oc>
    <nc r="M191"/>
  </rcc>
  <rcc rId="4078" sId="1">
    <oc r="AA191" t="inlineStr">
      <is>
        <t>1</t>
      </is>
    </oc>
    <nc r="AA191"/>
  </rcc>
  <rcc rId="4079" sId="1">
    <oc r="AB191" t="inlineStr">
      <is>
        <t>0</t>
      </is>
    </oc>
    <nc r="AB191"/>
  </rcc>
  <rcc rId="4080" sId="1">
    <oc r="A192" t="inlineStr">
      <is>
        <t>Zone 1</t>
      </is>
    </oc>
    <nc r="A192"/>
  </rcc>
  <rcc rId="4081" sId="1">
    <oc r="B192" t="inlineStr">
      <is>
        <t>Blade Singulate</t>
      </is>
    </oc>
    <nc r="B192"/>
  </rcc>
  <rcc rId="4082" sId="1">
    <oc r="C192">
      <v>0.125</v>
    </oc>
    <nc r="C192"/>
  </rcc>
  <rcc rId="4083" sId="1">
    <oc r="E192" t="inlineStr">
      <is>
        <t>W1029631/1</t>
      </is>
    </oc>
    <nc r="E192"/>
  </rcc>
  <rcc rId="4084" sId="1">
    <oc r="F192" t="inlineStr">
      <is>
        <t>SMI3/730080</t>
      </is>
    </oc>
    <nc r="F192"/>
  </rcc>
  <rcc rId="4085" sId="1">
    <oc r="G192" t="inlineStr">
      <is>
        <t>Singulated #10 Blade Blank</t>
      </is>
    </oc>
    <nc r="G192"/>
  </rcc>
  <rcc rId="4086" sId="1">
    <oc r="H192">
      <v>1.3</v>
    </oc>
    <nc r="H192"/>
  </rcc>
  <rcc rId="4087" sId="1">
    <oc r="I192">
      <v>10</v>
    </oc>
    <nc r="I192"/>
  </rcc>
  <rcc rId="4088" sId="1">
    <oc r="J192">
      <v>16000</v>
    </oc>
    <nc r="J192"/>
  </rcc>
  <rcc rId="4089" sId="1">
    <oc r="K192">
      <v>0</v>
    </oc>
    <nc r="K192"/>
  </rcc>
  <rcc rId="4090" sId="1" numFmtId="19">
    <oc r="L192">
      <v>46210.25</v>
    </oc>
    <nc r="L192"/>
  </rcc>
  <rcc rId="4091" sId="1" numFmtId="19">
    <oc r="M192">
      <v>46210.680555555555</v>
    </oc>
    <nc r="M192"/>
  </rcc>
  <rcc rId="4092" sId="1">
    <oc r="AA192" t="inlineStr">
      <is>
        <t>1</t>
      </is>
    </oc>
    <nc r="AA192"/>
  </rcc>
  <rcc rId="4093" sId="1">
    <oc r="AB192" t="inlineStr">
      <is>
        <t>0</t>
      </is>
    </oc>
    <nc r="AB192"/>
  </rcc>
  <rcc rId="4094" sId="1">
    <oc r="A193" t="inlineStr">
      <is>
        <t>Zone 1</t>
      </is>
    </oc>
    <nc r="A193"/>
  </rcc>
  <rcc rId="4095" sId="1">
    <oc r="B193" t="inlineStr">
      <is>
        <t>Blade Singulate</t>
      </is>
    </oc>
    <nc r="B193"/>
  </rcc>
  <rcc rId="4096" sId="1">
    <oc r="C193">
      <v>0.125</v>
    </oc>
    <nc r="C193"/>
  </rcc>
  <rcc rId="4097" sId="1">
    <oc r="E193" t="inlineStr">
      <is>
        <t>W1029632/1</t>
      </is>
    </oc>
    <nc r="E193"/>
  </rcc>
  <rcc rId="4098" sId="1">
    <oc r="F193" t="inlineStr">
      <is>
        <t>SMI3/730080</t>
      </is>
    </oc>
    <nc r="F193"/>
  </rcc>
  <rcc rId="4099" sId="1">
    <oc r="G193" t="inlineStr">
      <is>
        <t>Singulated #10 Blade Blank</t>
      </is>
    </oc>
    <nc r="G193"/>
  </rcc>
  <rcc rId="4100" sId="1">
    <oc r="H193">
      <v>1.3</v>
    </oc>
    <nc r="H193"/>
  </rcc>
  <rcc rId="4101" sId="1">
    <oc r="I193">
      <v>10</v>
    </oc>
    <nc r="I193"/>
  </rcc>
  <rcc rId="4102" sId="1">
    <oc r="J193">
      <v>16000</v>
    </oc>
    <nc r="J193"/>
  </rcc>
  <rcc rId="4103" sId="1">
    <oc r="K193">
      <v>0</v>
    </oc>
    <nc r="K193"/>
  </rcc>
  <rcc rId="4104" sId="1" numFmtId="19">
    <oc r="L193">
      <v>46210.6875</v>
    </oc>
    <nc r="L193"/>
  </rcc>
  <rcc rId="4105" sId="1" numFmtId="19">
    <oc r="M193">
      <v>46211.118055555555</v>
    </oc>
    <nc r="M193"/>
  </rcc>
  <rcc rId="4106" sId="1">
    <oc r="AA193" t="inlineStr">
      <is>
        <t>1</t>
      </is>
    </oc>
    <nc r="AA193"/>
  </rcc>
  <rcc rId="4107" sId="1">
    <oc r="AB193" t="inlineStr">
      <is>
        <t>0</t>
      </is>
    </oc>
    <nc r="AB193"/>
  </rcc>
  <rcc rId="4108" sId="1">
    <oc r="A194" t="inlineStr">
      <is>
        <t>Zone 1</t>
      </is>
    </oc>
    <nc r="A194"/>
  </rcc>
  <rcc rId="4109" sId="1">
    <oc r="B194" t="inlineStr">
      <is>
        <t>Blade Singulate</t>
      </is>
    </oc>
    <nc r="B194"/>
  </rcc>
  <rcc rId="4110" sId="1">
    <oc r="C194">
      <v>0.125</v>
    </oc>
    <nc r="C194"/>
  </rcc>
  <rcc rId="4111" sId="1">
    <oc r="E194" t="inlineStr">
      <is>
        <t>W1029937/1</t>
      </is>
    </oc>
    <nc r="E194"/>
  </rcc>
  <rcc rId="4112" sId="1">
    <oc r="F194" t="inlineStr">
      <is>
        <t>SMI3/730080</t>
      </is>
    </oc>
    <nc r="F194"/>
  </rcc>
  <rcc rId="4113" sId="1">
    <oc r="G194" t="inlineStr">
      <is>
        <t>Singulated #10 Blade Blank</t>
      </is>
    </oc>
    <nc r="G194"/>
  </rcc>
  <rcc rId="4114" sId="1">
    <oc r="H194">
      <v>1.2194</v>
    </oc>
    <nc r="H194"/>
  </rcc>
  <rcc rId="4115" sId="1">
    <oc r="I194">
      <v>9.3800000000000008</v>
    </oc>
    <nc r="I194"/>
  </rcc>
  <rcc rId="4116" sId="1">
    <oc r="J194">
      <v>15000</v>
    </oc>
    <nc r="J194"/>
  </rcc>
  <rcc rId="4117" sId="1">
    <oc r="K194">
      <v>0</v>
    </oc>
    <nc r="K194"/>
  </rcc>
  <rcc rId="4118" sId="1" numFmtId="19">
    <oc r="L194">
      <v>46211.125</v>
    </oc>
    <nc r="L194"/>
  </rcc>
  <rcc rId="4119" sId="1" numFmtId="19">
    <oc r="M194">
      <v>46211.534722222219</v>
    </oc>
    <nc r="M194"/>
  </rcc>
  <rcc rId="4120" sId="1">
    <oc r="AA194" t="inlineStr">
      <is>
        <t>1</t>
      </is>
    </oc>
    <nc r="AA194"/>
  </rcc>
  <rcc rId="4121" sId="1">
    <oc r="AB194" t="inlineStr">
      <is>
        <t>0</t>
      </is>
    </oc>
    <nc r="AB194"/>
  </rcc>
  <rcc rId="4122" sId="1">
    <oc r="A195" t="inlineStr">
      <is>
        <t>Zone 1</t>
      </is>
    </oc>
    <nc r="A195"/>
  </rcc>
  <rcc rId="4123" sId="1">
    <oc r="B195" t="inlineStr">
      <is>
        <t>Blade Singulate</t>
      </is>
    </oc>
    <nc r="B195"/>
  </rcc>
  <rcc rId="4124" sId="1">
    <oc r="C195">
      <v>0.125</v>
    </oc>
    <nc r="C195"/>
  </rcc>
  <rcc rId="4125" sId="1">
    <oc r="E195" t="inlineStr">
      <is>
        <t>W1029938/1</t>
      </is>
    </oc>
    <nc r="E195"/>
  </rcc>
  <rcc rId="4126" sId="1">
    <oc r="F195" t="inlineStr">
      <is>
        <t>SMI3/730080</t>
      </is>
    </oc>
    <nc r="F195"/>
  </rcc>
  <rcc rId="4127" sId="1">
    <oc r="G195" t="inlineStr">
      <is>
        <t>Singulated #10 Blade Blank</t>
      </is>
    </oc>
    <nc r="G195"/>
  </rcc>
  <rcc rId="4128" sId="1">
    <oc r="H195">
      <v>1.2194</v>
    </oc>
    <nc r="H195"/>
  </rcc>
  <rcc rId="4129" sId="1">
    <oc r="I195">
      <v>9.3800000000000008</v>
    </oc>
    <nc r="I195"/>
  </rcc>
  <rcc rId="4130" sId="1">
    <oc r="J195">
      <v>15000</v>
    </oc>
    <nc r="J195"/>
  </rcc>
  <rcc rId="4131" sId="1">
    <oc r="K195">
      <v>0</v>
    </oc>
    <nc r="K195"/>
  </rcc>
  <rcc rId="4132" sId="1" numFmtId="19">
    <oc r="L195">
      <v>46211.541666666664</v>
    </oc>
    <nc r="L195"/>
  </rcc>
  <rcc rId="4133" sId="1" numFmtId="19">
    <oc r="M195">
      <v>46211.951388888891</v>
    </oc>
    <nc r="M195"/>
  </rcc>
  <rcc rId="4134" sId="1">
    <oc r="AA195" t="inlineStr">
      <is>
        <t>1</t>
      </is>
    </oc>
    <nc r="AA195"/>
  </rcc>
  <rcc rId="4135" sId="1">
    <oc r="AB195" t="inlineStr">
      <is>
        <t>0</t>
      </is>
    </oc>
    <nc r="AB195"/>
  </rcc>
  <rcc rId="4136" sId="1">
    <oc r="A196" t="inlineStr">
      <is>
        <t>Zone 1</t>
      </is>
    </oc>
    <nc r="A196"/>
  </rcc>
  <rcc rId="4137" sId="1">
    <oc r="B196" t="inlineStr">
      <is>
        <t>Blade Singulate</t>
      </is>
    </oc>
    <nc r="B196"/>
  </rcc>
  <rcc rId="4138" sId="1">
    <oc r="C196">
      <v>0.125</v>
    </oc>
    <nc r="C196"/>
  </rcc>
  <rcc rId="4139" sId="1">
    <oc r="E196" t="inlineStr">
      <is>
        <t>W1029939/1</t>
      </is>
    </oc>
    <nc r="E196"/>
  </rcc>
  <rcc rId="4140" sId="1">
    <oc r="F196" t="inlineStr">
      <is>
        <t>SMI3/730080</t>
      </is>
    </oc>
    <nc r="F196"/>
  </rcc>
  <rcc rId="4141" sId="1">
    <oc r="G196" t="inlineStr">
      <is>
        <t>Singulated #10 Blade Blank</t>
      </is>
    </oc>
    <nc r="G196"/>
  </rcc>
  <rcc rId="4142" sId="1">
    <oc r="H196">
      <v>1.2194</v>
    </oc>
    <nc r="H196"/>
  </rcc>
  <rcc rId="4143" sId="1">
    <oc r="I196">
      <v>9.3800000000000008</v>
    </oc>
    <nc r="I196"/>
  </rcc>
  <rcc rId="4144" sId="1">
    <oc r="J196">
      <v>15000</v>
    </oc>
    <nc r="J196"/>
  </rcc>
  <rcc rId="4145" sId="1">
    <oc r="K196">
      <v>0</v>
    </oc>
    <nc r="K196"/>
  </rcc>
  <rcc rId="4146" sId="1" numFmtId="19">
    <oc r="L196">
      <v>46211.958333333336</v>
    </oc>
    <nc r="L196"/>
  </rcc>
  <rcc rId="4147" sId="1" numFmtId="19">
    <oc r="M196">
      <v>46212.368055555555</v>
    </oc>
    <nc r="M196"/>
  </rcc>
  <rcc rId="4148" sId="1">
    <oc r="AA196" t="inlineStr">
      <is>
        <t>1</t>
      </is>
    </oc>
    <nc r="AA196"/>
  </rcc>
  <rcc rId="4149" sId="1">
    <oc r="AB196" t="inlineStr">
      <is>
        <t>0</t>
      </is>
    </oc>
    <nc r="AB196"/>
  </rcc>
  <rcc rId="4150" sId="1">
    <oc r="A197" t="inlineStr">
      <is>
        <t>Zone 1</t>
      </is>
    </oc>
    <nc r="A197"/>
  </rcc>
  <rcc rId="4151" sId="1">
    <oc r="B197" t="inlineStr">
      <is>
        <t>Blade Singulate</t>
      </is>
    </oc>
    <nc r="B197"/>
  </rcc>
  <rcc rId="4152" sId="1">
    <oc r="C197">
      <v>0.125</v>
    </oc>
    <nc r="C197"/>
  </rcc>
  <rcc rId="4153" sId="1">
    <oc r="E197" t="inlineStr">
      <is>
        <t>W1029940/1</t>
      </is>
    </oc>
    <nc r="E197"/>
  </rcc>
  <rcc rId="4154" sId="1">
    <oc r="F197" t="inlineStr">
      <is>
        <t>SMI3/730080</t>
      </is>
    </oc>
    <nc r="F197"/>
  </rcc>
  <rcc rId="4155" sId="1">
    <oc r="G197" t="inlineStr">
      <is>
        <t>Singulated #10 Blade Blank</t>
      </is>
    </oc>
    <nc r="G197"/>
  </rcc>
  <rcc rId="4156" sId="1">
    <oc r="H197">
      <v>1.2194</v>
    </oc>
    <nc r="H197"/>
  </rcc>
  <rcc rId="4157" sId="1">
    <oc r="I197">
      <v>9.3800000000000008</v>
    </oc>
    <nc r="I197"/>
  </rcc>
  <rcc rId="4158" sId="1">
    <oc r="J197">
      <v>15000</v>
    </oc>
    <nc r="J197"/>
  </rcc>
  <rcc rId="4159" sId="1">
    <oc r="K197">
      <v>0</v>
    </oc>
    <nc r="K197"/>
  </rcc>
  <rcc rId="4160" sId="1" numFmtId="19">
    <oc r="L197">
      <v>46212.375</v>
    </oc>
    <nc r="L197"/>
  </rcc>
  <rcc rId="4161" sId="1" numFmtId="19">
    <oc r="M197">
      <v>46212.784722222219</v>
    </oc>
    <nc r="M197"/>
  </rcc>
  <rcc rId="4162" sId="1">
    <oc r="AA197" t="inlineStr">
      <is>
        <t>1</t>
      </is>
    </oc>
    <nc r="AA197"/>
  </rcc>
  <rcc rId="4163" sId="1">
    <oc r="AB197" t="inlineStr">
      <is>
        <t>0</t>
      </is>
    </oc>
    <nc r="AB197"/>
  </rcc>
  <rcc rId="4164" sId="1">
    <oc r="A198" t="inlineStr">
      <is>
        <t>Zone 1</t>
      </is>
    </oc>
    <nc r="A198"/>
  </rcc>
  <rcc rId="4165" sId="1">
    <oc r="B198" t="inlineStr">
      <is>
        <t>Blade Singulate</t>
      </is>
    </oc>
    <nc r="B198"/>
  </rcc>
  <rcc rId="4166" sId="1">
    <oc r="C198">
      <v>0.125</v>
    </oc>
    <nc r="C198"/>
  </rcc>
  <rcc rId="4167" sId="1">
    <oc r="E198" t="inlineStr">
      <is>
        <t>W1029941/1</t>
      </is>
    </oc>
    <nc r="E198"/>
  </rcc>
  <rcc rId="4168" sId="1">
    <oc r="F198" t="inlineStr">
      <is>
        <t>SMI3/730080</t>
      </is>
    </oc>
    <nc r="F198"/>
  </rcc>
  <rcc rId="4169" sId="1">
    <oc r="G198" t="inlineStr">
      <is>
        <t>Singulated #10 Blade Blank</t>
      </is>
    </oc>
    <nc r="G198"/>
  </rcc>
  <rcc rId="4170" sId="1">
    <oc r="H198">
      <v>1.2194</v>
    </oc>
    <nc r="H198"/>
  </rcc>
  <rcc rId="4171" sId="1">
    <oc r="I198">
      <v>9.3800000000000008</v>
    </oc>
    <nc r="I198"/>
  </rcc>
  <rcc rId="4172" sId="1">
    <oc r="J198">
      <v>15000</v>
    </oc>
    <nc r="J198"/>
  </rcc>
  <rcc rId="4173" sId="1">
    <oc r="K198">
      <v>0</v>
    </oc>
    <nc r="K198"/>
  </rcc>
  <rcc rId="4174" sId="1" numFmtId="19">
    <oc r="L198">
      <v>46212.791666666664</v>
    </oc>
    <nc r="L198"/>
  </rcc>
  <rcc rId="4175" sId="1" numFmtId="19">
    <oc r="M198">
      <v>46213.201388888891</v>
    </oc>
    <nc r="M198"/>
  </rcc>
  <rcc rId="4176" sId="1">
    <oc r="AA198" t="inlineStr">
      <is>
        <t>1</t>
      </is>
    </oc>
    <nc r="AA198"/>
  </rcc>
  <rcc rId="4177" sId="1">
    <oc r="AB198" t="inlineStr">
      <is>
        <t>0</t>
      </is>
    </oc>
    <nc r="AB198"/>
  </rcc>
  <rcc rId="4178" sId="1">
    <oc r="A199" t="inlineStr">
      <is>
        <t>Zone 1</t>
      </is>
    </oc>
    <nc r="A199"/>
  </rcc>
  <rcc rId="4179" sId="1">
    <oc r="B199" t="inlineStr">
      <is>
        <t>Blade Singulate</t>
      </is>
    </oc>
    <nc r="B199"/>
  </rcc>
  <rcc rId="4180" sId="1">
    <oc r="C199">
      <v>0.125</v>
    </oc>
    <nc r="C199"/>
  </rcc>
  <rcc rId="4181" sId="1">
    <oc r="E199" t="inlineStr">
      <is>
        <t>W1029942/1</t>
      </is>
    </oc>
    <nc r="E199"/>
  </rcc>
  <rcc rId="4182" sId="1">
    <oc r="F199" t="inlineStr">
      <is>
        <t>SMI3/730080</t>
      </is>
    </oc>
    <nc r="F199"/>
  </rcc>
  <rcc rId="4183" sId="1">
    <oc r="G199" t="inlineStr">
      <is>
        <t>Singulated #10 Blade Blank</t>
      </is>
    </oc>
    <nc r="G199"/>
  </rcc>
  <rcc rId="4184" sId="1">
    <oc r="H199">
      <v>1.2194</v>
    </oc>
    <nc r="H199"/>
  </rcc>
  <rcc rId="4185" sId="1">
    <oc r="I199">
      <v>9.3800000000000008</v>
    </oc>
    <nc r="I199"/>
  </rcc>
  <rcc rId="4186" sId="1">
    <oc r="J199">
      <v>15000</v>
    </oc>
    <nc r="J199"/>
  </rcc>
  <rcc rId="4187" sId="1">
    <oc r="K199">
      <v>0</v>
    </oc>
    <nc r="K199"/>
  </rcc>
  <rcc rId="4188" sId="1" numFmtId="19">
    <oc r="L199">
      <v>46213.208333333336</v>
    </oc>
    <nc r="L199"/>
  </rcc>
  <rcc rId="4189" sId="1" numFmtId="19">
    <oc r="M199">
      <v>46213.618055555555</v>
    </oc>
    <nc r="M199"/>
  </rcc>
  <rcc rId="4190" sId="1">
    <oc r="AA199" t="inlineStr">
      <is>
        <t>1</t>
      </is>
    </oc>
    <nc r="AA199"/>
  </rcc>
  <rcc rId="4191" sId="1">
    <oc r="AB199" t="inlineStr">
      <is>
        <t>0</t>
      </is>
    </oc>
    <nc r="AB199"/>
  </rcc>
  <rcc rId="4192" sId="1">
    <oc r="A200" t="inlineStr">
      <is>
        <t>Zone 1</t>
      </is>
    </oc>
    <nc r="A200"/>
  </rcc>
  <rcc rId="4193" sId="1">
    <oc r="B200" t="inlineStr">
      <is>
        <t>Blade Singulate</t>
      </is>
    </oc>
    <nc r="B200"/>
  </rcc>
  <rcc rId="4194" sId="1">
    <oc r="C200">
      <v>0.125</v>
    </oc>
    <nc r="C200"/>
  </rcc>
  <rcc rId="4195" sId="1">
    <oc r="E200" t="inlineStr">
      <is>
        <t>W1029943/1</t>
      </is>
    </oc>
    <nc r="E200"/>
  </rcc>
  <rcc rId="4196" sId="1">
    <oc r="F200" t="inlineStr">
      <is>
        <t>SMI3/730080</t>
      </is>
    </oc>
    <nc r="F200"/>
  </rcc>
  <rcc rId="4197" sId="1">
    <oc r="G200" t="inlineStr">
      <is>
        <t>Singulated #10 Blade Blank</t>
      </is>
    </oc>
    <nc r="G200"/>
  </rcc>
  <rcc rId="4198" sId="1">
    <oc r="H200">
      <v>1.2194</v>
    </oc>
    <nc r="H200"/>
  </rcc>
  <rcc rId="4199" sId="1">
    <oc r="I200">
      <v>9.3800000000000008</v>
    </oc>
    <nc r="I200"/>
  </rcc>
  <rcc rId="4200" sId="1">
    <oc r="J200">
      <v>15000</v>
    </oc>
    <nc r="J200"/>
  </rcc>
  <rcc rId="4201" sId="1">
    <oc r="K200">
      <v>0</v>
    </oc>
    <nc r="K200"/>
  </rcc>
  <rcc rId="4202" sId="1" numFmtId="19">
    <oc r="L200">
      <v>46213.625</v>
    </oc>
    <nc r="L200"/>
  </rcc>
  <rcc rId="4203" sId="1" numFmtId="19">
    <oc r="M200">
      <v>46216.034722222219</v>
    </oc>
    <nc r="M200"/>
  </rcc>
  <rcc rId="4204" sId="1">
    <oc r="AA200" t="inlineStr">
      <is>
        <t>1</t>
      </is>
    </oc>
    <nc r="AA200"/>
  </rcc>
  <rcc rId="4205" sId="1">
    <oc r="AB200" t="inlineStr">
      <is>
        <t>0</t>
      </is>
    </oc>
    <nc r="AB200"/>
  </rcc>
  <rcc rId="4206" sId="1">
    <oc r="A201" t="inlineStr">
      <is>
        <t>Zone 1</t>
      </is>
    </oc>
    <nc r="A201"/>
  </rcc>
  <rcc rId="4207" sId="1">
    <oc r="B201" t="inlineStr">
      <is>
        <t>Blade Singulate</t>
      </is>
    </oc>
    <nc r="B201"/>
  </rcc>
  <rcc rId="4208" sId="1">
    <oc r="C201">
      <v>0.125</v>
    </oc>
    <nc r="C201"/>
  </rcc>
  <rcc rId="4209" sId="1">
    <oc r="E201" t="inlineStr">
      <is>
        <t>W1029944/1</t>
      </is>
    </oc>
    <nc r="E201"/>
  </rcc>
  <rcc rId="4210" sId="1">
    <oc r="F201" t="inlineStr">
      <is>
        <t>SMI3/730080</t>
      </is>
    </oc>
    <nc r="F201"/>
  </rcc>
  <rcc rId="4211" sId="1">
    <oc r="G201" t="inlineStr">
      <is>
        <t>Singulated #10 Blade Blank</t>
      </is>
    </oc>
    <nc r="G201"/>
  </rcc>
  <rcc rId="4212" sId="1">
    <oc r="H201">
      <v>1.2194</v>
    </oc>
    <nc r="H201"/>
  </rcc>
  <rcc rId="4213" sId="1">
    <oc r="I201">
      <v>9.3800000000000008</v>
    </oc>
    <nc r="I201"/>
  </rcc>
  <rcc rId="4214" sId="1">
    <oc r="J201">
      <v>15000</v>
    </oc>
    <nc r="J201"/>
  </rcc>
  <rcc rId="4215" sId="1">
    <oc r="K201">
      <v>0</v>
    </oc>
    <nc r="K201"/>
  </rcc>
  <rcc rId="4216" sId="1" numFmtId="19">
    <oc r="L201">
      <v>46216.041666666664</v>
    </oc>
    <nc r="L201"/>
  </rcc>
  <rcc rId="4217" sId="1" numFmtId="19">
    <oc r="M201">
      <v>46216.451388888891</v>
    </oc>
    <nc r="M201"/>
  </rcc>
  <rcc rId="4218" sId="1">
    <oc r="AA201" t="inlineStr">
      <is>
        <t>1</t>
      </is>
    </oc>
    <nc r="AA201"/>
  </rcc>
  <rcc rId="4219" sId="1">
    <oc r="AB201" t="inlineStr">
      <is>
        <t>0</t>
      </is>
    </oc>
    <nc r="AB201"/>
  </rcc>
  <rcc rId="4220" sId="1">
    <oc r="A202" t="inlineStr">
      <is>
        <t>Zone 1</t>
      </is>
    </oc>
    <nc r="A202"/>
  </rcc>
  <rcc rId="4221" sId="1">
    <oc r="B202" t="inlineStr">
      <is>
        <t>Blade Singulate</t>
      </is>
    </oc>
    <nc r="B202"/>
  </rcc>
  <rcc rId="4222" sId="1">
    <oc r="C202">
      <v>0.125</v>
    </oc>
    <nc r="C202"/>
  </rcc>
  <rcc rId="4223" sId="1">
    <oc r="E202" t="inlineStr">
      <is>
        <t>W1029927/1</t>
      </is>
    </oc>
    <nc r="E202"/>
  </rcc>
  <rcc rId="4224" sId="1">
    <oc r="F202" t="inlineStr">
      <is>
        <t>SMI3/730082</t>
      </is>
    </oc>
    <nc r="F202"/>
  </rcc>
  <rcc rId="4225" sId="1">
    <oc r="G202" t="inlineStr">
      <is>
        <t>Singulated #15 Blade Blank</t>
      </is>
    </oc>
    <nc r="G202"/>
  </rcc>
  <rcc rId="4226" sId="1">
    <oc r="H202">
      <v>1.2194</v>
    </oc>
    <nc r="H202"/>
  </rcc>
  <rcc rId="4227" sId="1">
    <oc r="I202">
      <v>9.3800000000000008</v>
    </oc>
    <nc r="I202"/>
  </rcc>
  <rcc rId="4228" sId="1">
    <oc r="J202">
      <v>15000</v>
    </oc>
    <nc r="J202"/>
  </rcc>
  <rcc rId="4229" sId="1">
    <oc r="K202">
      <v>0</v>
    </oc>
    <nc r="K202"/>
  </rcc>
  <rcc rId="4230" sId="1" numFmtId="19">
    <oc r="L202">
      <v>46216.458333333336</v>
    </oc>
    <nc r="L202"/>
  </rcc>
  <rcc rId="4231" sId="1" numFmtId="19">
    <oc r="M202">
      <v>46216.868055555555</v>
    </oc>
    <nc r="M202"/>
  </rcc>
  <rcc rId="4232" sId="1">
    <oc r="AA202" t="inlineStr">
      <is>
        <t>1</t>
      </is>
    </oc>
    <nc r="AA202"/>
  </rcc>
  <rcc rId="4233" sId="1">
    <oc r="AB202" t="inlineStr">
      <is>
        <t>0</t>
      </is>
    </oc>
    <nc r="AB202"/>
  </rcc>
  <rcc rId="4234" sId="1">
    <oc r="A203" t="inlineStr">
      <is>
        <t>Zone 1</t>
      </is>
    </oc>
    <nc r="A203"/>
  </rcc>
  <rcc rId="4235" sId="1">
    <oc r="B203" t="inlineStr">
      <is>
        <t>Blade Singulate</t>
      </is>
    </oc>
    <nc r="B203"/>
  </rcc>
  <rcc rId="4236" sId="1">
    <oc r="C203">
      <v>0.125</v>
    </oc>
    <nc r="C203"/>
  </rcc>
  <rcc rId="4237" sId="1">
    <oc r="E203" t="inlineStr">
      <is>
        <t>W1029928/1</t>
      </is>
    </oc>
    <nc r="E203"/>
  </rcc>
  <rcc rId="4238" sId="1">
    <oc r="F203" t="inlineStr">
      <is>
        <t>SMI3/730082</t>
      </is>
    </oc>
    <nc r="F203"/>
  </rcc>
  <rcc rId="4239" sId="1">
    <oc r="G203" t="inlineStr">
      <is>
        <t>Singulated #15 Blade Blank</t>
      </is>
    </oc>
    <nc r="G203"/>
  </rcc>
  <rcc rId="4240" sId="1">
    <oc r="H203">
      <v>1.2194</v>
    </oc>
    <nc r="H203"/>
  </rcc>
  <rcc rId="4241" sId="1">
    <oc r="I203">
      <v>9.3800000000000008</v>
    </oc>
    <nc r="I203"/>
  </rcc>
  <rcc rId="4242" sId="1">
    <oc r="J203">
      <v>15000</v>
    </oc>
    <nc r="J203"/>
  </rcc>
  <rcc rId="4243" sId="1">
    <oc r="K203">
      <v>0</v>
    </oc>
    <nc r="K203"/>
  </rcc>
  <rcc rId="4244" sId="1" numFmtId="19">
    <oc r="L203">
      <v>46216.875</v>
    </oc>
    <nc r="L203"/>
  </rcc>
  <rcc rId="4245" sId="1" numFmtId="19">
    <oc r="M203">
      <v>46217.284722222219</v>
    </oc>
    <nc r="M203"/>
  </rcc>
  <rcc rId="4246" sId="1">
    <oc r="AA203" t="inlineStr">
      <is>
        <t>1</t>
      </is>
    </oc>
    <nc r="AA203"/>
  </rcc>
  <rcc rId="4247" sId="1">
    <oc r="AB203" t="inlineStr">
      <is>
        <t>0</t>
      </is>
    </oc>
    <nc r="AB203"/>
  </rcc>
  <rcc rId="4248" sId="1">
    <oc r="A204" t="inlineStr">
      <is>
        <t>Zone 1</t>
      </is>
    </oc>
    <nc r="A204"/>
  </rcc>
  <rcc rId="4249" sId="1">
    <oc r="B204" t="inlineStr">
      <is>
        <t>Blade Singulate</t>
      </is>
    </oc>
    <nc r="B204"/>
  </rcc>
  <rcc rId="4250" sId="1">
    <oc r="C204">
      <v>0.125</v>
    </oc>
    <nc r="C204"/>
  </rcc>
  <rcc rId="4251" sId="1">
    <oc r="E204" t="inlineStr">
      <is>
        <t>W1029929/1</t>
      </is>
    </oc>
    <nc r="E204"/>
  </rcc>
  <rcc rId="4252" sId="1">
    <oc r="F204" t="inlineStr">
      <is>
        <t>SMI3/730082</t>
      </is>
    </oc>
    <nc r="F204"/>
  </rcc>
  <rcc rId="4253" sId="1">
    <oc r="G204" t="inlineStr">
      <is>
        <t>Singulated #15 Blade Blank</t>
      </is>
    </oc>
    <nc r="G204"/>
  </rcc>
  <rcc rId="4254" sId="1">
    <oc r="H204">
      <v>1.2194</v>
    </oc>
    <nc r="H204"/>
  </rcc>
  <rcc rId="4255" sId="1">
    <oc r="I204">
      <v>9.3800000000000008</v>
    </oc>
    <nc r="I204"/>
  </rcc>
  <rcc rId="4256" sId="1">
    <oc r="J204">
      <v>15000</v>
    </oc>
    <nc r="J204"/>
  </rcc>
  <rcc rId="4257" sId="1">
    <oc r="K204">
      <v>0</v>
    </oc>
    <nc r="K204"/>
  </rcc>
  <rcc rId="4258" sId="1" numFmtId="19">
    <oc r="L204">
      <v>46217.291666666664</v>
    </oc>
    <nc r="L204"/>
  </rcc>
  <rcc rId="4259" sId="1" numFmtId="19">
    <oc r="M204">
      <v>46217.701388888891</v>
    </oc>
    <nc r="M204"/>
  </rcc>
  <rcc rId="4260" sId="1">
    <oc r="AA204" t="inlineStr">
      <is>
        <t>1</t>
      </is>
    </oc>
    <nc r="AA204"/>
  </rcc>
  <rcc rId="4261" sId="1">
    <oc r="AB204" t="inlineStr">
      <is>
        <t>0</t>
      </is>
    </oc>
    <nc r="AB204"/>
  </rcc>
  <rcc rId="4262" sId="1">
    <oc r="A205" t="inlineStr">
      <is>
        <t>Zone 1</t>
      </is>
    </oc>
    <nc r="A205"/>
  </rcc>
  <rcc rId="4263" sId="1">
    <oc r="B205" t="inlineStr">
      <is>
        <t>Blade Singulate</t>
      </is>
    </oc>
    <nc r="B205"/>
  </rcc>
  <rcc rId="4264" sId="1">
    <oc r="C205">
      <v>0.125</v>
    </oc>
    <nc r="C205"/>
  </rcc>
  <rcc rId="4265" sId="1">
    <oc r="E205" t="inlineStr">
      <is>
        <t>W1029930/1</t>
      </is>
    </oc>
    <nc r="E205"/>
  </rcc>
  <rcc rId="4266" sId="1">
    <oc r="F205" t="inlineStr">
      <is>
        <t>SMI3/730082</t>
      </is>
    </oc>
    <nc r="F205"/>
  </rcc>
  <rcc rId="4267" sId="1">
    <oc r="G205" t="inlineStr">
      <is>
        <t>Singulated #15 Blade Blank</t>
      </is>
    </oc>
    <nc r="G205"/>
  </rcc>
  <rcc rId="4268" sId="1">
    <oc r="H205">
      <v>1.2194</v>
    </oc>
    <nc r="H205"/>
  </rcc>
  <rcc rId="4269" sId="1">
    <oc r="I205">
      <v>9.3800000000000008</v>
    </oc>
    <nc r="I205"/>
  </rcc>
  <rcc rId="4270" sId="1">
    <oc r="J205">
      <v>15000</v>
    </oc>
    <nc r="J205"/>
  </rcc>
  <rcc rId="4271" sId="1">
    <oc r="K205">
      <v>0</v>
    </oc>
    <nc r="K205"/>
  </rcc>
  <rcc rId="4272" sId="1" numFmtId="19">
    <oc r="L205">
      <v>46217.708333333336</v>
    </oc>
    <nc r="L205"/>
  </rcc>
  <rcc rId="4273" sId="1" numFmtId="19">
    <oc r="M205">
      <v>46218.118055555555</v>
    </oc>
    <nc r="M205"/>
  </rcc>
  <rcc rId="4274" sId="1">
    <oc r="AA205" t="inlineStr">
      <is>
        <t>1</t>
      </is>
    </oc>
    <nc r="AA205"/>
  </rcc>
  <rcc rId="4275" sId="1">
    <oc r="AB205" t="inlineStr">
      <is>
        <t>0</t>
      </is>
    </oc>
    <nc r="AB205"/>
  </rcc>
  <rcc rId="4276" sId="1">
    <oc r="A206" t="inlineStr">
      <is>
        <t>Zone 1</t>
      </is>
    </oc>
    <nc r="A206"/>
  </rcc>
  <rcc rId="4277" sId="1">
    <oc r="B206" t="inlineStr">
      <is>
        <t>Blade Singulate</t>
      </is>
    </oc>
    <nc r="B206"/>
  </rcc>
  <rcc rId="4278" sId="1">
    <oc r="C206">
      <v>0.125</v>
    </oc>
    <nc r="C206"/>
  </rcc>
  <rcc rId="4279" sId="1">
    <oc r="E206" t="inlineStr">
      <is>
        <t>W1029931/1</t>
      </is>
    </oc>
    <nc r="E206"/>
  </rcc>
  <rcc rId="4280" sId="1">
    <oc r="F206" t="inlineStr">
      <is>
        <t>SMI3/730082</t>
      </is>
    </oc>
    <nc r="F206"/>
  </rcc>
  <rcc rId="4281" sId="1">
    <oc r="G206" t="inlineStr">
      <is>
        <t>Singulated #15 Blade Blank</t>
      </is>
    </oc>
    <nc r="G206"/>
  </rcc>
  <rcc rId="4282" sId="1">
    <oc r="H206">
      <v>1.2194</v>
    </oc>
    <nc r="H206"/>
  </rcc>
  <rcc rId="4283" sId="1">
    <oc r="I206">
      <v>9.3800000000000008</v>
    </oc>
    <nc r="I206"/>
  </rcc>
  <rcc rId="4284" sId="1">
    <oc r="J206">
      <v>15000</v>
    </oc>
    <nc r="J206"/>
  </rcc>
  <rcc rId="4285" sId="1">
    <oc r="K206">
      <v>0</v>
    </oc>
    <nc r="K206"/>
  </rcc>
  <rcc rId="4286" sId="1" numFmtId="19">
    <oc r="L206">
      <v>46218.125</v>
    </oc>
    <nc r="L206"/>
  </rcc>
  <rcc rId="4287" sId="1" numFmtId="19">
    <oc r="M206">
      <v>46218.534722222219</v>
    </oc>
    <nc r="M206"/>
  </rcc>
  <rcc rId="4288" sId="1">
    <oc r="AA206" t="inlineStr">
      <is>
        <t>1</t>
      </is>
    </oc>
    <nc r="AA206"/>
  </rcc>
  <rcc rId="4289" sId="1">
    <oc r="AB206" t="inlineStr">
      <is>
        <t>0</t>
      </is>
    </oc>
    <nc r="AB206"/>
  </rcc>
  <rcc rId="4290" sId="1">
    <oc r="A207" t="inlineStr">
      <is>
        <t>Zone 1</t>
      </is>
    </oc>
    <nc r="A207"/>
  </rcc>
  <rcc rId="4291" sId="1">
    <oc r="B207" t="inlineStr">
      <is>
        <t>Blade Singulate</t>
      </is>
    </oc>
    <nc r="B207"/>
  </rcc>
  <rcc rId="4292" sId="1">
    <oc r="C207">
      <v>0.125</v>
    </oc>
    <nc r="C207"/>
  </rcc>
  <rcc rId="4293" sId="1">
    <oc r="E207" t="inlineStr">
      <is>
        <t>W1029932/1</t>
      </is>
    </oc>
    <nc r="E207"/>
  </rcc>
  <rcc rId="4294" sId="1">
    <oc r="F207" t="inlineStr">
      <is>
        <t>SMI3/730082</t>
      </is>
    </oc>
    <nc r="F207"/>
  </rcc>
  <rcc rId="4295" sId="1">
    <oc r="G207" t="inlineStr">
      <is>
        <t>Singulated #15 Blade Blank</t>
      </is>
    </oc>
    <nc r="G207"/>
  </rcc>
  <rcc rId="4296" sId="1">
    <oc r="H207">
      <v>1.2194</v>
    </oc>
    <nc r="H207"/>
  </rcc>
  <rcc rId="4297" sId="1">
    <oc r="I207">
      <v>9.3800000000000008</v>
    </oc>
    <nc r="I207"/>
  </rcc>
  <rcc rId="4298" sId="1">
    <oc r="J207">
      <v>15000</v>
    </oc>
    <nc r="J207"/>
  </rcc>
  <rcc rId="4299" sId="1">
    <oc r="K207">
      <v>0</v>
    </oc>
    <nc r="K207"/>
  </rcc>
  <rcc rId="4300" sId="1" numFmtId="19">
    <oc r="L207">
      <v>46218.541666666664</v>
    </oc>
    <nc r="L207"/>
  </rcc>
  <rcc rId="4301" sId="1" numFmtId="19">
    <oc r="M207">
      <v>46218.951388888891</v>
    </oc>
    <nc r="M207"/>
  </rcc>
  <rcc rId="4302" sId="1">
    <oc r="AA207" t="inlineStr">
      <is>
        <t>1</t>
      </is>
    </oc>
    <nc r="AA207"/>
  </rcc>
  <rcc rId="4303" sId="1">
    <oc r="AB207" t="inlineStr">
      <is>
        <t>0</t>
      </is>
    </oc>
    <nc r="AB207"/>
  </rcc>
  <rcc rId="4304" sId="1">
    <oc r="A208" t="inlineStr">
      <is>
        <t>Zone 1</t>
      </is>
    </oc>
    <nc r="A208"/>
  </rcc>
  <rcc rId="4305" sId="1">
    <oc r="B208" t="inlineStr">
      <is>
        <t>Blade Singulate</t>
      </is>
    </oc>
    <nc r="B208"/>
  </rcc>
  <rcc rId="4306" sId="1">
    <oc r="C208">
      <v>0.125</v>
    </oc>
    <nc r="C208"/>
  </rcc>
  <rcc rId="4307" sId="1">
    <oc r="E208" t="inlineStr">
      <is>
        <t>W1029933/1</t>
      </is>
    </oc>
    <nc r="E208"/>
  </rcc>
  <rcc rId="4308" sId="1">
    <oc r="F208" t="inlineStr">
      <is>
        <t>SMI3/730082</t>
      </is>
    </oc>
    <nc r="F208"/>
  </rcc>
  <rcc rId="4309" sId="1">
    <oc r="G208" t="inlineStr">
      <is>
        <t>Singulated #15 Blade Blank</t>
      </is>
    </oc>
    <nc r="G208"/>
  </rcc>
  <rcc rId="4310" sId="1">
    <oc r="H208">
      <v>1.2194</v>
    </oc>
    <nc r="H208"/>
  </rcc>
  <rcc rId="4311" sId="1">
    <oc r="I208">
      <v>9.3800000000000008</v>
    </oc>
    <nc r="I208"/>
  </rcc>
  <rcc rId="4312" sId="1">
    <oc r="J208">
      <v>15000</v>
    </oc>
    <nc r="J208"/>
  </rcc>
  <rcc rId="4313" sId="1">
    <oc r="K208">
      <v>0</v>
    </oc>
    <nc r="K208"/>
  </rcc>
  <rcc rId="4314" sId="1" numFmtId="19">
    <oc r="L208">
      <v>46218.958333333336</v>
    </oc>
    <nc r="L208"/>
  </rcc>
  <rcc rId="4315" sId="1" numFmtId="19">
    <oc r="M208">
      <v>46219.368055555555</v>
    </oc>
    <nc r="M208"/>
  </rcc>
  <rcc rId="4316" sId="1">
    <oc r="AA208" t="inlineStr">
      <is>
        <t>1</t>
      </is>
    </oc>
    <nc r="AA208"/>
  </rcc>
  <rcc rId="4317" sId="1">
    <oc r="AB208" t="inlineStr">
      <is>
        <t>0</t>
      </is>
    </oc>
    <nc r="AB208"/>
  </rcc>
  <rcc rId="4318" sId="1">
    <oc r="A209" t="inlineStr">
      <is>
        <t>Zone 1</t>
      </is>
    </oc>
    <nc r="A209"/>
  </rcc>
  <rcc rId="4319" sId="1">
    <oc r="B209" t="inlineStr">
      <is>
        <t>Blade Singulate</t>
      </is>
    </oc>
    <nc r="B209"/>
  </rcc>
  <rcc rId="4320" sId="1">
    <oc r="C209">
      <v>0.125</v>
    </oc>
    <nc r="C209"/>
  </rcc>
  <rcc rId="4321" sId="1">
    <oc r="E209" t="inlineStr">
      <is>
        <t>W1029934/1</t>
      </is>
    </oc>
    <nc r="E209"/>
  </rcc>
  <rcc rId="4322" sId="1">
    <oc r="F209" t="inlineStr">
      <is>
        <t>SMI3/730082</t>
      </is>
    </oc>
    <nc r="F209"/>
  </rcc>
  <rcc rId="4323" sId="1">
    <oc r="G209" t="inlineStr">
      <is>
        <t>Singulated #15 Blade Blank</t>
      </is>
    </oc>
    <nc r="G209"/>
  </rcc>
  <rcc rId="4324" sId="1">
    <oc r="H209">
      <v>1.2194</v>
    </oc>
    <nc r="H209"/>
  </rcc>
  <rcc rId="4325" sId="1">
    <oc r="I209">
      <v>9.3800000000000008</v>
    </oc>
    <nc r="I209"/>
  </rcc>
  <rcc rId="4326" sId="1">
    <oc r="J209">
      <v>15000</v>
    </oc>
    <nc r="J209"/>
  </rcc>
  <rcc rId="4327" sId="1">
    <oc r="K209">
      <v>0</v>
    </oc>
    <nc r="K209"/>
  </rcc>
  <rcc rId="4328" sId="1" numFmtId="19">
    <oc r="L209">
      <v>46219.375</v>
    </oc>
    <nc r="L209"/>
  </rcc>
  <rcc rId="4329" sId="1" numFmtId="19">
    <oc r="M209">
      <v>46219.784722222219</v>
    </oc>
    <nc r="M209"/>
  </rcc>
  <rcc rId="4330" sId="1">
    <oc r="AA209" t="inlineStr">
      <is>
        <t>1</t>
      </is>
    </oc>
    <nc r="AA209"/>
  </rcc>
  <rcc rId="4331" sId="1">
    <oc r="AB209" t="inlineStr">
      <is>
        <t>0</t>
      </is>
    </oc>
    <nc r="AB209"/>
  </rcc>
  <rcc rId="4332" sId="1">
    <oc r="A210" t="inlineStr">
      <is>
        <t>Zone 1</t>
      </is>
    </oc>
    <nc r="A210"/>
  </rcc>
  <rcc rId="4333" sId="1">
    <oc r="B210" t="inlineStr">
      <is>
        <t>Blade Singulate</t>
      </is>
    </oc>
    <nc r="B210"/>
  </rcc>
  <rcc rId="4334" sId="1">
    <oc r="C210">
      <v>0.125</v>
    </oc>
    <nc r="C210"/>
  </rcc>
  <rcc rId="4335" sId="1">
    <oc r="E210" t="inlineStr">
      <is>
        <t>W1029935/1</t>
      </is>
    </oc>
    <nc r="E210"/>
  </rcc>
  <rcc rId="4336" sId="1">
    <oc r="F210" t="inlineStr">
      <is>
        <t>SMI3/730082</t>
      </is>
    </oc>
    <nc r="F210"/>
  </rcc>
  <rcc rId="4337" sId="1">
    <oc r="G210" t="inlineStr">
      <is>
        <t>Singulated #15 Blade Blank</t>
      </is>
    </oc>
    <nc r="G210"/>
  </rcc>
  <rcc rId="4338" sId="1">
    <oc r="H210">
      <v>1.2194</v>
    </oc>
    <nc r="H210"/>
  </rcc>
  <rcc rId="4339" sId="1">
    <oc r="I210">
      <v>9.3800000000000008</v>
    </oc>
    <nc r="I210"/>
  </rcc>
  <rcc rId="4340" sId="1">
    <oc r="J210">
      <v>15000</v>
    </oc>
    <nc r="J210"/>
  </rcc>
  <rcc rId="4341" sId="1">
    <oc r="K210">
      <v>0</v>
    </oc>
    <nc r="K210"/>
  </rcc>
  <rcc rId="4342" sId="1" numFmtId="19">
    <oc r="L210">
      <v>46219.791666666664</v>
    </oc>
    <nc r="L210"/>
  </rcc>
  <rcc rId="4343" sId="1" numFmtId="19">
    <oc r="M210">
      <v>46220.201388888891</v>
    </oc>
    <nc r="M210"/>
  </rcc>
  <rcc rId="4344" sId="1">
    <oc r="AA210" t="inlineStr">
      <is>
        <t>1</t>
      </is>
    </oc>
    <nc r="AA210"/>
  </rcc>
  <rcc rId="4345" sId="1">
    <oc r="AB210" t="inlineStr">
      <is>
        <t>0</t>
      </is>
    </oc>
    <nc r="AB210"/>
  </rcc>
  <rcc rId="4346" sId="1">
    <oc r="A211" t="inlineStr">
      <is>
        <t>Zone 1</t>
      </is>
    </oc>
    <nc r="A211"/>
  </rcc>
  <rcc rId="4347" sId="1">
    <oc r="B211" t="inlineStr">
      <is>
        <t>Blade Singulate</t>
      </is>
    </oc>
    <nc r="B211"/>
  </rcc>
  <rcc rId="4348" sId="1">
    <oc r="C211">
      <v>0.125</v>
    </oc>
    <nc r="C211"/>
  </rcc>
  <rcc rId="4349" sId="1">
    <oc r="E211" t="inlineStr">
      <is>
        <t>W1029936/1</t>
      </is>
    </oc>
    <nc r="E211"/>
  </rcc>
  <rcc rId="4350" sId="1">
    <oc r="F211" t="inlineStr">
      <is>
        <t>SMI3/730082</t>
      </is>
    </oc>
    <nc r="F211"/>
  </rcc>
  <rcc rId="4351" sId="1">
    <oc r="G211" t="inlineStr">
      <is>
        <t>Singulated #15 Blade Blank</t>
      </is>
    </oc>
    <nc r="G211"/>
  </rcc>
  <rcc rId="4352" sId="1">
    <oc r="H211">
      <v>1.2194</v>
    </oc>
    <nc r="H211"/>
  </rcc>
  <rcc rId="4353" sId="1">
    <oc r="I211">
      <v>9.3800000000000008</v>
    </oc>
    <nc r="I211"/>
  </rcc>
  <rcc rId="4354" sId="1">
    <oc r="J211">
      <v>15000</v>
    </oc>
    <nc r="J211"/>
  </rcc>
  <rcc rId="4355" sId="1">
    <oc r="K211">
      <v>0</v>
    </oc>
    <nc r="K211"/>
  </rcc>
  <rcc rId="4356" sId="1" numFmtId="19">
    <oc r="L211">
      <v>46220.208333333336</v>
    </oc>
    <nc r="L211"/>
  </rcc>
  <rcc rId="4357" sId="1" numFmtId="19">
    <oc r="M211">
      <v>46220.618055555555</v>
    </oc>
    <nc r="M211"/>
  </rcc>
  <rcc rId="4358" sId="1">
    <oc r="AA211" t="inlineStr">
      <is>
        <t>1</t>
      </is>
    </oc>
    <nc r="AA211"/>
  </rcc>
  <rcc rId="4359" sId="1">
    <oc r="AB211" t="inlineStr">
      <is>
        <t>0</t>
      </is>
    </oc>
    <nc r="AB211"/>
  </rcc>
  <rcc rId="4360" sId="1">
    <oc r="A212" t="inlineStr">
      <is>
        <t>Zone 1</t>
      </is>
    </oc>
    <nc r="A212"/>
  </rcc>
  <rcc rId="4361" sId="1">
    <oc r="B212" t="inlineStr">
      <is>
        <t>Blade Singulate</t>
      </is>
    </oc>
    <nc r="B212"/>
  </rcc>
  <rcc rId="4362" sId="1">
    <oc r="C212">
      <v>0.125</v>
    </oc>
    <nc r="C212"/>
  </rcc>
  <rcc rId="4363" sId="1">
    <oc r="E212" t="inlineStr">
      <is>
        <t>W1030202/1</t>
      </is>
    </oc>
    <nc r="E212"/>
  </rcc>
  <rcc rId="4364" sId="1">
    <oc r="F212" t="inlineStr">
      <is>
        <t>SMI3/730080</t>
      </is>
    </oc>
    <nc r="F212"/>
  </rcc>
  <rcc rId="4365" sId="1">
    <oc r="G212" t="inlineStr">
      <is>
        <t>Singulated #10 Blade Blank</t>
      </is>
    </oc>
    <nc r="G212"/>
  </rcc>
  <rcc rId="4366" sId="1">
    <oc r="H212">
      <v>1.4624999999999999</v>
    </oc>
    <nc r="H212"/>
  </rcc>
  <rcc rId="4367" sId="1">
    <oc r="I212">
      <v>11.25</v>
    </oc>
    <nc r="I212"/>
  </rcc>
  <rcc rId="4368" sId="1">
    <oc r="J212">
      <v>18000</v>
    </oc>
    <nc r="J212"/>
  </rcc>
  <rcc rId="4369" sId="1">
    <oc r="K212">
      <v>0</v>
    </oc>
    <nc r="K212"/>
  </rcc>
  <rcc rId="4370" sId="1" numFmtId="19">
    <oc r="L212">
      <v>46220.625</v>
    </oc>
    <nc r="L212"/>
  </rcc>
  <rcc rId="4371" sId="1" numFmtId="19">
    <oc r="M212">
      <v>46223.111111111109</v>
    </oc>
    <nc r="M212"/>
  </rcc>
  <rcc rId="4372" sId="1">
    <oc r="AA212" t="inlineStr">
      <is>
        <t>1</t>
      </is>
    </oc>
    <nc r="AA212"/>
  </rcc>
  <rcc rId="4373" sId="1">
    <oc r="AB212" t="inlineStr">
      <is>
        <t>0</t>
      </is>
    </oc>
    <nc r="AB212"/>
  </rcc>
  <rcc rId="4374" sId="1">
    <oc r="A213" t="inlineStr">
      <is>
        <t>Zone 1</t>
      </is>
    </oc>
    <nc r="A213"/>
  </rcc>
  <rcc rId="4375" sId="1">
    <oc r="B213" t="inlineStr">
      <is>
        <t>Blade Singulate</t>
      </is>
    </oc>
    <nc r="B213"/>
  </rcc>
  <rcc rId="4376" sId="1">
    <oc r="C213">
      <v>0.125</v>
    </oc>
    <nc r="C213"/>
  </rcc>
  <rcc rId="4377" sId="1">
    <oc r="E213" t="inlineStr">
      <is>
        <t>W1030203/1</t>
      </is>
    </oc>
    <nc r="E213"/>
  </rcc>
  <rcc rId="4378" sId="1">
    <oc r="F213" t="inlineStr">
      <is>
        <t>SMI3/730080</t>
      </is>
    </oc>
    <nc r="F213"/>
  </rcc>
  <rcc rId="4379" sId="1">
    <oc r="G213" t="inlineStr">
      <is>
        <t>Singulated #10 Blade Blank</t>
      </is>
    </oc>
    <nc r="G213"/>
  </rcc>
  <rcc rId="4380" sId="1">
    <oc r="H213">
      <v>1.4624999999999999</v>
    </oc>
    <nc r="H213"/>
  </rcc>
  <rcc rId="4381" sId="1">
    <oc r="I213">
      <v>11.25</v>
    </oc>
    <nc r="I213"/>
  </rcc>
  <rcc rId="4382" sId="1">
    <oc r="J213">
      <v>18000</v>
    </oc>
    <nc r="J213"/>
  </rcc>
  <rcc rId="4383" sId="1">
    <oc r="K213">
      <v>0</v>
    </oc>
    <nc r="K213"/>
  </rcc>
  <rcc rId="4384" sId="1" numFmtId="19">
    <oc r="L213">
      <v>46223.118055555555</v>
    </oc>
    <nc r="L213"/>
  </rcc>
  <rcc rId="4385" sId="1" numFmtId="19">
    <oc r="M213">
      <v>46223.604166666664</v>
    </oc>
    <nc r="M213"/>
  </rcc>
  <rcc rId="4386" sId="1">
    <oc r="AA213" t="inlineStr">
      <is>
        <t>1</t>
      </is>
    </oc>
    <nc r="AA213"/>
  </rcc>
  <rcc rId="4387" sId="1">
    <oc r="AB213" t="inlineStr">
      <is>
        <t>0</t>
      </is>
    </oc>
    <nc r="AB213"/>
  </rcc>
  <rcc rId="4388" sId="1">
    <oc r="A214" t="inlineStr">
      <is>
        <t>Zone 1</t>
      </is>
    </oc>
    <nc r="A214"/>
  </rcc>
  <rcc rId="4389" sId="1">
    <oc r="B214" t="inlineStr">
      <is>
        <t>Blade Singulate</t>
      </is>
    </oc>
    <nc r="B214"/>
  </rcc>
  <rcc rId="4390" sId="1">
    <oc r="C214">
      <v>0.125</v>
    </oc>
    <nc r="C214"/>
  </rcc>
  <rcc rId="4391" sId="1">
    <oc r="E214" t="inlineStr">
      <is>
        <t>W1030204/1</t>
      </is>
    </oc>
    <nc r="E214"/>
  </rcc>
  <rcc rId="4392" sId="1">
    <oc r="F214" t="inlineStr">
      <is>
        <t>SMI3/730080</t>
      </is>
    </oc>
    <nc r="F214"/>
  </rcc>
  <rcc rId="4393" sId="1">
    <oc r="G214" t="inlineStr">
      <is>
        <t>Singulated #10 Blade Blank</t>
      </is>
    </oc>
    <nc r="G214"/>
  </rcc>
  <rcc rId="4394" sId="1">
    <oc r="H214">
      <v>1.4624999999999999</v>
    </oc>
    <nc r="H214"/>
  </rcc>
  <rcc rId="4395" sId="1">
    <oc r="I214">
      <v>11.25</v>
    </oc>
    <nc r="I214"/>
  </rcc>
  <rcc rId="4396" sId="1">
    <oc r="J214">
      <v>18000</v>
    </oc>
    <nc r="J214"/>
  </rcc>
  <rcc rId="4397" sId="1">
    <oc r="K214">
      <v>0</v>
    </oc>
    <nc r="K214"/>
  </rcc>
  <rcc rId="4398" sId="1" numFmtId="19">
    <oc r="L214">
      <v>46223.611111111109</v>
    </oc>
    <nc r="L214"/>
  </rcc>
  <rcc rId="4399" sId="1" numFmtId="19">
    <oc r="M214">
      <v>46224.097222222219</v>
    </oc>
    <nc r="M214"/>
  </rcc>
  <rcc rId="4400" sId="1">
    <oc r="AA214" t="inlineStr">
      <is>
        <t>1</t>
      </is>
    </oc>
    <nc r="AA214"/>
  </rcc>
  <rcc rId="4401" sId="1">
    <oc r="AB214" t="inlineStr">
      <is>
        <t>0</t>
      </is>
    </oc>
    <nc r="AB214"/>
  </rcc>
  <rcc rId="4402" sId="1">
    <oc r="A215" t="inlineStr">
      <is>
        <t>Zone 1</t>
      </is>
    </oc>
    <nc r="A215"/>
  </rcc>
  <rcc rId="4403" sId="1">
    <oc r="B215" t="inlineStr">
      <is>
        <t>Blade Singulate</t>
      </is>
    </oc>
    <nc r="B215"/>
  </rcc>
  <rcc rId="4404" sId="1">
    <oc r="C215">
      <v>0.125</v>
    </oc>
    <nc r="C215"/>
  </rcc>
  <rcc rId="4405" sId="1">
    <oc r="E215" t="inlineStr">
      <is>
        <t>W1030205/1</t>
      </is>
    </oc>
    <nc r="E215"/>
  </rcc>
  <rcc rId="4406" sId="1">
    <oc r="F215" t="inlineStr">
      <is>
        <t>SMI3/730080</t>
      </is>
    </oc>
    <nc r="F215"/>
  </rcc>
  <rcc rId="4407" sId="1">
    <oc r="G215" t="inlineStr">
      <is>
        <t>Singulated #10 Blade Blank</t>
      </is>
    </oc>
    <nc r="G215"/>
  </rcc>
  <rcc rId="4408" sId="1">
    <oc r="H215">
      <v>1.4624999999999999</v>
    </oc>
    <nc r="H215"/>
  </rcc>
  <rcc rId="4409" sId="1">
    <oc r="I215">
      <v>11.25</v>
    </oc>
    <nc r="I215"/>
  </rcc>
  <rcc rId="4410" sId="1">
    <oc r="J215">
      <v>18000</v>
    </oc>
    <nc r="J215"/>
  </rcc>
  <rcc rId="4411" sId="1">
    <oc r="K215">
      <v>0</v>
    </oc>
    <nc r="K215"/>
  </rcc>
  <rcc rId="4412" sId="1" numFmtId="19">
    <oc r="L215">
      <v>46224.104166666664</v>
    </oc>
    <nc r="L215"/>
  </rcc>
  <rcc rId="4413" sId="1" numFmtId="19">
    <oc r="M215">
      <v>46224.590277777781</v>
    </oc>
    <nc r="M215"/>
  </rcc>
  <rcc rId="4414" sId="1">
    <oc r="AA215" t="inlineStr">
      <is>
        <t>1</t>
      </is>
    </oc>
    <nc r="AA215"/>
  </rcc>
  <rcc rId="4415" sId="1">
    <oc r="AB215" t="inlineStr">
      <is>
        <t>0</t>
      </is>
    </oc>
    <nc r="AB215"/>
  </rcc>
  <rcc rId="4416" sId="1">
    <oc r="A216" t="inlineStr">
      <is>
        <t>Zone 1</t>
      </is>
    </oc>
    <nc r="A216"/>
  </rcc>
  <rcc rId="4417" sId="1">
    <oc r="B216" t="inlineStr">
      <is>
        <t>Blade Singulate</t>
      </is>
    </oc>
    <nc r="B216"/>
  </rcc>
  <rcc rId="4418" sId="1">
    <oc r="C216">
      <v>0.125</v>
    </oc>
    <nc r="C216"/>
  </rcc>
  <rcc rId="4419" sId="1">
    <oc r="E216" t="inlineStr">
      <is>
        <t>W1030206/1</t>
      </is>
    </oc>
    <nc r="E216"/>
  </rcc>
  <rcc rId="4420" sId="1">
    <oc r="F216" t="inlineStr">
      <is>
        <t>SMI3/730080</t>
      </is>
    </oc>
    <nc r="F216"/>
  </rcc>
  <rcc rId="4421" sId="1">
    <oc r="G216" t="inlineStr">
      <is>
        <t>Singulated #10 Blade Blank</t>
      </is>
    </oc>
    <nc r="G216"/>
  </rcc>
  <rcc rId="4422" sId="1">
    <oc r="H216">
      <v>1.4624999999999999</v>
    </oc>
    <nc r="H216"/>
  </rcc>
  <rcc rId="4423" sId="1">
    <oc r="I216">
      <v>11.25</v>
    </oc>
    <nc r="I216"/>
  </rcc>
  <rcc rId="4424" sId="1">
    <oc r="J216">
      <v>18000</v>
    </oc>
    <nc r="J216"/>
  </rcc>
  <rcc rId="4425" sId="1">
    <oc r="K216">
      <v>0</v>
    </oc>
    <nc r="K216"/>
  </rcc>
  <rcc rId="4426" sId="1" numFmtId="19">
    <oc r="L216">
      <v>46224.597222222219</v>
    </oc>
    <nc r="L216"/>
  </rcc>
  <rcc rId="4427" sId="1" numFmtId="19">
    <oc r="M216">
      <v>46225.083333333336</v>
    </oc>
    <nc r="M216"/>
  </rcc>
  <rcc rId="4428" sId="1">
    <oc r="AA216" t="inlineStr">
      <is>
        <t>1</t>
      </is>
    </oc>
    <nc r="AA216"/>
  </rcc>
  <rcc rId="4429" sId="1">
    <oc r="AB216" t="inlineStr">
      <is>
        <t>0</t>
      </is>
    </oc>
    <nc r="AB216"/>
  </rcc>
  <rcc rId="4430" sId="1">
    <oc r="A217" t="inlineStr">
      <is>
        <t>Zone 1</t>
      </is>
    </oc>
    <nc r="A217"/>
  </rcc>
  <rcc rId="4431" sId="1">
    <oc r="B217" t="inlineStr">
      <is>
        <t>Blade Singulate</t>
      </is>
    </oc>
    <nc r="B217"/>
  </rcc>
  <rcc rId="4432" sId="1">
    <oc r="C217">
      <v>0.125</v>
    </oc>
    <nc r="C217"/>
  </rcc>
  <rcc rId="4433" sId="1">
    <oc r="E217" t="inlineStr">
      <is>
        <t>W1030207/1</t>
      </is>
    </oc>
    <nc r="E217"/>
  </rcc>
  <rcc rId="4434" sId="1">
    <oc r="F217" t="inlineStr">
      <is>
        <t>SMI3/730080</t>
      </is>
    </oc>
    <nc r="F217"/>
  </rcc>
  <rcc rId="4435" sId="1">
    <oc r="G217" t="inlineStr">
      <is>
        <t>Singulated #10 Blade Blank</t>
      </is>
    </oc>
    <nc r="G217"/>
  </rcc>
  <rcc rId="4436" sId="1">
    <oc r="H217">
      <v>1.4624999999999999</v>
    </oc>
    <nc r="H217"/>
  </rcc>
  <rcc rId="4437" sId="1">
    <oc r="I217">
      <v>11.25</v>
    </oc>
    <nc r="I217"/>
  </rcc>
  <rcc rId="4438" sId="1">
    <oc r="J217">
      <v>18000</v>
    </oc>
    <nc r="J217"/>
  </rcc>
  <rcc rId="4439" sId="1">
    <oc r="K217">
      <v>0</v>
    </oc>
    <nc r="K217"/>
  </rcc>
  <rcc rId="4440" sId="1" numFmtId="19">
    <oc r="L217">
      <v>46225.090277777781</v>
    </oc>
    <nc r="L217"/>
  </rcc>
  <rcc rId="4441" sId="1" numFmtId="19">
    <oc r="M217">
      <v>46225.576388888891</v>
    </oc>
    <nc r="M217"/>
  </rcc>
  <rcc rId="4442" sId="1">
    <oc r="AA217" t="inlineStr">
      <is>
        <t>1</t>
      </is>
    </oc>
    <nc r="AA217"/>
  </rcc>
  <rcc rId="4443" sId="1">
    <oc r="AB217" t="inlineStr">
      <is>
        <t>0</t>
      </is>
    </oc>
    <nc r="AB217"/>
  </rcc>
  <rcc rId="4444" sId="1">
    <oc r="A218" t="inlineStr">
      <is>
        <t>Zone 1</t>
      </is>
    </oc>
    <nc r="A218"/>
  </rcc>
  <rcc rId="4445" sId="1">
    <oc r="B218" t="inlineStr">
      <is>
        <t>Blade Singulate</t>
      </is>
    </oc>
    <nc r="B218"/>
  </rcc>
  <rcc rId="4446" sId="1">
    <oc r="C218">
      <v>0.125</v>
    </oc>
    <nc r="C218"/>
  </rcc>
  <rcc rId="4447" sId="1">
    <oc r="E218" t="inlineStr">
      <is>
        <t>W1030208/1</t>
      </is>
    </oc>
    <nc r="E218"/>
  </rcc>
  <rcc rId="4448" sId="1">
    <oc r="F218" t="inlineStr">
      <is>
        <t>SMI3/730080</t>
      </is>
    </oc>
    <nc r="F218"/>
  </rcc>
  <rcc rId="4449" sId="1">
    <oc r="G218" t="inlineStr">
      <is>
        <t>Singulated #10 Blade Blank</t>
      </is>
    </oc>
    <nc r="G218"/>
  </rcc>
  <rcc rId="4450" sId="1">
    <oc r="H218">
      <v>1.4624999999999999</v>
    </oc>
    <nc r="H218"/>
  </rcc>
  <rcc rId="4451" sId="1">
    <oc r="I218">
      <v>11.25</v>
    </oc>
    <nc r="I218"/>
  </rcc>
  <rcc rId="4452" sId="1">
    <oc r="J218">
      <v>18000</v>
    </oc>
    <nc r="J218"/>
  </rcc>
  <rcc rId="4453" sId="1">
    <oc r="K218">
      <v>0</v>
    </oc>
    <nc r="K218"/>
  </rcc>
  <rcc rId="4454" sId="1" numFmtId="19">
    <oc r="L218">
      <v>46225.583333333336</v>
    </oc>
    <nc r="L218"/>
  </rcc>
  <rcc rId="4455" sId="1" numFmtId="19">
    <oc r="M218">
      <v>46226.069444444445</v>
    </oc>
    <nc r="M218"/>
  </rcc>
  <rcc rId="4456" sId="1">
    <oc r="AA218" t="inlineStr">
      <is>
        <t>1</t>
      </is>
    </oc>
    <nc r="AA218"/>
  </rcc>
  <rcc rId="4457" sId="1">
    <oc r="AB218" t="inlineStr">
      <is>
        <t>0</t>
      </is>
    </oc>
    <nc r="AB218"/>
  </rcc>
  <rcc rId="4458" sId="1">
    <oc r="A219" t="inlineStr">
      <is>
        <t>Zone 1</t>
      </is>
    </oc>
    <nc r="A219"/>
  </rcc>
  <rcc rId="4459" sId="1">
    <oc r="B219" t="inlineStr">
      <is>
        <t>Blade Singulate</t>
      </is>
    </oc>
    <nc r="B219"/>
  </rcc>
  <rcc rId="4460" sId="1">
    <oc r="C219">
      <v>0.125</v>
    </oc>
    <nc r="C219"/>
  </rcc>
  <rcc rId="4461" sId="1">
    <oc r="E219" t="inlineStr">
      <is>
        <t>W1030209/1</t>
      </is>
    </oc>
    <nc r="E219"/>
  </rcc>
  <rcc rId="4462" sId="1">
    <oc r="F219" t="inlineStr">
      <is>
        <t>SMI3/730080</t>
      </is>
    </oc>
    <nc r="F219"/>
  </rcc>
  <rcc rId="4463" sId="1">
    <oc r="G219" t="inlineStr">
      <is>
        <t>Singulated #10 Blade Blank</t>
      </is>
    </oc>
    <nc r="G219"/>
  </rcc>
  <rcc rId="4464" sId="1">
    <oc r="H219">
      <v>1.4624999999999999</v>
    </oc>
    <nc r="H219"/>
  </rcc>
  <rcc rId="4465" sId="1">
    <oc r="I219">
      <v>11.25</v>
    </oc>
    <nc r="I219"/>
  </rcc>
  <rcc rId="4466" sId="1">
    <oc r="J219">
      <v>18000</v>
    </oc>
    <nc r="J219"/>
  </rcc>
  <rcc rId="4467" sId="1">
    <oc r="K219">
      <v>0</v>
    </oc>
    <nc r="K219"/>
  </rcc>
  <rcc rId="4468" sId="1" numFmtId="19">
    <oc r="L219">
      <v>46226.076388888891</v>
    </oc>
    <nc r="L219"/>
  </rcc>
  <rcc rId="4469" sId="1" numFmtId="19">
    <oc r="M219">
      <v>46226.5625</v>
    </oc>
    <nc r="M219"/>
  </rcc>
  <rcc rId="4470" sId="1">
    <oc r="AA219" t="inlineStr">
      <is>
        <t>1</t>
      </is>
    </oc>
    <nc r="AA219"/>
  </rcc>
  <rcc rId="4471" sId="1">
    <oc r="AB219" t="inlineStr">
      <is>
        <t>0</t>
      </is>
    </oc>
    <nc r="AB219"/>
  </rcc>
  <rcc rId="4472" sId="1">
    <oc r="A220" t="inlineStr">
      <is>
        <t>Zone 1</t>
      </is>
    </oc>
    <nc r="A220"/>
  </rcc>
  <rcc rId="4473" sId="1">
    <oc r="B220" t="inlineStr">
      <is>
        <t>Blade Singulate</t>
      </is>
    </oc>
    <nc r="B220"/>
  </rcc>
  <rcc rId="4474" sId="1">
    <oc r="C220">
      <v>0.125</v>
    </oc>
    <nc r="C220"/>
  </rcc>
  <rcc rId="4475" sId="1">
    <oc r="E220" t="inlineStr">
      <is>
        <t>W1030210/1</t>
      </is>
    </oc>
    <nc r="E220"/>
  </rcc>
  <rcc rId="4476" sId="1">
    <oc r="F220" t="inlineStr">
      <is>
        <t>SMI3/730080</t>
      </is>
    </oc>
    <nc r="F220"/>
  </rcc>
  <rcc rId="4477" sId="1">
    <oc r="G220" t="inlineStr">
      <is>
        <t>Singulated #10 Blade Blank</t>
      </is>
    </oc>
    <nc r="G220"/>
  </rcc>
  <rcc rId="4478" sId="1">
    <oc r="H220">
      <v>1.4624999999999999</v>
    </oc>
    <nc r="H220"/>
  </rcc>
  <rcc rId="4479" sId="1">
    <oc r="I220">
      <v>11.25</v>
    </oc>
    <nc r="I220"/>
  </rcc>
  <rcc rId="4480" sId="1">
    <oc r="J220">
      <v>18000</v>
    </oc>
    <nc r="J220"/>
  </rcc>
  <rcc rId="4481" sId="1">
    <oc r="K220">
      <v>0</v>
    </oc>
    <nc r="K220"/>
  </rcc>
  <rcc rId="4482" sId="1" numFmtId="19">
    <oc r="L220">
      <v>46226.569444444445</v>
    </oc>
    <nc r="L220"/>
  </rcc>
  <rcc rId="4483" sId="1" numFmtId="19">
    <oc r="M220">
      <v>46227.055555555555</v>
    </oc>
    <nc r="M220"/>
  </rcc>
  <rcc rId="4484" sId="1">
    <oc r="AA220" t="inlineStr">
      <is>
        <t>1</t>
      </is>
    </oc>
    <nc r="AA220"/>
  </rcc>
  <rcc rId="4485" sId="1">
    <oc r="AB220" t="inlineStr">
      <is>
        <t>0</t>
      </is>
    </oc>
    <nc r="AB220"/>
  </rcc>
  <rcc rId="4486" sId="1">
    <oc r="A221" t="inlineStr">
      <is>
        <t>Zone 1</t>
      </is>
    </oc>
    <nc r="A221"/>
  </rcc>
  <rcc rId="4487" sId="1">
    <oc r="B221" t="inlineStr">
      <is>
        <t>Blade Singulate</t>
      </is>
    </oc>
    <nc r="B221"/>
  </rcc>
  <rcc rId="4488" sId="1">
    <oc r="C221">
      <v>0.125</v>
    </oc>
    <nc r="C221"/>
  </rcc>
  <rcc rId="4489" sId="1">
    <oc r="E221" t="inlineStr">
      <is>
        <t>W1030211/1</t>
      </is>
    </oc>
    <nc r="E221"/>
  </rcc>
  <rcc rId="4490" sId="1">
    <oc r="F221" t="inlineStr">
      <is>
        <t>SMI3/730080</t>
      </is>
    </oc>
    <nc r="F221"/>
  </rcc>
  <rcc rId="4491" sId="1">
    <oc r="G221" t="inlineStr">
      <is>
        <t>Singulated #10 Blade Blank</t>
      </is>
    </oc>
    <nc r="G221"/>
  </rcc>
  <rcc rId="4492" sId="1">
    <oc r="H221">
      <v>1.4624999999999999</v>
    </oc>
    <nc r="H221"/>
  </rcc>
  <rcc rId="4493" sId="1">
    <oc r="I221">
      <v>11.25</v>
    </oc>
    <nc r="I221"/>
  </rcc>
  <rcc rId="4494" sId="1">
    <oc r="J221">
      <v>18000</v>
    </oc>
    <nc r="J221"/>
  </rcc>
  <rcc rId="4495" sId="1">
    <oc r="K221">
      <v>0</v>
    </oc>
    <nc r="K221"/>
  </rcc>
  <rcc rId="4496" sId="1" numFmtId="19">
    <oc r="L221">
      <v>46227.0625</v>
    </oc>
    <nc r="L221"/>
  </rcc>
  <rcc rId="4497" sId="1" numFmtId="19">
    <oc r="M221">
      <v>46227.548611111109</v>
    </oc>
    <nc r="M221"/>
  </rcc>
  <rcc rId="4498" sId="1">
    <oc r="AA221" t="inlineStr">
      <is>
        <t>1</t>
      </is>
    </oc>
    <nc r="AA221"/>
  </rcc>
  <rcc rId="4499" sId="1">
    <oc r="AB221" t="inlineStr">
      <is>
        <t>0</t>
      </is>
    </oc>
    <nc r="AB221"/>
  </rcc>
  <rcc rId="4500" sId="1">
    <oc r="A222" t="inlineStr">
      <is>
        <t>Zone 1</t>
      </is>
    </oc>
    <nc r="A222"/>
  </rcc>
  <rcc rId="4501" sId="1">
    <oc r="B222" t="inlineStr">
      <is>
        <t>Blade Singulate</t>
      </is>
    </oc>
    <nc r="B222"/>
  </rcc>
  <rcc rId="4502" sId="1">
    <oc r="C222">
      <v>0.125</v>
    </oc>
    <nc r="C222"/>
  </rcc>
  <rcc rId="4503" sId="1">
    <oc r="E222" t="inlineStr">
      <is>
        <t>W1030212/1</t>
      </is>
    </oc>
    <nc r="E222"/>
  </rcc>
  <rcc rId="4504" sId="1">
    <oc r="F222" t="inlineStr">
      <is>
        <t>SMI3/730082</t>
      </is>
    </oc>
    <nc r="F222"/>
  </rcc>
  <rcc rId="4505" sId="1">
    <oc r="G222" t="inlineStr">
      <is>
        <t>Singulated #15 Blade Blank</t>
      </is>
    </oc>
    <nc r="G222"/>
  </rcc>
  <rcc rId="4506" sId="1">
    <oc r="H222">
      <v>1.2194</v>
    </oc>
    <nc r="H222"/>
  </rcc>
  <rcc rId="4507" sId="1">
    <oc r="I222">
      <v>9.3800000000000008</v>
    </oc>
    <nc r="I222"/>
  </rcc>
  <rcc rId="4508" sId="1">
    <oc r="J222">
      <v>15000</v>
    </oc>
    <nc r="J222"/>
  </rcc>
  <rcc rId="4509" sId="1">
    <oc r="K222">
      <v>0</v>
    </oc>
    <nc r="K222"/>
  </rcc>
  <rcc rId="4510" sId="1" numFmtId="19">
    <oc r="L222">
      <v>46227.555555555555</v>
    </oc>
    <nc r="L222"/>
  </rcc>
  <rcc rId="4511" sId="1" numFmtId="19">
    <oc r="M222">
      <v>46229.965277777781</v>
    </oc>
    <nc r="M222"/>
  </rcc>
  <rcc rId="4512" sId="1">
    <oc r="AA222" t="inlineStr">
      <is>
        <t>1</t>
      </is>
    </oc>
    <nc r="AA222"/>
  </rcc>
  <rcc rId="4513" sId="1">
    <oc r="AB222" t="inlineStr">
      <is>
        <t>0</t>
      </is>
    </oc>
    <nc r="AB222"/>
  </rcc>
  <rcc rId="4514" sId="1">
    <oc r="A223" t="inlineStr">
      <is>
        <t>Zone 1</t>
      </is>
    </oc>
    <nc r="A223"/>
  </rcc>
  <rcc rId="4515" sId="1">
    <oc r="B223" t="inlineStr">
      <is>
        <t>Blade Singulate</t>
      </is>
    </oc>
    <nc r="B223"/>
  </rcc>
  <rcc rId="4516" sId="1">
    <oc r="C223">
      <v>0.125</v>
    </oc>
    <nc r="C223"/>
  </rcc>
  <rcc rId="4517" sId="1">
    <oc r="E223" t="inlineStr">
      <is>
        <t>W1030213/1</t>
      </is>
    </oc>
    <nc r="E223"/>
  </rcc>
  <rcc rId="4518" sId="1">
    <oc r="F223" t="inlineStr">
      <is>
        <t>SMI3/730082</t>
      </is>
    </oc>
    <nc r="F223"/>
  </rcc>
  <rcc rId="4519" sId="1">
    <oc r="G223" t="inlineStr">
      <is>
        <t>Singulated #15 Blade Blank</t>
      </is>
    </oc>
    <nc r="G223"/>
  </rcc>
  <rcc rId="4520" sId="1">
    <oc r="H223">
      <v>1.2194</v>
    </oc>
    <nc r="H223"/>
  </rcc>
  <rcc rId="4521" sId="1">
    <oc r="I223">
      <v>9.3800000000000008</v>
    </oc>
    <nc r="I223"/>
  </rcc>
  <rcc rId="4522" sId="1">
    <oc r="J223">
      <v>15000</v>
    </oc>
    <nc r="J223"/>
  </rcc>
  <rcc rId="4523" sId="1">
    <oc r="K223">
      <v>0</v>
    </oc>
    <nc r="K223"/>
  </rcc>
  <rcc rId="4524" sId="1" numFmtId="19">
    <oc r="L223">
      <v>46229.972222222219</v>
    </oc>
    <nc r="L223"/>
  </rcc>
  <rcc rId="4525" sId="1" numFmtId="19">
    <oc r="M223">
      <v>46230.381944444445</v>
    </oc>
    <nc r="M223"/>
  </rcc>
  <rcc rId="4526" sId="1">
    <oc r="AA223" t="inlineStr">
      <is>
        <t>1</t>
      </is>
    </oc>
    <nc r="AA223"/>
  </rcc>
  <rcc rId="4527" sId="1">
    <oc r="AB223" t="inlineStr">
      <is>
        <t>0</t>
      </is>
    </oc>
    <nc r="AB223"/>
  </rcc>
  <rcc rId="4528" sId="1">
    <oc r="A224" t="inlineStr">
      <is>
        <t>Zone 1</t>
      </is>
    </oc>
    <nc r="A224"/>
  </rcc>
  <rcc rId="4529" sId="1">
    <oc r="B224" t="inlineStr">
      <is>
        <t>Blade Singulate</t>
      </is>
    </oc>
    <nc r="B224"/>
  </rcc>
  <rcc rId="4530" sId="1">
    <oc r="C224">
      <v>0.125</v>
    </oc>
    <nc r="C224"/>
  </rcc>
  <rcc rId="4531" sId="1">
    <oc r="E224" t="inlineStr">
      <is>
        <t>W1030214/1</t>
      </is>
    </oc>
    <nc r="E224"/>
  </rcc>
  <rcc rId="4532" sId="1">
    <oc r="F224" t="inlineStr">
      <is>
        <t>SMI3/730082</t>
      </is>
    </oc>
    <nc r="F224"/>
  </rcc>
  <rcc rId="4533" sId="1">
    <oc r="G224" t="inlineStr">
      <is>
        <t>Singulated #15 Blade Blank</t>
      </is>
    </oc>
    <nc r="G224"/>
  </rcc>
  <rcc rId="4534" sId="1">
    <oc r="H224">
      <v>1.2194</v>
    </oc>
    <nc r="H224"/>
  </rcc>
  <rcc rId="4535" sId="1">
    <oc r="I224">
      <v>9.3800000000000008</v>
    </oc>
    <nc r="I224"/>
  </rcc>
  <rcc rId="4536" sId="1">
    <oc r="J224">
      <v>15000</v>
    </oc>
    <nc r="J224"/>
  </rcc>
  <rcc rId="4537" sId="1">
    <oc r="K224">
      <v>0</v>
    </oc>
    <nc r="K224"/>
  </rcc>
  <rcc rId="4538" sId="1" numFmtId="19">
    <oc r="L224">
      <v>46230.388888888891</v>
    </oc>
    <nc r="L224"/>
  </rcc>
  <rcc rId="4539" sId="1" numFmtId="19">
    <oc r="M224">
      <v>46230.798611111109</v>
    </oc>
    <nc r="M224"/>
  </rcc>
  <rcc rId="4540" sId="1">
    <oc r="AA224" t="inlineStr">
      <is>
        <t>1</t>
      </is>
    </oc>
    <nc r="AA224"/>
  </rcc>
  <rcc rId="4541" sId="1">
    <oc r="AB224" t="inlineStr">
      <is>
        <t>0</t>
      </is>
    </oc>
    <nc r="AB224"/>
  </rcc>
  <rcc rId="4542" sId="1">
    <oc r="A225" t="inlineStr">
      <is>
        <t>Zone 1</t>
      </is>
    </oc>
    <nc r="A225"/>
  </rcc>
  <rcc rId="4543" sId="1">
    <oc r="B225" t="inlineStr">
      <is>
        <t>Blade Singulate</t>
      </is>
    </oc>
    <nc r="B225"/>
  </rcc>
  <rcc rId="4544" sId="1">
    <oc r="C225">
      <v>0.125</v>
    </oc>
    <nc r="C225"/>
  </rcc>
  <rcc rId="4545" sId="1">
    <oc r="E225" t="inlineStr">
      <is>
        <t>W1030215/1</t>
      </is>
    </oc>
    <nc r="E225"/>
  </rcc>
  <rcc rId="4546" sId="1">
    <oc r="F225" t="inlineStr">
      <is>
        <t>SMI3/730082</t>
      </is>
    </oc>
    <nc r="F225"/>
  </rcc>
  <rcc rId="4547" sId="1">
    <oc r="G225" t="inlineStr">
      <is>
        <t>Singulated #15 Blade Blank</t>
      </is>
    </oc>
    <nc r="G225"/>
  </rcc>
  <rcc rId="4548" sId="1">
    <oc r="H225">
      <v>1.2194</v>
    </oc>
    <nc r="H225"/>
  </rcc>
  <rcc rId="4549" sId="1">
    <oc r="I225">
      <v>9.3800000000000008</v>
    </oc>
    <nc r="I225"/>
  </rcc>
  <rcc rId="4550" sId="1">
    <oc r="J225">
      <v>15000</v>
    </oc>
    <nc r="J225"/>
  </rcc>
  <rcc rId="4551" sId="1">
    <oc r="K225">
      <v>0</v>
    </oc>
    <nc r="K225"/>
  </rcc>
  <rcc rId="4552" sId="1" numFmtId="19">
    <oc r="L225">
      <v>46230.805555555555</v>
    </oc>
    <nc r="L225"/>
  </rcc>
  <rcc rId="4553" sId="1" numFmtId="19">
    <oc r="M225">
      <v>46231.215277777781</v>
    </oc>
    <nc r="M225"/>
  </rcc>
  <rcc rId="4554" sId="1">
    <oc r="AA225" t="inlineStr">
      <is>
        <t>1</t>
      </is>
    </oc>
    <nc r="AA225"/>
  </rcc>
  <rcc rId="4555" sId="1">
    <oc r="AB225" t="inlineStr">
      <is>
        <t>0</t>
      </is>
    </oc>
    <nc r="AB225"/>
  </rcc>
  <rcc rId="4556" sId="1">
    <oc r="A226" t="inlineStr">
      <is>
        <t>Zone 1</t>
      </is>
    </oc>
    <nc r="A226"/>
  </rcc>
  <rcc rId="4557" sId="1">
    <oc r="B226" t="inlineStr">
      <is>
        <t>Blue Scalpel</t>
      </is>
    </oc>
    <nc r="B226"/>
  </rcc>
  <rcc rId="4558" sId="1">
    <oc r="C226">
      <v>2</v>
    </oc>
    <nc r="C226"/>
  </rcc>
  <rcc rId="4559" sId="1">
    <oc r="E226" t="inlineStr">
      <is>
        <t>W1021924-5/1</t>
      </is>
    </oc>
    <nc r="E226"/>
  </rcc>
  <rcc rId="4560" sId="1">
    <oc r="F226" t="inlineStr">
      <is>
        <t>SMI1/73-0211</t>
      </is>
    </oc>
    <nc r="F226"/>
  </rcc>
  <rcc rId="4561" sId="1">
    <oc r="G226" t="inlineStr">
      <is>
        <t>#11 Disp Scalpel Non-Sterile</t>
      </is>
    </oc>
    <nc r="G226"/>
  </rcc>
  <rcc rId="4562" sId="1">
    <oc r="H226">
      <v>120</v>
    </oc>
    <nc r="H226"/>
  </rcc>
  <rcc rId="4563" sId="1">
    <oc r="I226">
      <v>60</v>
    </oc>
    <nc r="I226"/>
  </rcc>
  <rcc rId="4564" sId="1">
    <oc r="J226">
      <v>30000</v>
    </oc>
    <nc r="J226"/>
  </rcc>
  <rcc rId="4565" sId="1">
    <oc r="K226">
      <v>0</v>
    </oc>
    <nc r="K226"/>
  </rcc>
  <rcc rId="4566" sId="1" numFmtId="19">
    <oc r="L226">
      <v>46209.291666666664</v>
    </oc>
    <nc r="L226"/>
  </rcc>
  <rcc rId="4567" sId="1" numFmtId="19">
    <oc r="M226">
      <v>46219.451388888891</v>
    </oc>
    <nc r="M226"/>
  </rcc>
  <rcc rId="4568" sId="1">
    <oc r="AA226" t="inlineStr">
      <is>
        <t>1</t>
      </is>
    </oc>
    <nc r="AA226"/>
  </rcc>
  <rcc rId="4569" sId="1">
    <oc r="AB226" t="inlineStr">
      <is>
        <t>5</t>
      </is>
    </oc>
    <nc r="AB226"/>
  </rcc>
  <rcc rId="4570" sId="1">
    <oc r="A227" t="inlineStr">
      <is>
        <t>Zone 1</t>
      </is>
    </oc>
    <nc r="A227"/>
  </rcc>
  <rcc rId="4571" sId="1">
    <oc r="B227" t="inlineStr">
      <is>
        <t>Blue Scalpel</t>
      </is>
    </oc>
    <nc r="B227"/>
  </rcc>
  <rcc rId="4572" sId="1">
    <oc r="C227">
      <v>2</v>
    </oc>
    <nc r="C227"/>
  </rcc>
  <rcc rId="4573" sId="1">
    <oc r="E227" t="inlineStr">
      <is>
        <t>W1021925-5/1</t>
      </is>
    </oc>
    <nc r="E227"/>
  </rcc>
  <rcc rId="4574" sId="1">
    <oc r="F227" t="inlineStr">
      <is>
        <t>SMI1/73-0211</t>
      </is>
    </oc>
    <nc r="F227"/>
  </rcc>
  <rcc rId="4575" sId="1">
    <oc r="G227" t="inlineStr">
      <is>
        <t>#11 Disp Scalpel Non-Sterile</t>
      </is>
    </oc>
    <nc r="G227"/>
  </rcc>
  <rcc rId="4576" sId="1">
    <oc r="H227">
      <v>120</v>
    </oc>
    <nc r="H227"/>
  </rcc>
  <rcc rId="4577" sId="1">
    <oc r="I227">
      <v>60</v>
    </oc>
    <nc r="I227"/>
  </rcc>
  <rcc rId="4578" sId="1">
    <oc r="J227">
      <v>30000</v>
    </oc>
    <nc r="J227"/>
  </rcc>
  <rcc rId="4579" sId="1">
    <oc r="K227">
      <v>0</v>
    </oc>
    <nc r="K227"/>
  </rcc>
  <rcc rId="4580" sId="1" numFmtId="19">
    <oc r="L227">
      <v>46219.458333333336</v>
    </oc>
    <nc r="L227"/>
  </rcc>
  <rcc rId="4581" sId="1" numFmtId="19">
    <oc r="M227">
      <v>46232.326388888891</v>
    </oc>
    <nc r="M227"/>
  </rcc>
  <rcc rId="4582" sId="1">
    <oc r="AA227" t="inlineStr">
      <is>
        <t>1</t>
      </is>
    </oc>
    <nc r="AA227"/>
  </rcc>
  <rcc rId="4583" sId="1">
    <oc r="AB227" t="inlineStr">
      <is>
        <t>5</t>
      </is>
    </oc>
    <nc r="AB227"/>
  </rcc>
  <rcc rId="4584" sId="1">
    <oc r="B2" t="inlineStr">
      <is>
        <t>BL/Scalpel Pack</t>
      </is>
    </oc>
    <nc r="B2" t="inlineStr">
      <is>
        <t>Blade Coat</t>
      </is>
    </nc>
  </rcc>
  <rcc rId="4585" sId="1">
    <oc r="C2">
      <v>2</v>
    </oc>
    <nc r="C2">
      <v>1</v>
    </nc>
  </rcc>
  <rcc rId="4586" sId="1">
    <oc r="E2" t="inlineStr">
      <is>
        <t>W1021924/1</t>
      </is>
    </oc>
    <nc r="E2" t="inlineStr">
      <is>
        <t>W1022666/1</t>
      </is>
    </nc>
  </rcc>
  <rcc rId="4587" sId="1">
    <oc r="F2" t="inlineStr">
      <is>
        <t>SMI1/73-0211</t>
      </is>
    </oc>
    <nc r="F2" t="inlineStr">
      <is>
        <t>SMI3/73-0022-0101</t>
      </is>
    </nc>
  </rcc>
  <rcc rId="4588" sId="1">
    <oc r="G2" t="inlineStr">
      <is>
        <t>#11 Disp Scalpel Non-Sterile</t>
      </is>
    </oc>
    <nc r="G2" t="inlineStr">
      <is>
        <t>#22PERS SS SURG BLD Polymer-Coated</t>
      </is>
    </nc>
  </rcc>
  <rcc rId="4589" sId="1">
    <oc r="H2">
      <v>60</v>
    </oc>
    <nc r="H2">
      <v>1.41</v>
    </nc>
  </rcc>
  <rcc rId="4590" sId="1">
    <oc r="I2">
      <v>30</v>
    </oc>
    <nc r="I2">
      <v>1.41</v>
    </nc>
  </rcc>
  <rcc rId="4591" sId="1">
    <oc r="J2">
      <v>30</v>
    </oc>
    <nc r="J2">
      <v>10000</v>
    </nc>
  </rcc>
  <rcc rId="4592" sId="1" numFmtId="19">
    <oc r="L2">
      <v>46219.458333333336</v>
    </oc>
    <nc r="L2">
      <v>46154.298611111109</v>
    </nc>
  </rcc>
  <rcc rId="4593" sId="1" numFmtId="19">
    <oc r="M2">
      <v>46220.715277777781</v>
    </oc>
    <nc r="M2">
      <v>46155.354166666664</v>
    </nc>
  </rcc>
  <rcc rId="4594" sId="1">
    <oc r="AA2" t="inlineStr">
      <is>
        <t>1</t>
      </is>
    </oc>
    <nc r="AA2"/>
  </rcc>
  <rcc rId="4595" sId="1">
    <oc r="AB2" t="inlineStr">
      <is>
        <t>0</t>
      </is>
    </oc>
    <nc r="AB2"/>
  </rcc>
  <rcc rId="4596" sId="1">
    <oc r="E3" t="inlineStr">
      <is>
        <t>W1022666/1</t>
      </is>
    </oc>
    <nc r="E3" t="inlineStr">
      <is>
        <t>W1022667/1</t>
      </is>
    </nc>
  </rcc>
  <rcc rId="4597" sId="1" numFmtId="19">
    <oc r="L3">
      <v>46209.583333333336</v>
    </oc>
    <nc r="L3">
      <v>46155.361111111109</v>
    </nc>
  </rcc>
  <rcc rId="4598" sId="1" numFmtId="19">
    <oc r="M3">
      <v>46211.305555555555</v>
    </oc>
    <nc r="M3">
      <v>46156.416666666664</v>
    </nc>
  </rcc>
  <rcc rId="4599" sId="1">
    <oc r="AA3" t="inlineStr">
      <is>
        <t>1</t>
      </is>
    </oc>
    <nc r="AA3"/>
  </rcc>
  <rcc rId="4600" sId="1">
    <oc r="AB3" t="inlineStr">
      <is>
        <t>0</t>
      </is>
    </oc>
    <nc r="AB3"/>
  </rcc>
  <rcc rId="4601" sId="1">
    <oc r="E4" t="inlineStr">
      <is>
        <t>W1022667/1</t>
      </is>
    </oc>
    <nc r="E4" t="inlineStr">
      <is>
        <t>W1026895/1</t>
      </is>
    </nc>
  </rcc>
  <rcc rId="4602" sId="1">
    <oc r="F4" t="inlineStr">
      <is>
        <t>SMI3/73-0022-0101</t>
      </is>
    </oc>
    <nc r="F4" t="inlineStr">
      <is>
        <t>SMI3/73-0020-0101</t>
      </is>
    </nc>
  </rcc>
  <rcc rId="4603" sId="1">
    <oc r="G4" t="inlineStr">
      <is>
        <t>#22PERS SS SURG BLD Polymer-Coated</t>
      </is>
    </oc>
    <nc r="G4" t="inlineStr">
      <is>
        <t>#20PERS SS SURG BLD Polymer-Coated</t>
      </is>
    </nc>
  </rcc>
  <rcc rId="4604" sId="1">
    <oc r="H4">
      <v>1.41</v>
    </oc>
    <nc r="H4">
      <v>1.7</v>
    </nc>
  </rcc>
  <rcc rId="4605" sId="1">
    <oc r="I4">
      <v>1.41</v>
    </oc>
    <nc r="I4">
      <v>1.7</v>
    </nc>
  </rcc>
  <rcc rId="4606" sId="1">
    <oc r="J4">
      <v>10000</v>
    </oc>
    <nc r="J4">
      <v>12000</v>
    </nc>
  </rcc>
  <rcc rId="4607" sId="1" numFmtId="19">
    <oc r="L4">
      <v>46211.3125</v>
    </oc>
    <nc r="L4">
      <v>46162.3125</v>
    </nc>
  </rcc>
  <rcc rId="4608" sId="1" numFmtId="19">
    <oc r="M4">
      <v>46212.368055555555</v>
    </oc>
    <nc r="M4">
      <v>46162.381944444445</v>
    </nc>
  </rcc>
  <rcc rId="4609" sId="1">
    <oc r="AA4" t="inlineStr">
      <is>
        <t>1</t>
      </is>
    </oc>
    <nc r="AA4"/>
  </rcc>
  <rcc rId="4610" sId="1">
    <oc r="AB4" t="inlineStr">
      <is>
        <t>0</t>
      </is>
    </oc>
    <nc r="AB4"/>
  </rcc>
  <rcc rId="4611" sId="1">
    <oc r="E5" t="inlineStr">
      <is>
        <t>W1026895/1</t>
      </is>
    </oc>
    <nc r="E5" t="inlineStr">
      <is>
        <t>W1026896/1</t>
      </is>
    </nc>
  </rcc>
  <rcc rId="4612" sId="1" numFmtId="19">
    <oc r="L5">
      <v>46212.375</v>
    </oc>
    <nc r="L5">
      <v>46162.388888888891</v>
    </nc>
  </rcc>
  <rcc rId="4613" sId="1" numFmtId="19">
    <oc r="M5">
      <v>46212.444444444445</v>
    </oc>
    <nc r="M5">
      <v>46162.458333333336</v>
    </nc>
  </rcc>
  <rcc rId="4614" sId="1">
    <oc r="AA5" t="inlineStr">
      <is>
        <t>1</t>
      </is>
    </oc>
    <nc r="AA5"/>
  </rcc>
  <rcc rId="4615" sId="1">
    <oc r="AB5" t="inlineStr">
      <is>
        <t>0</t>
      </is>
    </oc>
    <nc r="AB5"/>
  </rcc>
  <rcc rId="4616" sId="1">
    <oc r="E6" t="inlineStr">
      <is>
        <t>W1026896/1</t>
      </is>
    </oc>
    <nc r="E6" t="inlineStr">
      <is>
        <t>W1026897/1</t>
      </is>
    </nc>
  </rcc>
  <rcc rId="4617" sId="1" numFmtId="19">
    <oc r="L6">
      <v>46212.451388888891</v>
    </oc>
    <nc r="L6">
      <v>46162.465277777781</v>
    </nc>
  </rcc>
  <rcc rId="4618" sId="1" numFmtId="19">
    <oc r="M6">
      <v>46212.520833333336</v>
    </oc>
    <nc r="M6">
      <v>46162.534722222219</v>
    </nc>
  </rcc>
  <rcc rId="4619" sId="1">
    <oc r="AA6" t="inlineStr">
      <is>
        <t>1</t>
      </is>
    </oc>
    <nc r="AA6"/>
  </rcc>
  <rcc rId="4620" sId="1">
    <oc r="AB6" t="inlineStr">
      <is>
        <t>0</t>
      </is>
    </oc>
    <nc r="AB6"/>
  </rcc>
  <rcc rId="4621" sId="1">
    <oc r="E7" t="inlineStr">
      <is>
        <t>W1026897/1</t>
      </is>
    </oc>
    <nc r="E7" t="inlineStr">
      <is>
        <t>W1027729/1</t>
      </is>
    </nc>
  </rcc>
  <rcc rId="4622" sId="1" numFmtId="19">
    <oc r="L7">
      <v>46212.527777777781</v>
    </oc>
    <nc r="L7">
      <v>46163.319444444445</v>
    </nc>
  </rcc>
  <rcc rId="4623" sId="1" numFmtId="19">
    <oc r="M7">
      <v>46212.597222222219</v>
    </oc>
    <nc r="M7">
      <v>46163.388888888891</v>
    </nc>
  </rcc>
  <rcc rId="4624" sId="1">
    <oc r="AA7" t="inlineStr">
      <is>
        <t>1</t>
      </is>
    </oc>
    <nc r="AA7"/>
  </rcc>
  <rcc rId="4625" sId="1">
    <oc r="AB7" t="inlineStr">
      <is>
        <t>0</t>
      </is>
    </oc>
    <nc r="AB7"/>
  </rcc>
  <rcc rId="4626" sId="1">
    <oc r="E8" t="inlineStr">
      <is>
        <t>W1026908/1</t>
      </is>
    </oc>
    <nc r="E8" t="inlineStr">
      <is>
        <t>W1027730/1</t>
      </is>
    </nc>
  </rcc>
  <rcc rId="4627" sId="1">
    <oc r="F8" t="inlineStr">
      <is>
        <t>SMI3/73-0015-0101</t>
      </is>
    </oc>
    <nc r="F8" t="inlineStr">
      <is>
        <t>SMI3/73-0020-0101</t>
      </is>
    </nc>
  </rcc>
  <rcc rId="4628" sId="1">
    <oc r="G8" t="inlineStr">
      <is>
        <t>#15 SS SURG BLD Polymer Coated</t>
      </is>
    </oc>
    <nc r="G8" t="inlineStr">
      <is>
        <t>#20PERS SS SURG BLD Polymer-Coated</t>
      </is>
    </nc>
  </rcc>
  <rcc rId="4629" sId="1">
    <oc r="H8">
      <v>2.5499999999999998</v>
    </oc>
    <nc r="H8">
      <v>1.7</v>
    </nc>
  </rcc>
  <rcc rId="4630" sId="1">
    <oc r="I8">
      <v>2.5499999999999998</v>
    </oc>
    <nc r="I8">
      <v>1.7</v>
    </nc>
  </rcc>
  <rcc rId="4631" sId="1">
    <oc r="J8">
      <v>18000</v>
    </oc>
    <nc r="J8">
      <v>12000</v>
    </nc>
  </rcc>
  <rcc rId="4632" sId="1" numFmtId="19">
    <oc r="L8">
      <v>46212.604166666664</v>
    </oc>
    <nc r="L8">
      <v>46163.395833333336</v>
    </nc>
  </rcc>
  <rcc rId="4633" sId="1" numFmtId="19">
    <oc r="M8">
      <v>46213.375</v>
    </oc>
    <nc r="M8">
      <v>46163.465277777781</v>
    </nc>
  </rcc>
  <rcc rId="4634" sId="1">
    <oc r="AA8" t="inlineStr">
      <is>
        <t>1</t>
      </is>
    </oc>
    <nc r="AA8"/>
  </rcc>
  <rcc rId="4635" sId="1">
    <oc r="AB8" t="inlineStr">
      <is>
        <t>0</t>
      </is>
    </oc>
    <nc r="AB8"/>
  </rcc>
  <rfmt sheetId="1" sqref="A3:XFD11">
    <dxf>
      <fill>
        <patternFill>
          <bgColor auto="1"/>
        </patternFill>
      </fill>
    </dxf>
  </rfmt>
  <rfmt sheetId="1" sqref="A3:XFD3" start="0" length="0">
    <dxf>
      <border>
        <bottom style="medium">
          <color indexed="64"/>
        </bottom>
      </border>
    </dxf>
  </rfmt>
  <rfmt sheetId="1" sqref="A8:XFD8" start="0" length="0">
    <dxf>
      <border>
        <bottom style="medium">
          <color indexed="64"/>
        </bottom>
      </border>
    </dxf>
  </rfmt>
  <rfmt sheetId="1" sqref="E10:E12">
    <dxf>
      <border>
        <top/>
        <bottom/>
        <horizontal/>
      </border>
    </dxf>
  </rfmt>
  <rcc rId="4636" sId="1">
    <oc r="E9" t="inlineStr">
      <is>
        <t>W1027729/1</t>
      </is>
    </oc>
    <nc r="E9" t="inlineStr">
      <is>
        <t>W1029791</t>
      </is>
    </nc>
  </rcc>
  <rcc rId="4637" sId="1">
    <oc r="F9" t="inlineStr">
      <is>
        <t>SMI3/73-0020-0101</t>
      </is>
    </oc>
    <nc r="F9" t="inlineStr">
      <is>
        <t>SMI3/73-0010R-0101</t>
      </is>
    </nc>
  </rcc>
  <rcc rId="4638" sId="1">
    <oc r="G9" t="inlineStr">
      <is>
        <t>#20PERS SS SURG BLD Polymer-Coated</t>
      </is>
    </oc>
    <nc r="G9" t="inlineStr">
      <is>
        <t>#10R SS SURG BLD Polymer Coated</t>
      </is>
    </nc>
  </rcc>
  <rcc rId="4639" sId="1">
    <oc r="H9">
      <v>1.7</v>
    </oc>
    <nc r="H9">
      <v>2.8</v>
    </nc>
  </rcc>
  <rcc rId="4640" sId="1">
    <oc r="I9">
      <v>1.7</v>
    </oc>
    <nc r="I9">
      <v>2.8</v>
    </nc>
  </rcc>
  <rcc rId="4641" sId="1">
    <oc r="J9">
      <v>12000</v>
    </oc>
    <nc r="J9">
      <v>19800</v>
    </nc>
  </rcc>
  <rcc rId="4642" sId="1">
    <oc r="L9">
      <v>46213.381944444445</v>
    </oc>
    <nc r="L9"/>
  </rcc>
  <rcc rId="4643" sId="1">
    <oc r="M9">
      <v>46213.451388888891</v>
    </oc>
    <nc r="M9"/>
  </rcc>
  <rcc rId="4644" sId="1">
    <oc r="AA9" t="inlineStr">
      <is>
        <t>1</t>
      </is>
    </oc>
    <nc r="AA9"/>
  </rcc>
  <rcc rId="4645" sId="1">
    <oc r="AB9" t="inlineStr">
      <is>
        <t>0</t>
      </is>
    </oc>
    <nc r="AB9"/>
  </rcc>
  <rcc rId="4646" sId="1">
    <oc r="E10" t="inlineStr">
      <is>
        <t>W1027730/1</t>
      </is>
    </oc>
    <nc r="E10" t="inlineStr">
      <is>
        <t>W1029792</t>
      </is>
    </nc>
  </rcc>
  <rcc rId="4647" sId="1">
    <oc r="F10" t="inlineStr">
      <is>
        <t>SMI3/73-0020-0101</t>
      </is>
    </oc>
    <nc r="F10" t="inlineStr">
      <is>
        <t>SMI3/73-0010R-0101</t>
      </is>
    </nc>
  </rcc>
  <rcc rId="4648" sId="1">
    <oc r="G10" t="inlineStr">
      <is>
        <t>#20PERS SS SURG BLD Polymer-Coated</t>
      </is>
    </oc>
    <nc r="G10" t="inlineStr">
      <is>
        <t>#10R SS SURG BLD Polymer Coated</t>
      </is>
    </nc>
  </rcc>
  <rcc rId="4649" sId="1">
    <oc r="H10">
      <v>1.7</v>
    </oc>
    <nc r="H10">
      <v>2.8</v>
    </nc>
  </rcc>
  <rcc rId="4650" sId="1">
    <oc r="I10">
      <v>1.7</v>
    </oc>
    <nc r="I10">
      <v>2.8</v>
    </nc>
  </rcc>
  <rcc rId="4651" sId="1">
    <oc r="J10">
      <v>12000</v>
    </oc>
    <nc r="J10">
      <v>19800</v>
    </nc>
  </rcc>
  <rcc rId="4652" sId="1">
    <oc r="L10">
      <v>46213.458333333336</v>
    </oc>
    <nc r="L10"/>
  </rcc>
  <rcc rId="4653" sId="1">
    <oc r="M10">
      <v>46213.527777777781</v>
    </oc>
    <nc r="M10"/>
  </rcc>
  <rcc rId="4654" sId="1">
    <oc r="AA10" t="inlineStr">
      <is>
        <t>1</t>
      </is>
    </oc>
    <nc r="AA10"/>
  </rcc>
  <rcc rId="4655" sId="1">
    <oc r="AB10" t="inlineStr">
      <is>
        <t>0</t>
      </is>
    </oc>
    <nc r="AB10"/>
  </rcc>
  <rfmt sheetId="1" sqref="A10:XFD10" start="0" length="0">
    <dxf>
      <border>
        <bottom style="medium">
          <color indexed="64"/>
        </bottom>
      </border>
    </dxf>
  </rfmt>
  <rcc rId="4656" sId="1">
    <oc r="E11" t="inlineStr">
      <is>
        <t>W1027731/1</t>
      </is>
    </oc>
    <nc r="E11" t="inlineStr">
      <is>
        <t>W1029113</t>
      </is>
    </nc>
  </rcc>
  <rcc rId="4657" sId="1">
    <oc r="F11" t="inlineStr">
      <is>
        <t>SMI3/73-0020-0101</t>
      </is>
    </oc>
    <nc r="F11" t="inlineStr">
      <is>
        <t>SMI3/73-0015-0101</t>
      </is>
    </nc>
  </rcc>
  <rcc rId="4658" sId="1">
    <oc r="G11" t="inlineStr">
      <is>
        <t>#20PERS SS SURG BLD Polymer-Coated</t>
      </is>
    </oc>
    <nc r="G11" t="inlineStr">
      <is>
        <t>#15 SS SURG BLD Polymer Coated</t>
      </is>
    </nc>
  </rcc>
  <rcc rId="4659" sId="1">
    <oc r="H11">
      <v>1.7</v>
    </oc>
    <nc r="H11">
      <v>2.12</v>
    </nc>
  </rcc>
  <rcc rId="4660" sId="1">
    <oc r="I11">
      <v>1.7</v>
    </oc>
    <nc r="I11">
      <v>2.12</v>
    </nc>
  </rcc>
  <rcc rId="4661" sId="1">
    <oc r="J11">
      <v>12000</v>
    </oc>
    <nc r="J11">
      <v>15000</v>
    </nc>
  </rcc>
  <rcc rId="4662" sId="1">
    <oc r="L11">
      <v>46213.534722222219</v>
    </oc>
    <nc r="L11"/>
  </rcc>
  <rcc rId="4663" sId="1">
    <oc r="M11">
      <v>46213.604166666664</v>
    </oc>
    <nc r="M11"/>
  </rcc>
  <rcc rId="4664" sId="1">
    <oc r="AA11" t="inlineStr">
      <is>
        <t>1</t>
      </is>
    </oc>
    <nc r="AA11"/>
  </rcc>
  <rcc rId="4665" sId="1">
    <oc r="AB11" t="inlineStr">
      <is>
        <t>0</t>
      </is>
    </oc>
    <nc r="AB11"/>
  </rcc>
  <rcc rId="4666" sId="1">
    <oc r="E12" t="inlineStr">
      <is>
        <t>W1027732/1</t>
      </is>
    </oc>
    <nc r="E12" t="inlineStr">
      <is>
        <t>W1029114</t>
      </is>
    </nc>
  </rcc>
  <rcc rId="4667" sId="1">
    <oc r="F12" t="inlineStr">
      <is>
        <t>SMI3/73-0020-0101</t>
      </is>
    </oc>
    <nc r="F12" t="inlineStr">
      <is>
        <t>SMI3/73-0015-0101</t>
      </is>
    </nc>
  </rcc>
  <rcc rId="4668" sId="1">
    <oc r="G12" t="inlineStr">
      <is>
        <t>#20PERS SS SURG BLD Polymer-Coated</t>
      </is>
    </oc>
    <nc r="G12" t="inlineStr">
      <is>
        <t>#15 SS SURG BLD Polymer Coated</t>
      </is>
    </nc>
  </rcc>
  <rcc rId="4669" sId="1">
    <oc r="H12">
      <v>1.7</v>
    </oc>
    <nc r="H12">
      <v>2.12</v>
    </nc>
  </rcc>
  <rcc rId="4670" sId="1">
    <oc r="I12">
      <v>1.7</v>
    </oc>
    <nc r="I12">
      <v>2.12</v>
    </nc>
  </rcc>
  <rcc rId="4671" sId="1">
    <oc r="J12">
      <v>12000</v>
    </oc>
    <nc r="J12">
      <v>15000</v>
    </nc>
  </rcc>
  <rcc rId="4672" sId="1">
    <oc r="L12">
      <v>46213.611111111109</v>
    </oc>
    <nc r="L12"/>
  </rcc>
  <rcc rId="4673" sId="1">
    <oc r="M12">
      <v>46216.347222222219</v>
    </oc>
    <nc r="M12"/>
  </rcc>
  <rcc rId="4674" sId="1">
    <oc r="AA12" t="inlineStr">
      <is>
        <t>1</t>
      </is>
    </oc>
    <nc r="AA12"/>
  </rcc>
  <rcc rId="4675" sId="1">
    <oc r="AB12" t="inlineStr">
      <is>
        <t>0</t>
      </is>
    </oc>
    <nc r="AB12"/>
  </rcc>
  <rcc rId="4676" sId="1">
    <oc r="E13" t="inlineStr">
      <is>
        <t>W1028568/1</t>
      </is>
    </oc>
    <nc r="E13" t="inlineStr">
      <is>
        <t>W1029115</t>
      </is>
    </nc>
  </rcc>
  <rcc rId="4677" sId="1">
    <oc r="L13">
      <v>46216.354166666664</v>
    </oc>
    <nc r="L13"/>
  </rcc>
  <rcc rId="4678" sId="1">
    <oc r="M13">
      <v>46216.4375</v>
    </oc>
    <nc r="M13"/>
  </rcc>
  <rcc rId="4679" sId="1">
    <oc r="AA13" t="inlineStr">
      <is>
        <t>1</t>
      </is>
    </oc>
    <nc r="AA13"/>
  </rcc>
  <rcc rId="4680" sId="1">
    <oc r="AB13" t="inlineStr">
      <is>
        <t>0</t>
      </is>
    </oc>
    <nc r="AB13"/>
  </rcc>
  <rcc rId="4681" sId="1">
    <oc r="E14" t="inlineStr">
      <is>
        <t>W1028569/1</t>
      </is>
    </oc>
    <nc r="E14" t="inlineStr">
      <is>
        <t>W1029116</t>
      </is>
    </nc>
  </rcc>
  <rcc rId="4682" sId="1">
    <oc r="L14">
      <v>46216.444444444445</v>
    </oc>
    <nc r="L14"/>
  </rcc>
  <rcc rId="4683" sId="1">
    <oc r="M14">
      <v>46216.527777777781</v>
    </oc>
    <nc r="M14"/>
  </rcc>
  <rcc rId="4684" sId="1">
    <oc r="AA14" t="inlineStr">
      <is>
        <t>1</t>
      </is>
    </oc>
    <nc r="AA14"/>
  </rcc>
  <rcc rId="4685" sId="1">
    <oc r="AB14" t="inlineStr">
      <is>
        <t>0</t>
      </is>
    </oc>
    <nc r="AB14"/>
  </rcc>
  <rcc rId="4686" sId="1">
    <oc r="E15" t="inlineStr">
      <is>
        <t>W1028570/1</t>
      </is>
    </oc>
    <nc r="E15" t="inlineStr">
      <is>
        <t>W1029117</t>
      </is>
    </nc>
  </rcc>
  <rcc rId="4687" sId="1">
    <oc r="L15">
      <v>46216.534722222219</v>
    </oc>
    <nc r="L15"/>
  </rcc>
  <rcc rId="4688" sId="1">
    <oc r="M15">
      <v>46216.618055555555</v>
    </oc>
    <nc r="M15"/>
  </rcc>
  <rcc rId="4689" sId="1">
    <oc r="AA15" t="inlineStr">
      <is>
        <t>1</t>
      </is>
    </oc>
    <nc r="AA15"/>
  </rcc>
  <rcc rId="4690" sId="1">
    <oc r="AB15" t="inlineStr">
      <is>
        <t>0</t>
      </is>
    </oc>
    <nc r="AB15"/>
  </rcc>
  <rrc rId="4691" sId="1" eol="1" ref="A16:XFD16" action="insertRow"/>
  <rcc rId="4692" sId="1">
    <nc r="E16" t="inlineStr">
      <is>
        <t>W1029594</t>
      </is>
    </nc>
  </rcc>
  <rcc rId="4693" sId="1">
    <oc r="E17" t="inlineStr">
      <is>
        <t>W1028571/1</t>
      </is>
    </oc>
    <nc r="E17" t="inlineStr">
      <is>
        <t>W1029595</t>
      </is>
    </nc>
  </rcc>
  <rcc rId="4694" sId="1">
    <oc r="E18" t="inlineStr">
      <is>
        <t>W1028572/1</t>
      </is>
    </oc>
    <nc r="E18" t="inlineStr">
      <is>
        <t>W1029596</t>
      </is>
    </nc>
  </rcc>
  <rcc rId="4695" sId="1">
    <oc r="E19" t="inlineStr">
      <is>
        <t>W1028573/1</t>
      </is>
    </oc>
    <nc r="E19" t="inlineStr">
      <is>
        <t>W1029597</t>
      </is>
    </nc>
  </rcc>
  <rcc rId="4696" sId="1">
    <oc r="E20" t="inlineStr">
      <is>
        <t>W1027104/1</t>
      </is>
    </oc>
    <nc r="E20" t="inlineStr">
      <is>
        <t>W1029598</t>
      </is>
    </nc>
  </rcc>
  <rrc rId="4697" sId="1" eol="1" ref="A21:XFD21" action="insertRow"/>
  <rcc rId="4698" sId="1">
    <nc r="E21" t="inlineStr">
      <is>
        <t>W1029901</t>
      </is>
    </nc>
  </rcc>
  <rcc rId="4699" sId="1">
    <oc r="E22" t="inlineStr">
      <is>
        <t>W1029388/1</t>
      </is>
    </oc>
    <nc r="E22" t="inlineStr">
      <is>
        <t>W1029902</t>
      </is>
    </nc>
  </rcc>
  <rcc rId="4700" sId="1">
    <oc r="E23" t="inlineStr">
      <is>
        <t>W1029389/1</t>
      </is>
    </oc>
    <nc r="E23" t="inlineStr">
      <is>
        <t>W1029903</t>
      </is>
    </nc>
  </rcc>
  <rcc rId="4701" sId="1">
    <oc r="E24" t="inlineStr">
      <is>
        <t>W1029116/1</t>
      </is>
    </oc>
    <nc r="E24" t="inlineStr">
      <is>
        <t>W1029904</t>
      </is>
    </nc>
  </rcc>
  <rcc rId="4702" sId="1">
    <oc r="E25" t="inlineStr">
      <is>
        <t>W1029113/1</t>
      </is>
    </oc>
    <nc r="E25" t="inlineStr">
      <is>
        <t>W1029905</t>
      </is>
    </nc>
  </rcc>
  <rcc rId="4703" sId="1">
    <oc r="E26" t="inlineStr">
      <is>
        <t>W1029114/1</t>
      </is>
    </oc>
    <nc r="E26" t="inlineStr">
      <is>
        <t>W1029906</t>
      </is>
    </nc>
  </rcc>
  <rcc rId="4704" sId="1">
    <oc r="E27" t="inlineStr">
      <is>
        <t>W1029115/1</t>
      </is>
    </oc>
    <nc r="E27" t="inlineStr">
      <is>
        <t>W1029907</t>
      </is>
    </nc>
  </rcc>
  <rcc rId="4705" sId="1">
    <oc r="E28" t="inlineStr">
      <is>
        <t>W1029117/1</t>
      </is>
    </oc>
    <nc r="E28" t="inlineStr">
      <is>
        <t>W1029908</t>
      </is>
    </nc>
  </rcc>
  <rcc rId="4706" sId="1">
    <oc r="E29" t="inlineStr">
      <is>
        <t>W1029594/1</t>
      </is>
    </oc>
    <nc r="E29" t="inlineStr">
      <is>
        <t>W1029909</t>
      </is>
    </nc>
  </rcc>
  <rcc rId="4707" sId="1">
    <nc r="F16" t="inlineStr">
      <is>
        <t>SMI3/73-0015-0101</t>
      </is>
    </nc>
  </rcc>
  <rcc rId="4708" sId="1">
    <nc r="G16" t="inlineStr">
      <is>
        <t>#15 SS SURG BLD Polymer Coated</t>
      </is>
    </nc>
  </rcc>
  <rcc rId="4709" sId="1">
    <nc r="H16">
      <v>2.12</v>
    </nc>
  </rcc>
  <rcc rId="4710" sId="1">
    <nc r="I16">
      <v>2.12</v>
    </nc>
  </rcc>
  <rcc rId="4711" sId="1">
    <nc r="J16">
      <v>15000</v>
    </nc>
  </rcc>
  <rcc rId="4712" sId="1">
    <nc r="K16">
      <v>0</v>
    </nc>
  </rcc>
  <rcc rId="4713" sId="1">
    <oc r="F20" t="inlineStr">
      <is>
        <t>SMI3/73-0010R-0101</t>
      </is>
    </oc>
    <nc r="F20" t="inlineStr">
      <is>
        <t>SMI3/73-0015-0101</t>
      </is>
    </nc>
  </rcc>
  <rcc rId="4714" sId="1">
    <oc r="G20" t="inlineStr">
      <is>
        <t>#10R SS SURG BLD Polymer Coated</t>
      </is>
    </oc>
    <nc r="G20" t="inlineStr">
      <is>
        <t>#15 SS SURG BLD Polymer Coated</t>
      </is>
    </nc>
  </rcc>
  <rcc rId="4715" sId="1">
    <oc r="H20">
      <v>2.8</v>
    </oc>
    <nc r="H20">
      <v>2.12</v>
    </nc>
  </rcc>
  <rcc rId="4716" sId="1">
    <oc r="I20">
      <v>2.8</v>
    </oc>
    <nc r="I20">
      <v>2.12</v>
    </nc>
  </rcc>
  <rcc rId="4717" sId="1">
    <oc r="J20">
      <v>19800</v>
    </oc>
    <nc r="J20">
      <v>15000</v>
    </nc>
  </rcc>
  <rcc rId="4718" sId="1">
    <nc r="F21" t="inlineStr">
      <is>
        <t>SMI3/73-0015-0101</t>
      </is>
    </nc>
  </rcc>
  <rcc rId="4719" sId="1">
    <nc r="G21" t="inlineStr">
      <is>
        <t>#15 SS SURG BLD Polymer Coated</t>
      </is>
    </nc>
  </rcc>
  <rcc rId="4720" sId="1">
    <nc r="H21">
      <v>2.12</v>
    </nc>
  </rcc>
  <rcc rId="4721" sId="1">
    <nc r="I21">
      <v>2.12</v>
    </nc>
  </rcc>
  <rcc rId="4722" sId="1">
    <nc r="J21">
      <v>15000</v>
    </nc>
  </rcc>
  <rcc rId="4723" sId="1">
    <nc r="K21">
      <v>0</v>
    </nc>
  </rcc>
  <rcc rId="4724" sId="1">
    <oc r="F22" t="inlineStr">
      <is>
        <t>SMI3/73-0010-0101</t>
      </is>
    </oc>
    <nc r="F22" t="inlineStr">
      <is>
        <t>SMI3/73-0015-0101</t>
      </is>
    </nc>
  </rcc>
  <rcc rId="4725" sId="1">
    <oc r="G22" t="inlineStr">
      <is>
        <t>#10 SS SURG BLD Polymer Coated</t>
      </is>
    </oc>
    <nc r="G22" t="inlineStr">
      <is>
        <t>#15 SS SURG BLD Polymer Coated</t>
      </is>
    </nc>
  </rcc>
  <rcc rId="4726" sId="1">
    <oc r="I22">
      <v>0.12</v>
    </oc>
    <nc r="I22">
      <v>2.12</v>
    </nc>
  </rcc>
  <rcc rId="4727" sId="1">
    <oc r="K22">
      <v>14156</v>
    </oc>
    <nc r="K22">
      <v>0</v>
    </nc>
  </rcc>
  <rcc rId="4728" sId="1">
    <oc r="F23" t="inlineStr">
      <is>
        <t>SMI3/73-0010-0101</t>
      </is>
    </oc>
    <nc r="F23" t="inlineStr">
      <is>
        <t>SMI3/73-0015-0101</t>
      </is>
    </nc>
  </rcc>
  <rcc rId="4729" sId="1">
    <oc r="G23" t="inlineStr">
      <is>
        <t>#10 SS SURG BLD Polymer Coated</t>
      </is>
    </oc>
    <nc r="G23" t="inlineStr">
      <is>
        <t>#15 SS SURG BLD Polymer Coated</t>
      </is>
    </nc>
  </rcc>
  <rcc rId="4730" sId="1">
    <oc r="F30" t="inlineStr">
      <is>
        <t>SMI3/73-0015-0101</t>
      </is>
    </oc>
    <nc r="F30"/>
  </rcc>
  <rcc rId="4731" sId="1">
    <oc r="G30" t="inlineStr">
      <is>
        <t>#15 SS SURG BLD Polymer Coated</t>
      </is>
    </oc>
    <nc r="G30"/>
  </rcc>
  <rcc rId="4732" sId="1">
    <oc r="H30">
      <v>2.12</v>
    </oc>
    <nc r="H30"/>
  </rcc>
  <rcc rId="4733" sId="1">
    <oc r="I30">
      <v>2.12</v>
    </oc>
    <nc r="I30"/>
  </rcc>
  <rcc rId="4734" sId="1">
    <oc r="J30">
      <v>15000</v>
    </oc>
    <nc r="J30"/>
  </rcc>
  <rcc rId="4735" sId="1">
    <oc r="K30">
      <v>0</v>
    </oc>
    <nc r="K30"/>
  </rcc>
  <rcc rId="4736" sId="1">
    <nc r="A16" t="inlineStr">
      <is>
        <t>Zone 1</t>
      </is>
    </nc>
  </rcc>
  <rcc rId="4737" sId="1">
    <nc r="B16" t="inlineStr">
      <is>
        <t>Blade Coat</t>
      </is>
    </nc>
  </rcc>
  <rcc rId="4738" sId="1">
    <nc r="C16">
      <v>1</v>
    </nc>
  </rcc>
  <rcc rId="4739" sId="1">
    <nc r="A21" t="inlineStr">
      <is>
        <t>Zone 1</t>
      </is>
    </nc>
  </rcc>
  <rcc rId="4740" sId="1">
    <nc r="B21" t="inlineStr">
      <is>
        <t>Blade Coat</t>
      </is>
    </nc>
  </rcc>
  <rcc rId="4741" sId="1">
    <nc r="C21">
      <v>1</v>
    </nc>
  </rcc>
  <rfmt sheetId="1" sqref="A29:XFD29" start="0" length="0">
    <dxf>
      <border>
        <bottom style="medium">
          <color indexed="64"/>
        </bottom>
      </border>
    </dxf>
  </rfmt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742" sId="1" ref="A30:XFD33" action="insertRow"/>
  <rcc rId="4743" sId="1" odxf="1" dxf="1">
    <nc r="A30" t="inlineStr">
      <is>
        <t>Zone 1</t>
      </is>
    </nc>
    <odxf/>
    <ndxf/>
  </rcc>
  <rcc rId="4744" sId="1" odxf="1" dxf="1">
    <nc r="B30" t="inlineStr">
      <is>
        <t>Blade Coat</t>
      </is>
    </nc>
    <odxf/>
    <ndxf/>
  </rcc>
  <rcc rId="4745" sId="1" odxf="1" dxf="1">
    <nc r="C30">
      <v>1</v>
    </nc>
    <odxf/>
    <ndxf/>
  </rcc>
  <rfmt sheetId="1" sqref="D30" start="0" length="0">
    <dxf/>
  </rfmt>
  <rcc rId="4746" sId="1" odxf="1" dxf="1">
    <nc r="E30" t="inlineStr">
      <is>
        <t>W1028991</t>
      </is>
    </nc>
    <odxf/>
    <ndxf/>
  </rcc>
  <rcc rId="4747" sId="1" odxf="1" dxf="1">
    <nc r="F30" t="inlineStr">
      <is>
        <t>SMI3/73-0011-0101</t>
      </is>
    </nc>
    <odxf/>
    <ndxf/>
  </rcc>
  <rcc rId="4748" sId="1" odxf="1" dxf="1">
    <nc r="G30" t="inlineStr">
      <is>
        <t>#11 SS SURG BLD Polymer Coated</t>
      </is>
    </nc>
    <odxf/>
    <ndxf/>
  </rcc>
  <rcc rId="4749" sId="1" odxf="1" dxf="1">
    <nc r="H30">
      <v>2.12</v>
    </nc>
    <odxf/>
    <ndxf/>
  </rcc>
  <rcc rId="4750" sId="1" odxf="1" dxf="1">
    <nc r="I30">
      <v>2.12</v>
    </nc>
    <odxf/>
    <ndxf/>
  </rcc>
  <rcc rId="4751" sId="1" odxf="1" dxf="1">
    <nc r="J30">
      <v>15000</v>
    </nc>
    <odxf/>
    <ndxf/>
  </rcc>
  <rcc rId="4752" sId="1" odxf="1" dxf="1">
    <nc r="K30">
      <v>0</v>
    </nc>
    <odxf/>
    <ndxf/>
  </rcc>
  <rfmt sheetId="1" sqref="L30" start="0" length="0">
    <dxf/>
  </rfmt>
  <rfmt sheetId="1" sqref="M30" start="0" length="0">
    <dxf/>
  </rfmt>
  <rfmt sheetId="1" sqref="N30" start="0" length="0">
    <dxf/>
  </rfmt>
  <rfmt sheetId="1" sqref="O30" start="0" length="0">
    <dxf/>
  </rfmt>
  <rfmt sheetId="1" sqref="P30" start="0" length="0">
    <dxf/>
  </rfmt>
  <rfmt sheetId="1" sqref="Q30" start="0" length="0">
    <dxf/>
  </rfmt>
  <rfmt sheetId="1" sqref="R30" start="0" length="0">
    <dxf/>
  </rfmt>
  <rfmt sheetId="1" sqref="S30" start="0" length="0">
    <dxf/>
  </rfmt>
  <rfmt sheetId="1" sqref="T30" start="0" length="0">
    <dxf/>
  </rfmt>
  <rfmt sheetId="1" sqref="U30" start="0" length="0">
    <dxf/>
  </rfmt>
  <rfmt sheetId="1" sqref="V30" start="0" length="0">
    <dxf/>
  </rfmt>
  <rfmt sheetId="1" sqref="W30" start="0" length="0">
    <dxf/>
  </rfmt>
  <rfmt sheetId="1" sqref="X30" start="0" length="0">
    <dxf/>
  </rfmt>
  <rfmt sheetId="1" sqref="Y30" start="0" length="0">
    <dxf/>
  </rfmt>
  <rfmt sheetId="1" sqref="Z30" start="0" length="0">
    <dxf/>
  </rfmt>
  <rfmt sheetId="1" sqref="AA30" start="0" length="0">
    <dxf/>
  </rfmt>
  <rfmt sheetId="1" sqref="AB30" start="0" length="0">
    <dxf/>
  </rfmt>
  <rfmt sheetId="1" sqref="A30:XFD30" start="0" length="0">
    <dxf/>
  </rfmt>
  <rcc rId="4753" sId="1" odxf="1" dxf="1">
    <nc r="A31" t="inlineStr">
      <is>
        <t>Zone 1</t>
      </is>
    </nc>
    <odxf/>
    <ndxf/>
  </rcc>
  <rcc rId="4754" sId="1" odxf="1" dxf="1">
    <nc r="B31" t="inlineStr">
      <is>
        <t>Blade Coat</t>
      </is>
    </nc>
    <odxf/>
    <ndxf/>
  </rcc>
  <rcc rId="4755" sId="1" odxf="1" dxf="1">
    <nc r="C31">
      <v>1</v>
    </nc>
    <odxf/>
    <ndxf/>
  </rcc>
  <rfmt sheetId="1" sqref="D31" start="0" length="0">
    <dxf/>
  </rfmt>
  <rcc rId="4756" sId="1" odxf="1" dxf="1">
    <nc r="E31" t="inlineStr">
      <is>
        <t>W1028992</t>
      </is>
    </nc>
    <odxf/>
    <ndxf/>
  </rcc>
  <rcc rId="4757" sId="1" odxf="1" dxf="1">
    <nc r="F31" t="inlineStr">
      <is>
        <t>SMI3/73-0011-0101</t>
      </is>
    </nc>
    <odxf/>
    <ndxf/>
  </rcc>
  <rcc rId="4758" sId="1" odxf="1" dxf="1">
    <nc r="G31" t="inlineStr">
      <is>
        <t>#11 SS SURG BLD Polymer Coated</t>
      </is>
    </nc>
    <odxf/>
    <ndxf/>
  </rcc>
  <rcc rId="4759" sId="1" odxf="1" dxf="1">
    <nc r="H31">
      <v>2.12</v>
    </nc>
    <odxf/>
    <ndxf/>
  </rcc>
  <rcc rId="4760" sId="1" odxf="1" dxf="1">
    <nc r="I31">
      <v>2.12</v>
    </nc>
    <odxf/>
    <ndxf/>
  </rcc>
  <rcc rId="4761" sId="1" odxf="1" dxf="1">
    <nc r="J31">
      <v>15000</v>
    </nc>
    <odxf/>
    <ndxf/>
  </rcc>
  <rcc rId="4762" sId="1" odxf="1" dxf="1">
    <nc r="K31">
      <v>0</v>
    </nc>
    <odxf/>
    <ndxf/>
  </rcc>
  <rfmt sheetId="1" sqref="L31" start="0" length="0">
    <dxf/>
  </rfmt>
  <rfmt sheetId="1" sqref="M31" start="0" length="0">
    <dxf/>
  </rfmt>
  <rfmt sheetId="1" sqref="N31" start="0" length="0">
    <dxf/>
  </rfmt>
  <rfmt sheetId="1" sqref="O31" start="0" length="0">
    <dxf/>
  </rfmt>
  <rfmt sheetId="1" sqref="P31" start="0" length="0">
    <dxf/>
  </rfmt>
  <rfmt sheetId="1" sqref="Q31" start="0" length="0">
    <dxf/>
  </rfmt>
  <rfmt sheetId="1" sqref="R31" start="0" length="0">
    <dxf/>
  </rfmt>
  <rfmt sheetId="1" sqref="S31" start="0" length="0">
    <dxf/>
  </rfmt>
  <rfmt sheetId="1" sqref="T31" start="0" length="0">
    <dxf/>
  </rfmt>
  <rfmt sheetId="1" sqref="U31" start="0" length="0">
    <dxf/>
  </rfmt>
  <rfmt sheetId="1" sqref="V31" start="0" length="0">
    <dxf/>
  </rfmt>
  <rfmt sheetId="1" sqref="W31" start="0" length="0">
    <dxf/>
  </rfmt>
  <rfmt sheetId="1" sqref="X31" start="0" length="0">
    <dxf/>
  </rfmt>
  <rfmt sheetId="1" sqref="Y31" start="0" length="0">
    <dxf/>
  </rfmt>
  <rfmt sheetId="1" sqref="Z31" start="0" length="0">
    <dxf/>
  </rfmt>
  <rfmt sheetId="1" sqref="AA31" start="0" length="0">
    <dxf/>
  </rfmt>
  <rfmt sheetId="1" sqref="AB31" start="0" length="0">
    <dxf/>
  </rfmt>
  <rfmt sheetId="1" sqref="A31:XFD31" start="0" length="0">
    <dxf/>
  </rfmt>
  <rcc rId="4763" sId="1" odxf="1" dxf="1">
    <nc r="A32" t="inlineStr">
      <is>
        <t>Zone 1</t>
      </is>
    </nc>
    <odxf/>
    <ndxf/>
  </rcc>
  <rcc rId="4764" sId="1" odxf="1" dxf="1">
    <nc r="B32" t="inlineStr">
      <is>
        <t>Blade Coat</t>
      </is>
    </nc>
    <odxf/>
    <ndxf/>
  </rcc>
  <rcc rId="4765" sId="1" odxf="1" dxf="1">
    <nc r="C32">
      <v>1</v>
    </nc>
    <odxf/>
    <ndxf/>
  </rcc>
  <rfmt sheetId="1" sqref="D32" start="0" length="0">
    <dxf/>
  </rfmt>
  <rcc rId="4766" sId="1" odxf="1" dxf="1">
    <nc r="E32" t="inlineStr">
      <is>
        <t>W1028993</t>
      </is>
    </nc>
    <odxf/>
    <ndxf/>
  </rcc>
  <rcc rId="4767" sId="1" odxf="1" dxf="1">
    <nc r="F32" t="inlineStr">
      <is>
        <t>SMI3/73-0011-0101</t>
      </is>
    </nc>
    <odxf/>
    <ndxf/>
  </rcc>
  <rcc rId="4768" sId="1" odxf="1" dxf="1">
    <nc r="G32" t="inlineStr">
      <is>
        <t>#11 SS SURG BLD Polymer Coated</t>
      </is>
    </nc>
    <odxf/>
    <ndxf/>
  </rcc>
  <rcc rId="4769" sId="1" odxf="1" dxf="1">
    <nc r="H32">
      <v>2.12</v>
    </nc>
    <odxf/>
    <ndxf/>
  </rcc>
  <rcc rId="4770" sId="1" odxf="1" dxf="1">
    <nc r="I32">
      <v>2.12</v>
    </nc>
    <odxf/>
    <ndxf/>
  </rcc>
  <rcc rId="4771" sId="1" odxf="1" dxf="1">
    <nc r="J32">
      <v>15000</v>
    </nc>
    <odxf/>
    <ndxf/>
  </rcc>
  <rcc rId="4772" sId="1" odxf="1" dxf="1">
    <nc r="K32">
      <v>0</v>
    </nc>
    <odxf/>
    <ndxf/>
  </rcc>
  <rfmt sheetId="1" sqref="L32" start="0" length="0">
    <dxf/>
  </rfmt>
  <rfmt sheetId="1" sqref="M32" start="0" length="0">
    <dxf/>
  </rfmt>
  <rfmt sheetId="1" sqref="N32" start="0" length="0">
    <dxf/>
  </rfmt>
  <rfmt sheetId="1" sqref="O32" start="0" length="0">
    <dxf/>
  </rfmt>
  <rfmt sheetId="1" sqref="P32" start="0" length="0">
    <dxf/>
  </rfmt>
  <rfmt sheetId="1" sqref="Q32" start="0" length="0">
    <dxf/>
  </rfmt>
  <rfmt sheetId="1" sqref="R32" start="0" length="0">
    <dxf/>
  </rfmt>
  <rfmt sheetId="1" sqref="S32" start="0" length="0">
    <dxf/>
  </rfmt>
  <rfmt sheetId="1" sqref="T32" start="0" length="0">
    <dxf/>
  </rfmt>
  <rfmt sheetId="1" sqref="U32" start="0" length="0">
    <dxf/>
  </rfmt>
  <rfmt sheetId="1" sqref="V32" start="0" length="0">
    <dxf/>
  </rfmt>
  <rfmt sheetId="1" sqref="W32" start="0" length="0">
    <dxf/>
  </rfmt>
  <rfmt sheetId="1" sqref="X32" start="0" length="0">
    <dxf/>
  </rfmt>
  <rfmt sheetId="1" sqref="Y32" start="0" length="0">
    <dxf/>
  </rfmt>
  <rfmt sheetId="1" sqref="Z32" start="0" length="0">
    <dxf/>
  </rfmt>
  <rfmt sheetId="1" sqref="AA32" start="0" length="0">
    <dxf/>
  </rfmt>
  <rfmt sheetId="1" sqref="AB32" start="0" length="0">
    <dxf/>
  </rfmt>
  <rfmt sheetId="1" sqref="A32:XFD32" start="0" length="0">
    <dxf/>
  </rfmt>
  <rcc rId="4773" sId="1" odxf="1" dxf="1">
    <nc r="A33" t="inlineStr">
      <is>
        <t>Zone 1</t>
      </is>
    </nc>
    <odxf/>
    <ndxf/>
  </rcc>
  <rcc rId="4774" sId="1" odxf="1" dxf="1">
    <nc r="B33" t="inlineStr">
      <is>
        <t>Blade Coat</t>
      </is>
    </nc>
    <odxf/>
    <ndxf/>
  </rcc>
  <rcc rId="4775" sId="1" odxf="1" dxf="1">
    <nc r="C33">
      <v>1</v>
    </nc>
    <odxf/>
    <ndxf/>
  </rcc>
  <rfmt sheetId="1" sqref="D33" start="0" length="0">
    <dxf/>
  </rfmt>
  <rcc rId="4776" sId="1" odxf="1" dxf="1">
    <nc r="E33" t="inlineStr">
      <is>
        <t>W1028994</t>
      </is>
    </nc>
    <odxf/>
    <ndxf/>
  </rcc>
  <rcc rId="4777" sId="1" odxf="1" dxf="1">
    <nc r="F33" t="inlineStr">
      <is>
        <t>SMI3/73-0011-0101</t>
      </is>
    </nc>
    <odxf/>
    <ndxf/>
  </rcc>
  <rcc rId="4778" sId="1" odxf="1" dxf="1">
    <nc r="G33" t="inlineStr">
      <is>
        <t>#11 SS SURG BLD Polymer Coated</t>
      </is>
    </nc>
    <odxf/>
    <ndxf/>
  </rcc>
  <rcc rId="4779" sId="1" odxf="1" dxf="1">
    <nc r="H33">
      <v>2.12</v>
    </nc>
    <odxf/>
    <ndxf/>
  </rcc>
  <rcc rId="4780" sId="1" odxf="1" dxf="1">
    <nc r="I33">
      <v>2.12</v>
    </nc>
    <odxf/>
    <ndxf/>
  </rcc>
  <rcc rId="4781" sId="1" odxf="1" dxf="1">
    <nc r="J33">
      <v>15000</v>
    </nc>
    <odxf/>
    <ndxf/>
  </rcc>
  <rcc rId="4782" sId="1" odxf="1" dxf="1">
    <nc r="K33">
      <v>0</v>
    </nc>
    <odxf/>
    <ndxf/>
  </rcc>
  <rfmt sheetId="1" sqref="L33" start="0" length="0">
    <dxf/>
  </rfmt>
  <rfmt sheetId="1" sqref="M33" start="0" length="0">
    <dxf/>
  </rfmt>
  <rfmt sheetId="1" sqref="N33" start="0" length="0">
    <dxf/>
  </rfmt>
  <rfmt sheetId="1" sqref="O33" start="0" length="0">
    <dxf/>
  </rfmt>
  <rfmt sheetId="1" sqref="P33" start="0" length="0">
    <dxf/>
  </rfmt>
  <rfmt sheetId="1" sqref="Q33" start="0" length="0">
    <dxf/>
  </rfmt>
  <rfmt sheetId="1" sqref="R33" start="0" length="0">
    <dxf/>
  </rfmt>
  <rfmt sheetId="1" sqref="S33" start="0" length="0">
    <dxf/>
  </rfmt>
  <rfmt sheetId="1" sqref="T33" start="0" length="0">
    <dxf/>
  </rfmt>
  <rfmt sheetId="1" sqref="U33" start="0" length="0">
    <dxf/>
  </rfmt>
  <rfmt sheetId="1" sqref="V33" start="0" length="0">
    <dxf/>
  </rfmt>
  <rfmt sheetId="1" sqref="W33" start="0" length="0">
    <dxf/>
  </rfmt>
  <rfmt sheetId="1" sqref="X33" start="0" length="0">
    <dxf/>
  </rfmt>
  <rfmt sheetId="1" sqref="Y33" start="0" length="0">
    <dxf/>
  </rfmt>
  <rfmt sheetId="1" sqref="Z33" start="0" length="0">
    <dxf/>
  </rfmt>
  <rfmt sheetId="1" sqref="AA33" start="0" length="0">
    <dxf/>
  </rfmt>
  <rfmt sheetId="1" sqref="AB33" start="0" length="0">
    <dxf/>
  </rfmt>
  <rfmt sheetId="1" sqref="A33:XFD33" start="0" length="0">
    <dxf/>
  </rfmt>
  <rcc rId="4783" sId="1">
    <nc r="E34" t="inlineStr">
      <is>
        <t>W1028995</t>
      </is>
    </nc>
  </rcc>
  <rcc rId="4784" sId="1">
    <nc r="E35" t="inlineStr">
      <is>
        <t>W1028996</t>
      </is>
    </nc>
  </rcc>
  <rcc rId="4785" sId="1">
    <nc r="E36" t="inlineStr">
      <is>
        <t>W1028997</t>
      </is>
    </nc>
  </rcc>
  <rcc rId="4786" sId="1">
    <nc r="E37" t="inlineStr">
      <is>
        <t>W1028998</t>
      </is>
    </nc>
  </rcc>
  <rcc rId="4787" sId="1">
    <nc r="F34" t="inlineStr">
      <is>
        <t>SMI3/73-0011-0101</t>
      </is>
    </nc>
  </rcc>
  <rcc rId="4788" sId="1">
    <nc r="G34" t="inlineStr">
      <is>
        <t>#11 SS SURG BLD Polymer Coated</t>
      </is>
    </nc>
  </rcc>
  <rcc rId="4789" sId="1">
    <nc r="H34">
      <v>2.12</v>
    </nc>
  </rcc>
  <rcc rId="4790" sId="1">
    <nc r="I34">
      <v>2.12</v>
    </nc>
  </rcc>
  <rcc rId="4791" sId="1">
    <nc r="J34">
      <v>15000</v>
    </nc>
  </rcc>
  <rcc rId="4792" sId="1">
    <nc r="K34">
      <v>0</v>
    </nc>
  </rcc>
  <rcc rId="4793" sId="1">
    <nc r="F35" t="inlineStr">
      <is>
        <t>SMI3/73-0011-0101</t>
      </is>
    </nc>
  </rcc>
  <rcc rId="4794" sId="1">
    <nc r="G35" t="inlineStr">
      <is>
        <t>#11 SS SURG BLD Polymer Coated</t>
      </is>
    </nc>
  </rcc>
  <rcc rId="4795" sId="1">
    <nc r="H35">
      <v>2.12</v>
    </nc>
  </rcc>
  <rcc rId="4796" sId="1">
    <nc r="I35">
      <v>2.12</v>
    </nc>
  </rcc>
  <rcc rId="4797" sId="1">
    <nc r="J35">
      <v>15000</v>
    </nc>
  </rcc>
  <rcc rId="4798" sId="1">
    <nc r="K35">
      <v>0</v>
    </nc>
  </rcc>
  <rcc rId="4799" sId="1">
    <nc r="F36" t="inlineStr">
      <is>
        <t>SMI3/73-0011-0101</t>
      </is>
    </nc>
  </rcc>
  <rcc rId="4800" sId="1">
    <nc r="G36" t="inlineStr">
      <is>
        <t>#11 SS SURG BLD Polymer Coated</t>
      </is>
    </nc>
  </rcc>
  <rcc rId="4801" sId="1">
    <nc r="H36">
      <v>2.12</v>
    </nc>
  </rcc>
  <rcc rId="4802" sId="1">
    <nc r="I36">
      <v>2.12</v>
    </nc>
  </rcc>
  <rcc rId="4803" sId="1">
    <nc r="J36">
      <v>15000</v>
    </nc>
  </rcc>
  <rcc rId="4804" sId="1">
    <nc r="K36">
      <v>0</v>
    </nc>
  </rcc>
  <rcc rId="4805" sId="1">
    <nc r="F37" t="inlineStr">
      <is>
        <t>SMI3/73-0011-0101</t>
      </is>
    </nc>
  </rcc>
  <rcc rId="4806" sId="1">
    <nc r="G37" t="inlineStr">
      <is>
        <t>#11 SS SURG BLD Polymer Coated</t>
      </is>
    </nc>
  </rcc>
  <rcc rId="4807" sId="1">
    <nc r="H37">
      <v>2.12</v>
    </nc>
  </rcc>
  <rcc rId="4808" sId="1">
    <nc r="I37">
      <v>2.12</v>
    </nc>
  </rcc>
  <rcc rId="4809" sId="1">
    <nc r="J37">
      <v>15000</v>
    </nc>
  </rcc>
  <rcc rId="4810" sId="1">
    <nc r="K37">
      <v>0</v>
    </nc>
  </rcc>
  <rcc rId="4811" sId="1">
    <nc r="A34" t="inlineStr">
      <is>
        <t>Zone 1</t>
      </is>
    </nc>
  </rcc>
  <rcc rId="4812" sId="1">
    <nc r="B34" t="inlineStr">
      <is>
        <t>Blade Coat</t>
      </is>
    </nc>
  </rcc>
  <rcc rId="4813" sId="1">
    <nc r="C34">
      <v>1</v>
    </nc>
  </rcc>
  <rcc rId="4814" sId="1">
    <nc r="A35" t="inlineStr">
      <is>
        <t>Zone 1</t>
      </is>
    </nc>
  </rcc>
  <rcc rId="4815" sId="1">
    <nc r="B35" t="inlineStr">
      <is>
        <t>Blade Coat</t>
      </is>
    </nc>
  </rcc>
  <rcc rId="4816" sId="1">
    <nc r="C35">
      <v>1</v>
    </nc>
  </rcc>
  <rcc rId="4817" sId="1">
    <nc r="A36" t="inlineStr">
      <is>
        <t>Zone 1</t>
      </is>
    </nc>
  </rcc>
  <rcc rId="4818" sId="1">
    <nc r="B36" t="inlineStr">
      <is>
        <t>Blade Coat</t>
      </is>
    </nc>
  </rcc>
  <rcc rId="4819" sId="1">
    <nc r="C36">
      <v>1</v>
    </nc>
  </rcc>
  <rcc rId="4820" sId="1">
    <nc r="A37" t="inlineStr">
      <is>
        <t>Zone 1</t>
      </is>
    </nc>
  </rcc>
  <rcc rId="4821" sId="1">
    <nc r="B37" t="inlineStr">
      <is>
        <t>Blade Coat</t>
      </is>
    </nc>
  </rcc>
  <rcc rId="4822" sId="1">
    <nc r="C37">
      <v>1</v>
    </nc>
  </rcc>
  <rcc rId="4823" sId="1">
    <nc r="A38" t="inlineStr">
      <is>
        <t>Zone 1</t>
      </is>
    </nc>
  </rcc>
  <rcc rId="4824" sId="1">
    <nc r="B38" t="inlineStr">
      <is>
        <t>Blade Coat</t>
      </is>
    </nc>
  </rcc>
  <rcc rId="4825" sId="1">
    <nc r="C38">
      <v>1</v>
    </nc>
  </rcc>
  <rcc rId="4826" sId="1">
    <nc r="E38" t="inlineStr">
      <is>
        <t>W1029802</t>
      </is>
    </nc>
  </rcc>
  <rcc rId="4827" sId="1">
    <nc r="F38" t="inlineStr">
      <is>
        <t>SMI3/73-0010-0101</t>
      </is>
    </nc>
  </rcc>
  <rcc rId="4828" sId="1">
    <nc r="G38" t="inlineStr">
      <is>
        <t>#10 SS SURG BLD Polymer Coated</t>
      </is>
    </nc>
  </rcc>
  <rcc rId="4829" sId="1">
    <nc r="H38">
      <v>2.12</v>
    </nc>
  </rcc>
  <rcc rId="4830" sId="1">
    <nc r="I38">
      <v>2.12</v>
    </nc>
  </rcc>
  <rcc rId="4831" sId="1">
    <nc r="J38">
      <v>16000</v>
    </nc>
  </rcc>
  <rcc rId="4832" sId="1">
    <nc r="K38">
      <v>0</v>
    </nc>
  </rcc>
  <rcc rId="4833" sId="1">
    <nc r="A39" t="inlineStr">
      <is>
        <t>Zone 1</t>
      </is>
    </nc>
  </rcc>
  <rcc rId="4834" sId="1">
    <nc r="B39" t="inlineStr">
      <is>
        <t>Blade Coat</t>
      </is>
    </nc>
  </rcc>
  <rcc rId="4835" sId="1">
    <nc r="C39">
      <v>1</v>
    </nc>
  </rcc>
  <rcc rId="4836" sId="1">
    <nc r="E39" t="inlineStr">
      <is>
        <t>W1029803</t>
      </is>
    </nc>
  </rcc>
  <rcc rId="4837" sId="1">
    <nc r="F39" t="inlineStr">
      <is>
        <t>SMI3/73-0010-0101</t>
      </is>
    </nc>
  </rcc>
  <rcc rId="4838" sId="1">
    <nc r="G39" t="inlineStr">
      <is>
        <t>#10 SS SURG BLD Polymer Coated</t>
      </is>
    </nc>
  </rcc>
  <rcc rId="4839" sId="1">
    <nc r="H39">
      <v>2.12</v>
    </nc>
  </rcc>
  <rcc rId="4840" sId="1">
    <nc r="I39">
      <v>2.12</v>
    </nc>
  </rcc>
  <rcc rId="4841" sId="1">
    <nc r="J39">
      <v>16000</v>
    </nc>
  </rcc>
  <rcc rId="4842" sId="1">
    <nc r="K39">
      <v>0</v>
    </nc>
  </rcc>
  <rcc rId="4843" sId="1">
    <nc r="A40" t="inlineStr">
      <is>
        <t>Zone 1</t>
      </is>
    </nc>
  </rcc>
  <rcc rId="4844" sId="1">
    <nc r="B40" t="inlineStr">
      <is>
        <t>Blade Coat</t>
      </is>
    </nc>
  </rcc>
  <rcc rId="4845" sId="1">
    <nc r="C40">
      <v>1</v>
    </nc>
  </rcc>
  <rcc rId="4846" sId="1">
    <nc r="E40" t="inlineStr">
      <is>
        <t>W1029804</t>
      </is>
    </nc>
  </rcc>
  <rcc rId="4847" sId="1">
    <nc r="F40" t="inlineStr">
      <is>
        <t>SMI3/73-0010-0101</t>
      </is>
    </nc>
  </rcc>
  <rcc rId="4848" sId="1">
    <nc r="G40" t="inlineStr">
      <is>
        <t>#10 SS SURG BLD Polymer Coated</t>
      </is>
    </nc>
  </rcc>
  <rcc rId="4849" sId="1">
    <nc r="H40">
      <v>2.12</v>
    </nc>
  </rcc>
  <rcc rId="4850" sId="1">
    <nc r="I40">
      <v>2.12</v>
    </nc>
  </rcc>
  <rcc rId="4851" sId="1">
    <nc r="J40">
      <v>16000</v>
    </nc>
  </rcc>
  <rcc rId="4852" sId="1">
    <nc r="K40">
      <v>0</v>
    </nc>
  </rcc>
  <rcc rId="4853" sId="1">
    <nc r="A41" t="inlineStr">
      <is>
        <t>Zone 1</t>
      </is>
    </nc>
  </rcc>
  <rcc rId="4854" sId="1">
    <nc r="B41" t="inlineStr">
      <is>
        <t>Blade Coat</t>
      </is>
    </nc>
  </rcc>
  <rcc rId="4855" sId="1">
    <nc r="C41">
      <v>1</v>
    </nc>
  </rcc>
  <rcc rId="4856" sId="1">
    <nc r="E41" t="inlineStr">
      <is>
        <t>W1029805</t>
      </is>
    </nc>
  </rcc>
  <rcc rId="4857" sId="1">
    <nc r="F41" t="inlineStr">
      <is>
        <t>SMI3/73-0010-0101</t>
      </is>
    </nc>
  </rcc>
  <rcc rId="4858" sId="1">
    <nc r="G41" t="inlineStr">
      <is>
        <t>#10 SS SURG BLD Polymer Coated</t>
      </is>
    </nc>
  </rcc>
  <rcc rId="4859" sId="1">
    <nc r="H41">
      <v>2.12</v>
    </nc>
  </rcc>
  <rcc rId="4860" sId="1">
    <nc r="I41">
      <v>2.12</v>
    </nc>
  </rcc>
  <rcc rId="4861" sId="1">
    <nc r="J41">
      <v>16000</v>
    </nc>
  </rcc>
  <rcc rId="4862" sId="1">
    <nc r="K41">
      <v>0</v>
    </nc>
  </rcc>
  <rcc rId="4863" sId="1">
    <nc r="A42" t="inlineStr">
      <is>
        <t>Zone 1</t>
      </is>
    </nc>
  </rcc>
  <rcc rId="4864" sId="1">
    <nc r="B42" t="inlineStr">
      <is>
        <t>Blade Coat</t>
      </is>
    </nc>
  </rcc>
  <rcc rId="4865" sId="1">
    <nc r="C42">
      <v>1</v>
    </nc>
  </rcc>
  <rcc rId="4866" sId="1">
    <nc r="E42" t="inlineStr">
      <is>
        <t>W1029806</t>
      </is>
    </nc>
  </rcc>
  <rcc rId="4867" sId="1">
    <nc r="F42" t="inlineStr">
      <is>
        <t>SMI3/73-0010-0101</t>
      </is>
    </nc>
  </rcc>
  <rcc rId="4868" sId="1">
    <nc r="G42" t="inlineStr">
      <is>
        <t>#10 SS SURG BLD Polymer Coated</t>
      </is>
    </nc>
  </rcc>
  <rcc rId="4869" sId="1">
    <nc r="H42">
      <v>2.12</v>
    </nc>
  </rcc>
  <rcc rId="4870" sId="1">
    <nc r="I42">
      <v>2.12</v>
    </nc>
  </rcc>
  <rcc rId="4871" sId="1">
    <nc r="J42">
      <v>16000</v>
    </nc>
  </rcc>
  <rcc rId="4872" sId="1">
    <nc r="K42">
      <v>0</v>
    </nc>
  </rcc>
  <rfmt sheetId="1" sqref="A37:XFD37" start="0" length="0">
    <dxf>
      <border>
        <bottom style="medium">
          <color indexed="64"/>
        </bottom>
      </border>
    </dxf>
  </rfmt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4873" sId="1" eol="1" ref="A43:XFD43" action="insertRow"/>
  <rcc rId="4874" sId="1">
    <nc r="E43" t="inlineStr">
      <is>
        <t>W1030290</t>
      </is>
    </nc>
  </rcc>
  <rcc rId="4875" sId="1">
    <nc r="E44" t="inlineStr">
      <is>
        <t>W1030291</t>
      </is>
    </nc>
  </rcc>
  <rcc rId="4876" sId="1">
    <nc r="E45" t="inlineStr">
      <is>
        <t>W1030292</t>
      </is>
    </nc>
  </rcc>
  <rcc rId="4877" sId="1">
    <nc r="E46" t="inlineStr">
      <is>
        <t>W1030293</t>
      </is>
    </nc>
  </rcc>
  <rcc rId="4878" sId="1">
    <nc r="E47" t="inlineStr">
      <is>
        <t>W1030294</t>
      </is>
    </nc>
  </rcc>
  <rcc rId="4879" sId="1">
    <nc r="E48" t="inlineStr">
      <is>
        <t>W1030295</t>
      </is>
    </nc>
  </rcc>
  <rcc rId="4880" sId="1">
    <nc r="E49" t="inlineStr">
      <is>
        <t>W1030296</t>
      </is>
    </nc>
  </rcc>
  <rcc rId="4881" sId="1">
    <nc r="E50" t="inlineStr">
      <is>
        <t>W1030297</t>
      </is>
    </nc>
  </rcc>
  <rcc rId="4882" sId="1">
    <nc r="E51" t="inlineStr">
      <is>
        <t>W1030298</t>
      </is>
    </nc>
  </rcc>
  <rcc rId="4883" sId="1">
    <nc r="E52" t="inlineStr">
      <is>
        <t>W1030299</t>
      </is>
    </nc>
  </rcc>
  <rcc rId="4884" sId="1">
    <nc r="J43">
      <v>15000</v>
    </nc>
  </rcc>
  <rcc rId="4885" sId="1">
    <nc r="K43">
      <v>0</v>
    </nc>
  </rcc>
  <rcc rId="4886" sId="1">
    <nc r="H43">
      <v>2.12</v>
    </nc>
  </rcc>
  <rcc rId="4887" sId="1">
    <nc r="I43">
      <v>2.12</v>
    </nc>
  </rcc>
  <rcc rId="4888" sId="1">
    <nc r="F43" t="inlineStr">
      <is>
        <t>SMI3/73-0010-0101</t>
      </is>
    </nc>
  </rcc>
  <rcc rId="4889" sId="1">
    <nc r="G43" t="inlineStr">
      <is>
        <t>#10 SS SURG BLD Polymer Coated</t>
      </is>
    </nc>
  </rcc>
  <rcc rId="4890" sId="1">
    <nc r="A43" t="inlineStr">
      <is>
        <t>Zone 1</t>
      </is>
    </nc>
  </rcc>
  <rcc rId="4891" sId="1">
    <nc r="B43" t="inlineStr">
      <is>
        <t>Blade Coat</t>
      </is>
    </nc>
  </rcc>
  <rcc rId="4892" sId="1">
    <nc r="C43">
      <v>1</v>
    </nc>
  </rcc>
  <rcc rId="4893" sId="1">
    <nc r="A44" t="inlineStr">
      <is>
        <t>Zone 1</t>
      </is>
    </nc>
  </rcc>
  <rcc rId="4894" sId="1">
    <nc r="B44" t="inlineStr">
      <is>
        <t>Blade Coat</t>
      </is>
    </nc>
  </rcc>
  <rcc rId="4895" sId="1">
    <nc r="C44">
      <v>1</v>
    </nc>
  </rcc>
  <rcc rId="4896" sId="1">
    <nc r="F44" t="inlineStr">
      <is>
        <t>SMI3/73-0010-0101</t>
      </is>
    </nc>
  </rcc>
  <rcc rId="4897" sId="1">
    <nc r="G44" t="inlineStr">
      <is>
        <t>#10 SS SURG BLD Polymer Coated</t>
      </is>
    </nc>
  </rcc>
  <rcc rId="4898" sId="1">
    <nc r="H44">
      <v>2.12</v>
    </nc>
  </rcc>
  <rcc rId="4899" sId="1">
    <nc r="I44">
      <v>2.12</v>
    </nc>
  </rcc>
  <rcc rId="4900" sId="1">
    <nc r="J44">
      <v>15000</v>
    </nc>
  </rcc>
  <rcc rId="4901" sId="1">
    <nc r="K44">
      <v>0</v>
    </nc>
  </rcc>
  <rcc rId="4902" sId="1">
    <nc r="F45" t="inlineStr">
      <is>
        <t>SMI3/73-0010-0101</t>
      </is>
    </nc>
  </rcc>
  <rcc rId="4903" sId="1">
    <nc r="G45" t="inlineStr">
      <is>
        <t>#10 SS SURG BLD Polymer Coated</t>
      </is>
    </nc>
  </rcc>
  <rcc rId="4904" sId="1">
    <nc r="H45">
      <v>2.12</v>
    </nc>
  </rcc>
  <rcc rId="4905" sId="1">
    <nc r="I45">
      <v>2.12</v>
    </nc>
  </rcc>
  <rcc rId="4906" sId="1">
    <nc r="J45">
      <v>15000</v>
    </nc>
  </rcc>
  <rcc rId="4907" sId="1">
    <nc r="K45">
      <v>0</v>
    </nc>
  </rcc>
  <rcc rId="4908" sId="1">
    <nc r="F46" t="inlineStr">
      <is>
        <t>SMI3/73-0010-0101</t>
      </is>
    </nc>
  </rcc>
  <rcc rId="4909" sId="1">
    <nc r="G46" t="inlineStr">
      <is>
        <t>#10 SS SURG BLD Polymer Coated</t>
      </is>
    </nc>
  </rcc>
  <rcc rId="4910" sId="1">
    <nc r="H46">
      <v>2.12</v>
    </nc>
  </rcc>
  <rcc rId="4911" sId="1">
    <nc r="I46">
      <v>2.12</v>
    </nc>
  </rcc>
  <rcc rId="4912" sId="1">
    <nc r="J46">
      <v>15000</v>
    </nc>
  </rcc>
  <rcc rId="4913" sId="1">
    <nc r="K46">
      <v>0</v>
    </nc>
  </rcc>
  <rcc rId="4914" sId="1">
    <nc r="F47" t="inlineStr">
      <is>
        <t>SMI3/73-0010-0101</t>
      </is>
    </nc>
  </rcc>
  <rcc rId="4915" sId="1">
    <nc r="G47" t="inlineStr">
      <is>
        <t>#10 SS SURG BLD Polymer Coated</t>
      </is>
    </nc>
  </rcc>
  <rcc rId="4916" sId="1">
    <nc r="H47">
      <v>2.12</v>
    </nc>
  </rcc>
  <rcc rId="4917" sId="1">
    <nc r="I47">
      <v>2.12</v>
    </nc>
  </rcc>
  <rcc rId="4918" sId="1">
    <nc r="J47">
      <v>15000</v>
    </nc>
  </rcc>
  <rcc rId="4919" sId="1">
    <nc r="K47">
      <v>0</v>
    </nc>
  </rcc>
  <rcc rId="4920" sId="1">
    <nc r="F48" t="inlineStr">
      <is>
        <t>SMI3/73-0010-0101</t>
      </is>
    </nc>
  </rcc>
  <rcc rId="4921" sId="1">
    <nc r="G48" t="inlineStr">
      <is>
        <t>#10 SS SURG BLD Polymer Coated</t>
      </is>
    </nc>
  </rcc>
  <rcc rId="4922" sId="1">
    <nc r="H48">
      <v>2.12</v>
    </nc>
  </rcc>
  <rcc rId="4923" sId="1">
    <nc r="I48">
      <v>2.12</v>
    </nc>
  </rcc>
  <rcc rId="4924" sId="1">
    <nc r="J48">
      <v>15000</v>
    </nc>
  </rcc>
  <rcc rId="4925" sId="1">
    <nc r="K48">
      <v>0</v>
    </nc>
  </rcc>
  <rcc rId="4926" sId="1">
    <nc r="F49" t="inlineStr">
      <is>
        <t>SMI3/73-0010-0101</t>
      </is>
    </nc>
  </rcc>
  <rcc rId="4927" sId="1">
    <nc r="G49" t="inlineStr">
      <is>
        <t>#10 SS SURG BLD Polymer Coated</t>
      </is>
    </nc>
  </rcc>
  <rcc rId="4928" sId="1">
    <nc r="H49">
      <v>2.12</v>
    </nc>
  </rcc>
  <rcc rId="4929" sId="1">
    <nc r="I49">
      <v>2.12</v>
    </nc>
  </rcc>
  <rcc rId="4930" sId="1">
    <nc r="J49">
      <v>15000</v>
    </nc>
  </rcc>
  <rcc rId="4931" sId="1">
    <nc r="K49">
      <v>0</v>
    </nc>
  </rcc>
  <rcc rId="4932" sId="1">
    <nc r="F50" t="inlineStr">
      <is>
        <t>SMI3/73-0010-0101</t>
      </is>
    </nc>
  </rcc>
  <rcc rId="4933" sId="1">
    <nc r="G50" t="inlineStr">
      <is>
        <t>#10 SS SURG BLD Polymer Coated</t>
      </is>
    </nc>
  </rcc>
  <rcc rId="4934" sId="1">
    <nc r="H50">
      <v>2.12</v>
    </nc>
  </rcc>
  <rcc rId="4935" sId="1">
    <nc r="I50">
      <v>2.12</v>
    </nc>
  </rcc>
  <rcc rId="4936" sId="1">
    <nc r="J50">
      <v>15000</v>
    </nc>
  </rcc>
  <rcc rId="4937" sId="1">
    <nc r="K50">
      <v>0</v>
    </nc>
  </rcc>
  <rcc rId="4938" sId="1">
    <nc r="F51" t="inlineStr">
      <is>
        <t>SMI3/73-0010-0101</t>
      </is>
    </nc>
  </rcc>
  <rcc rId="4939" sId="1">
    <nc r="G51" t="inlineStr">
      <is>
        <t>#10 SS SURG BLD Polymer Coated</t>
      </is>
    </nc>
  </rcc>
  <rcc rId="4940" sId="1">
    <nc r="H51">
      <v>2.12</v>
    </nc>
  </rcc>
  <rcc rId="4941" sId="1">
    <nc r="I51">
      <v>2.12</v>
    </nc>
  </rcc>
  <rcc rId="4942" sId="1">
    <nc r="J51">
      <v>15000</v>
    </nc>
  </rcc>
  <rcc rId="4943" sId="1">
    <nc r="K51">
      <v>0</v>
    </nc>
  </rcc>
  <rcc rId="4944" sId="1">
    <nc r="F52" t="inlineStr">
      <is>
        <t>SMI3/73-0010-0101</t>
      </is>
    </nc>
  </rcc>
  <rcc rId="4945" sId="1">
    <nc r="G52" t="inlineStr">
      <is>
        <t>#10 SS SURG BLD Polymer Coated</t>
      </is>
    </nc>
  </rcc>
  <rcc rId="4946" sId="1">
    <nc r="H52">
      <v>2.12</v>
    </nc>
  </rcc>
  <rcc rId="4947" sId="1">
    <nc r="I52">
      <v>2.12</v>
    </nc>
  </rcc>
  <rcc rId="4948" sId="1">
    <nc r="J52">
      <v>15000</v>
    </nc>
  </rcc>
  <rcc rId="4949" sId="1">
    <nc r="K52">
      <v>0</v>
    </nc>
  </rcc>
  <rcc rId="4950" sId="1">
    <nc r="A45" t="inlineStr">
      <is>
        <t>Zone 1</t>
      </is>
    </nc>
  </rcc>
  <rcc rId="4951" sId="1">
    <nc r="B45" t="inlineStr">
      <is>
        <t>Blade Coat</t>
      </is>
    </nc>
  </rcc>
  <rcc rId="4952" sId="1">
    <nc r="C45">
      <v>1</v>
    </nc>
  </rcc>
  <rcc rId="4953" sId="1">
    <nc r="A46" t="inlineStr">
      <is>
        <t>Zone 1</t>
      </is>
    </nc>
  </rcc>
  <rcc rId="4954" sId="1">
    <nc r="B46" t="inlineStr">
      <is>
        <t>Blade Coat</t>
      </is>
    </nc>
  </rcc>
  <rcc rId="4955" sId="1">
    <nc r="C46">
      <v>1</v>
    </nc>
  </rcc>
  <rcc rId="4956" sId="1">
    <nc r="A47" t="inlineStr">
      <is>
        <t>Zone 1</t>
      </is>
    </nc>
  </rcc>
  <rcc rId="4957" sId="1">
    <nc r="B47" t="inlineStr">
      <is>
        <t>Blade Coat</t>
      </is>
    </nc>
  </rcc>
  <rcc rId="4958" sId="1">
    <nc r="C47">
      <v>1</v>
    </nc>
  </rcc>
  <rcc rId="4959" sId="1">
    <nc r="A48" t="inlineStr">
      <is>
        <t>Zone 1</t>
      </is>
    </nc>
  </rcc>
  <rcc rId="4960" sId="1">
    <nc r="B48" t="inlineStr">
      <is>
        <t>Blade Coat</t>
      </is>
    </nc>
  </rcc>
  <rcc rId="4961" sId="1">
    <nc r="C48">
      <v>1</v>
    </nc>
  </rcc>
  <rcc rId="4962" sId="1">
    <nc r="A49" t="inlineStr">
      <is>
        <t>Zone 1</t>
      </is>
    </nc>
  </rcc>
  <rcc rId="4963" sId="1">
    <nc r="B49" t="inlineStr">
      <is>
        <t>Blade Coat</t>
      </is>
    </nc>
  </rcc>
  <rcc rId="4964" sId="1">
    <nc r="C49">
      <v>1</v>
    </nc>
  </rcc>
  <rcc rId="4965" sId="1">
    <nc r="A50" t="inlineStr">
      <is>
        <t>Zone 1</t>
      </is>
    </nc>
  </rcc>
  <rcc rId="4966" sId="1">
    <nc r="B50" t="inlineStr">
      <is>
        <t>Blade Coat</t>
      </is>
    </nc>
  </rcc>
  <rcc rId="4967" sId="1">
    <nc r="C50">
      <v>1</v>
    </nc>
  </rcc>
  <rcc rId="4968" sId="1">
    <nc r="A51" t="inlineStr">
      <is>
        <t>Zone 1</t>
      </is>
    </nc>
  </rcc>
  <rcc rId="4969" sId="1">
    <nc r="B51" t="inlineStr">
      <is>
        <t>Blade Coat</t>
      </is>
    </nc>
  </rcc>
  <rcc rId="4970" sId="1">
    <nc r="C51">
      <v>1</v>
    </nc>
  </rcc>
  <rcc rId="4971" sId="1">
    <nc r="A52" t="inlineStr">
      <is>
        <t>Zone 1</t>
      </is>
    </nc>
  </rcc>
  <rcc rId="4972" sId="1">
    <nc r="B52" t="inlineStr">
      <is>
        <t>Blade Coat</t>
      </is>
    </nc>
  </rcc>
  <rcc rId="4973" sId="1">
    <nc r="C52">
      <v>1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974" sId="1">
    <nc r="A53" t="inlineStr">
      <is>
        <t>Zone 1</t>
      </is>
    </nc>
  </rcc>
  <rcc rId="4975" sId="1">
    <nc r="B53" t="inlineStr">
      <is>
        <t>Blade Grinder</t>
      </is>
    </nc>
  </rcc>
  <rcc rId="4976" sId="1">
    <nc r="C53">
      <v>0.5</v>
    </nc>
  </rcc>
  <rcc rId="4977" sId="1">
    <nc r="E53" t="inlineStr">
      <is>
        <t>W1029612</t>
      </is>
    </nc>
  </rcc>
  <rcc rId="4978" sId="1">
    <nc r="F53" t="inlineStr">
      <is>
        <t>SMI3/73-0010-0101UC</t>
      </is>
    </nc>
  </rcc>
  <rcc rId="4979" sId="1">
    <nc r="G53" t="inlineStr">
      <is>
        <t>#10 SS SURG BLD Un-Coated</t>
      </is>
    </nc>
  </rcc>
  <rcc rId="4980" sId="1">
    <nc r="H53">
      <v>11.33</v>
    </nc>
  </rcc>
  <rcc rId="4981" sId="1">
    <nc r="I53">
      <v>22.66</v>
    </nc>
  </rcc>
  <rcc rId="4982" sId="1">
    <nc r="J53">
      <v>16000</v>
    </nc>
  </rcc>
  <rcc rId="4983" sId="1">
    <nc r="K53">
      <v>0</v>
    </nc>
  </rcc>
  <rcc rId="4984" sId="1" numFmtId="19">
    <nc r="L53">
      <v>46181.729166666664</v>
    </nc>
  </rcc>
  <rcc rId="4985" sId="1" numFmtId="19">
    <nc r="M53">
      <v>46182.666666666664</v>
    </nc>
  </rcc>
  <rcc rId="4986" sId="1">
    <nc r="AA53" t="inlineStr">
      <is>
        <t>1</t>
      </is>
    </nc>
  </rcc>
  <rcc rId="4987" sId="1">
    <nc r="AB53" t="inlineStr">
      <is>
        <t>1</t>
      </is>
    </nc>
  </rcc>
  <rcc rId="4988" sId="1">
    <nc r="A54" t="inlineStr">
      <is>
        <t>Zone 1</t>
      </is>
    </nc>
  </rcc>
  <rcc rId="4989" sId="1">
    <nc r="B54" t="inlineStr">
      <is>
        <t>Blade Grinder</t>
      </is>
    </nc>
  </rcc>
  <rcc rId="4990" sId="1">
    <nc r="C54">
      <v>0.5</v>
    </nc>
  </rcc>
  <rcc rId="4991" sId="1">
    <nc r="E54" t="inlineStr">
      <is>
        <t>W1029613</t>
      </is>
    </nc>
  </rcc>
  <rcc rId="4992" sId="1">
    <nc r="F54" t="inlineStr">
      <is>
        <t>SMI3/73-0010-0101UC</t>
      </is>
    </nc>
  </rcc>
  <rcc rId="4993" sId="1">
    <nc r="G54" t="inlineStr">
      <is>
        <t>#10 SS SURG BLD Un-Coated</t>
      </is>
    </nc>
  </rcc>
  <rcc rId="4994" sId="1">
    <nc r="H54">
      <v>11.33</v>
    </nc>
  </rcc>
  <rcc rId="4995" sId="1">
    <nc r="I54">
      <v>22.66</v>
    </nc>
  </rcc>
  <rcc rId="4996" sId="1">
    <nc r="J54">
      <v>16000</v>
    </nc>
  </rcc>
  <rcc rId="4997" sId="1">
    <nc r="K54">
      <v>0</v>
    </nc>
  </rcc>
  <rcc rId="4998" sId="1" numFmtId="19">
    <nc r="L54">
      <v>46181.729166666664</v>
    </nc>
  </rcc>
  <rcc rId="4999" sId="1" numFmtId="19">
    <nc r="M54">
      <v>46182.666666666664</v>
    </nc>
  </rcc>
  <rcc rId="5000" sId="1">
    <nc r="AA54" t="inlineStr">
      <is>
        <t>1</t>
      </is>
    </nc>
  </rcc>
  <rcc rId="5001" sId="1">
    <nc r="AB54" t="inlineStr">
      <is>
        <t>1</t>
      </is>
    </nc>
  </rcc>
  <rcc rId="5002" sId="1">
    <nc r="A55" t="inlineStr">
      <is>
        <t>Zone 1</t>
      </is>
    </nc>
  </rcc>
  <rcc rId="5003" sId="1">
    <nc r="B55" t="inlineStr">
      <is>
        <t>Blade Grinder</t>
      </is>
    </nc>
  </rcc>
  <rcc rId="5004" sId="1">
    <nc r="C55">
      <v>0.5</v>
    </nc>
  </rcc>
  <rcc rId="5005" sId="1">
    <nc r="E55" t="inlineStr">
      <is>
        <t>W1029614</t>
      </is>
    </nc>
  </rcc>
  <rcc rId="5006" sId="1">
    <nc r="F55" t="inlineStr">
      <is>
        <t>SMI3/73-0010-0101UC</t>
      </is>
    </nc>
  </rcc>
  <rcc rId="5007" sId="1">
    <nc r="G55" t="inlineStr">
      <is>
        <t>#10 SS SURG BLD Un-Coated</t>
      </is>
    </nc>
  </rcc>
  <rcc rId="5008" sId="1">
    <nc r="H55">
      <v>11.33</v>
    </nc>
  </rcc>
  <rcc rId="5009" sId="1">
    <nc r="I55">
      <v>22.66</v>
    </nc>
  </rcc>
  <rcc rId="5010" sId="1">
    <nc r="J55">
      <v>16000</v>
    </nc>
  </rcc>
  <rcc rId="5011" sId="1">
    <nc r="K55">
      <v>0</v>
    </nc>
  </rcc>
  <rcc rId="5012" sId="1" numFmtId="19">
    <nc r="L55">
      <v>46181.729166666664</v>
    </nc>
  </rcc>
  <rcc rId="5013" sId="1" numFmtId="19">
    <nc r="M55">
      <v>46182.666666666664</v>
    </nc>
  </rcc>
  <rcc rId="5014" sId="1">
    <nc r="AA55" t="inlineStr">
      <is>
        <t>1</t>
      </is>
    </nc>
  </rcc>
  <rcc rId="5015" sId="1">
    <nc r="AB55" t="inlineStr">
      <is>
        <t>1</t>
      </is>
    </nc>
  </rcc>
  <rcc rId="5016" sId="1">
    <nc r="A56" t="inlineStr">
      <is>
        <t>Zone 1</t>
      </is>
    </nc>
  </rcc>
  <rcc rId="5017" sId="1">
    <nc r="B56" t="inlineStr">
      <is>
        <t>Blade Grinder</t>
      </is>
    </nc>
  </rcc>
  <rcc rId="5018" sId="1">
    <nc r="C56">
      <v>0.5</v>
    </nc>
  </rcc>
  <rcc rId="5019" sId="1">
    <nc r="E56" t="inlineStr">
      <is>
        <t>W1029615</t>
      </is>
    </nc>
  </rcc>
  <rcc rId="5020" sId="1">
    <nc r="F56" t="inlineStr">
      <is>
        <t>SMI3/73-0010-0101UC</t>
      </is>
    </nc>
  </rcc>
  <rcc rId="5021" sId="1">
    <nc r="G56" t="inlineStr">
      <is>
        <t>#10 SS SURG BLD Un-Coated</t>
      </is>
    </nc>
  </rcc>
  <rcc rId="5022" sId="1">
    <nc r="H56">
      <v>11.33</v>
    </nc>
  </rcc>
  <rcc rId="5023" sId="1">
    <nc r="I56">
      <v>22.66</v>
    </nc>
  </rcc>
  <rcc rId="5024" sId="1">
    <nc r="J56">
      <v>16000</v>
    </nc>
  </rcc>
  <rcc rId="5025" sId="1">
    <nc r="K56">
      <v>0</v>
    </nc>
  </rcc>
  <rcc rId="5026" sId="1" numFmtId="19">
    <nc r="L56">
      <v>46181.729166666664</v>
    </nc>
  </rcc>
  <rcc rId="5027" sId="1" numFmtId="19">
    <nc r="M56">
      <v>46182.666666666664</v>
    </nc>
  </rcc>
  <rcc rId="5028" sId="1">
    <nc r="AA56" t="inlineStr">
      <is>
        <t>1</t>
      </is>
    </nc>
  </rcc>
  <rcc rId="5029" sId="1">
    <nc r="AB56" t="inlineStr">
      <is>
        <t>1</t>
      </is>
    </nc>
  </rcc>
  <rcc rId="5030" sId="1">
    <nc r="A57" t="inlineStr">
      <is>
        <t>Zone 1</t>
      </is>
    </nc>
  </rcc>
  <rcc rId="5031" sId="1">
    <nc r="B57" t="inlineStr">
      <is>
        <t>Blade Grinder</t>
      </is>
    </nc>
  </rcc>
  <rcc rId="5032" sId="1">
    <nc r="C57">
      <v>0.5</v>
    </nc>
  </rcc>
  <rcc rId="5033" sId="1">
    <nc r="E57" t="inlineStr">
      <is>
        <t>W1029616</t>
      </is>
    </nc>
  </rcc>
  <rcc rId="5034" sId="1">
    <nc r="F57" t="inlineStr">
      <is>
        <t>SMI3/73-0010-0101UC</t>
      </is>
    </nc>
  </rcc>
  <rcc rId="5035" sId="1">
    <nc r="G57" t="inlineStr">
      <is>
        <t>#10 SS SURG BLD Un-Coated</t>
      </is>
    </nc>
  </rcc>
  <rcc rId="5036" sId="1">
    <nc r="H57">
      <v>11.33</v>
    </nc>
  </rcc>
  <rcc rId="5037" sId="1">
    <nc r="I57">
      <v>22.66</v>
    </nc>
  </rcc>
  <rcc rId="5038" sId="1">
    <nc r="J57">
      <v>16000</v>
    </nc>
  </rcc>
  <rcc rId="5039" sId="1">
    <nc r="K57">
      <v>0</v>
    </nc>
  </rcc>
  <rcc rId="5040" sId="1" numFmtId="19">
    <nc r="L57">
      <v>46181.729166666664</v>
    </nc>
  </rcc>
  <rcc rId="5041" sId="1" numFmtId="19">
    <nc r="M57">
      <v>46182.666666666664</v>
    </nc>
  </rcc>
  <rcc rId="5042" sId="1">
    <nc r="AA57" t="inlineStr">
      <is>
        <t>1</t>
      </is>
    </nc>
  </rcc>
  <rcc rId="5043" sId="1">
    <nc r="AB57" t="inlineStr">
      <is>
        <t>1</t>
      </is>
    </nc>
  </rcc>
  <rcc rId="5044" sId="1">
    <nc r="A58" t="inlineStr">
      <is>
        <t>Zone 1</t>
      </is>
    </nc>
  </rcc>
  <rcc rId="5045" sId="1">
    <nc r="B58" t="inlineStr">
      <is>
        <t>Blade Grinder</t>
      </is>
    </nc>
  </rcc>
  <rcc rId="5046" sId="1">
    <nc r="C58">
      <v>0.5</v>
    </nc>
  </rcc>
  <rcc rId="5047" sId="1">
    <nc r="E58" t="inlineStr">
      <is>
        <t>W1029617</t>
      </is>
    </nc>
  </rcc>
  <rcc rId="5048" sId="1">
    <nc r="F58" t="inlineStr">
      <is>
        <t>SMI3/73-0010-0101UC</t>
      </is>
    </nc>
  </rcc>
  <rcc rId="5049" sId="1">
    <nc r="G58" t="inlineStr">
      <is>
        <t>#10 SS SURG BLD Un-Coated</t>
      </is>
    </nc>
  </rcc>
  <rcc rId="5050" sId="1">
    <nc r="H58">
      <v>11.33</v>
    </nc>
  </rcc>
  <rcc rId="5051" sId="1">
    <nc r="I58">
      <v>22.66</v>
    </nc>
  </rcc>
  <rcc rId="5052" sId="1">
    <nc r="J58">
      <v>16000</v>
    </nc>
  </rcc>
  <rcc rId="5053" sId="1">
    <nc r="K58">
      <v>0</v>
    </nc>
  </rcc>
  <rcc rId="5054" sId="1" numFmtId="19">
    <nc r="L58">
      <v>46181.729166666664</v>
    </nc>
  </rcc>
  <rcc rId="5055" sId="1" numFmtId="19">
    <nc r="M58">
      <v>46182.666666666664</v>
    </nc>
  </rcc>
  <rcc rId="5056" sId="1">
    <nc r="AA58" t="inlineStr">
      <is>
        <t>1</t>
      </is>
    </nc>
  </rcc>
  <rcc rId="5057" sId="1">
    <nc r="AB58" t="inlineStr">
      <is>
        <t>1</t>
      </is>
    </nc>
  </rcc>
  <rcc rId="5058" sId="1">
    <nc r="A59" t="inlineStr">
      <is>
        <t>Zone 1</t>
      </is>
    </nc>
  </rcc>
  <rcc rId="5059" sId="1">
    <nc r="B59" t="inlineStr">
      <is>
        <t>Blade Grinder</t>
      </is>
    </nc>
  </rcc>
  <rcc rId="5060" sId="1">
    <nc r="C59">
      <v>0.5</v>
    </nc>
  </rcc>
  <rcc rId="5061" sId="1">
    <nc r="E59" t="inlineStr">
      <is>
        <t>W1029618</t>
      </is>
    </nc>
  </rcc>
  <rcc rId="5062" sId="1">
    <nc r="F59" t="inlineStr">
      <is>
        <t>SMI3/73-0010-0101UC</t>
      </is>
    </nc>
  </rcc>
  <rcc rId="5063" sId="1">
    <nc r="G59" t="inlineStr">
      <is>
        <t>#10 SS SURG BLD Un-Coated</t>
      </is>
    </nc>
  </rcc>
  <rcc rId="5064" sId="1">
    <nc r="H59">
      <v>11.33</v>
    </nc>
  </rcc>
  <rcc rId="5065" sId="1">
    <nc r="I59">
      <v>22.66</v>
    </nc>
  </rcc>
  <rcc rId="5066" sId="1">
    <nc r="J59">
      <v>16000</v>
    </nc>
  </rcc>
  <rcc rId="5067" sId="1">
    <nc r="K59">
      <v>0</v>
    </nc>
  </rcc>
  <rcc rId="5068" sId="1" numFmtId="19">
    <nc r="L59">
      <v>46181.729166666664</v>
    </nc>
  </rcc>
  <rcc rId="5069" sId="1" numFmtId="19">
    <nc r="M59">
      <v>46182.666666666664</v>
    </nc>
  </rcc>
  <rcc rId="5070" sId="1">
    <nc r="AA59" t="inlineStr">
      <is>
        <t>1</t>
      </is>
    </nc>
  </rcc>
  <rcc rId="5071" sId="1">
    <nc r="AB59" t="inlineStr">
      <is>
        <t>1</t>
      </is>
    </nc>
  </rcc>
  <rcc rId="5072" sId="1">
    <nc r="A60" t="inlineStr">
      <is>
        <t>Zone 1</t>
      </is>
    </nc>
  </rcc>
  <rcc rId="5073" sId="1">
    <nc r="B60" t="inlineStr">
      <is>
        <t>Blade Grinder</t>
      </is>
    </nc>
  </rcc>
  <rcc rId="5074" sId="1">
    <nc r="C60">
      <v>0.5</v>
    </nc>
  </rcc>
  <rcc rId="5075" sId="1">
    <nc r="E60" t="inlineStr">
      <is>
        <t>W1029619</t>
      </is>
    </nc>
  </rcc>
  <rcc rId="5076" sId="1">
    <nc r="F60" t="inlineStr">
      <is>
        <t>SMI3/73-0010-0101UC</t>
      </is>
    </nc>
  </rcc>
  <rcc rId="5077" sId="1">
    <nc r="G60" t="inlineStr">
      <is>
        <t>#10 SS SURG BLD Un-Coated</t>
      </is>
    </nc>
  </rcc>
  <rcc rId="5078" sId="1">
    <nc r="H60">
      <v>11.33</v>
    </nc>
  </rcc>
  <rcc rId="5079" sId="1">
    <nc r="I60">
      <v>22.66</v>
    </nc>
  </rcc>
  <rcc rId="5080" sId="1">
    <nc r="J60">
      <v>16000</v>
    </nc>
  </rcc>
  <rcc rId="5081" sId="1">
    <nc r="K60">
      <v>0</v>
    </nc>
  </rcc>
  <rcc rId="5082" sId="1" numFmtId="19">
    <nc r="L60">
      <v>46181.729166666664</v>
    </nc>
  </rcc>
  <rcc rId="5083" sId="1" numFmtId="19">
    <nc r="M60">
      <v>46182.666666666664</v>
    </nc>
  </rcc>
  <rcc rId="5084" sId="1">
    <nc r="AA60" t="inlineStr">
      <is>
        <t>1</t>
      </is>
    </nc>
  </rcc>
  <rcc rId="5085" sId="1">
    <nc r="AB60" t="inlineStr">
      <is>
        <t>1</t>
      </is>
    </nc>
  </rcc>
  <rfmt sheetId="1" sqref="A52:XFD52" start="0" length="0">
    <dxf>
      <border>
        <bottom style="medium">
          <color indexed="64"/>
        </bottom>
      </border>
    </dxf>
  </rfmt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86" sId="1">
    <nc r="A61" t="inlineStr">
      <is>
        <t>Zone 1</t>
      </is>
    </nc>
  </rcc>
  <rcc rId="5087" sId="1">
    <nc r="B61" t="inlineStr">
      <is>
        <t>Blade Grinder 2</t>
      </is>
    </nc>
  </rcc>
  <rcc rId="5088" sId="1">
    <nc r="C61">
      <v>0.5</v>
    </nc>
  </rcc>
  <rcc rId="5089" sId="1">
    <nc r="E61" t="inlineStr">
      <is>
        <t>W1027733-1/1</t>
      </is>
    </nc>
  </rcc>
  <rcc rId="5090" sId="1">
    <nc r="F61" t="inlineStr">
      <is>
        <t>SMI3/73-0020-0101UC</t>
      </is>
    </nc>
  </rcc>
  <rcc rId="5091" sId="1">
    <nc r="G61" t="inlineStr">
      <is>
        <t>#20PERS SS SURG BLD Un-Coated</t>
      </is>
    </nc>
  </rcc>
  <rcc rId="5092" sId="1">
    <nc r="H61">
      <v>12.984999999999999</v>
    </nc>
  </rcc>
  <rcc rId="5093" sId="1">
    <nc r="I61">
      <v>25.97</v>
    </nc>
  </rcc>
  <rcc rId="5094" sId="1">
    <nc r="J61">
      <v>12000</v>
    </nc>
  </rcc>
  <rcc rId="5095" sId="1">
    <nc r="K61">
      <v>0</v>
    </nc>
  </rcc>
  <rcc rId="5096" sId="1" numFmtId="19">
    <nc r="L61">
      <v>46171</v>
    </nc>
  </rcc>
  <rcc rId="5097" sId="1" numFmtId="19">
    <nc r="M61">
      <v>46174.076388888891</v>
    </nc>
  </rcc>
  <rcc rId="5098" sId="1">
    <nc r="AA61" t="inlineStr">
      <is>
        <t>1</t>
      </is>
    </nc>
  </rcc>
  <rcc rId="5099" sId="1">
    <nc r="AB61" t="inlineStr">
      <is>
        <t>1</t>
      </is>
    </nc>
  </rcc>
  <rcc rId="5100" sId="1">
    <nc r="A62" t="inlineStr">
      <is>
        <t>Zone 1</t>
      </is>
    </nc>
  </rcc>
  <rcc rId="5101" sId="1">
    <nc r="B62" t="inlineStr">
      <is>
        <t>Blade Grinder 2</t>
      </is>
    </nc>
  </rcc>
  <rcc rId="5102" sId="1">
    <nc r="C62">
      <v>0.5</v>
    </nc>
  </rcc>
  <rcc rId="5103" sId="1">
    <nc r="E62" t="inlineStr">
      <is>
        <t>W1027734-1/1</t>
      </is>
    </nc>
  </rcc>
  <rcc rId="5104" sId="1">
    <nc r="F62" t="inlineStr">
      <is>
        <t>SMI3/73-0020-0101UC</t>
      </is>
    </nc>
  </rcc>
  <rcc rId="5105" sId="1">
    <nc r="G62" t="inlineStr">
      <is>
        <t>#20PERS SS SURG BLD Un-Coated</t>
      </is>
    </nc>
  </rcc>
  <rcc rId="5106" sId="1">
    <nc r="H62">
      <v>12.984999999999999</v>
    </nc>
  </rcc>
  <rcc rId="5107" sId="1">
    <nc r="I62">
      <v>25.97</v>
    </nc>
  </rcc>
  <rcc rId="5108" sId="1">
    <nc r="J62">
      <v>12000</v>
    </nc>
  </rcc>
  <rcc rId="5109" sId="1">
    <nc r="K62">
      <v>0</v>
    </nc>
  </rcc>
  <rcc rId="5110" sId="1" numFmtId="19">
    <nc r="L62">
      <v>46174.083333333336</v>
    </nc>
  </rcc>
  <rcc rId="5111" sId="1" numFmtId="19">
    <nc r="M62">
      <v>46175.159722222219</v>
    </nc>
  </rcc>
  <rcc rId="5112" sId="1">
    <nc r="AA62" t="inlineStr">
      <is>
        <t>1</t>
      </is>
    </nc>
  </rcc>
  <rcc rId="5113" sId="1">
    <nc r="AB62" t="inlineStr">
      <is>
        <t>1</t>
      </is>
    </nc>
  </rcc>
  <rcc rId="5114" sId="1">
    <nc r="A63" t="inlineStr">
      <is>
        <t>Zone 1</t>
      </is>
    </nc>
  </rcc>
  <rcc rId="5115" sId="1">
    <nc r="B63" t="inlineStr">
      <is>
        <t>Blade Grinder 2</t>
      </is>
    </nc>
  </rcc>
  <rcc rId="5116" sId="1">
    <nc r="C63">
      <v>0.5</v>
    </nc>
  </rcc>
  <rcc rId="5117" sId="1">
    <nc r="E63" t="inlineStr">
      <is>
        <t>W1027735-1/1</t>
      </is>
    </nc>
  </rcc>
  <rcc rId="5118" sId="1">
    <nc r="F63" t="inlineStr">
      <is>
        <t>SMI3/73-0020-0101UC</t>
      </is>
    </nc>
  </rcc>
  <rcc rId="5119" sId="1">
    <nc r="G63" t="inlineStr">
      <is>
        <t>#20PERS SS SURG BLD Un-Coated</t>
      </is>
    </nc>
  </rcc>
  <rcc rId="5120" sId="1">
    <nc r="H63">
      <v>12.984999999999999</v>
    </nc>
  </rcc>
  <rcc rId="5121" sId="1">
    <nc r="I63">
      <v>25.97</v>
    </nc>
  </rcc>
  <rcc rId="5122" sId="1">
    <nc r="J63">
      <v>12000</v>
    </nc>
  </rcc>
  <rcc rId="5123" sId="1">
    <nc r="K63">
      <v>0</v>
    </nc>
  </rcc>
  <rcc rId="5124" sId="1" numFmtId="19">
    <nc r="L63">
      <v>46175.166666666664</v>
    </nc>
  </rcc>
  <rcc rId="5125" sId="1" numFmtId="19">
    <nc r="M63">
      <v>46176.243055555555</v>
    </nc>
  </rcc>
  <rcc rId="5126" sId="1">
    <nc r="AA63" t="inlineStr">
      <is>
        <t>1</t>
      </is>
    </nc>
  </rcc>
  <rcc rId="5127" sId="1">
    <nc r="AB63" t="inlineStr">
      <is>
        <t>1</t>
      </is>
    </nc>
  </rcc>
  <rfmt sheetId="1" sqref="A60:XFD60" start="0" length="0">
    <dxf>
      <border>
        <bottom style="medium">
          <color indexed="64"/>
        </bottom>
      </border>
    </dxf>
  </rfmt>
  <rfmt sheetId="1" sqref="A63:XFD63" start="0" length="0">
    <dxf>
      <border>
        <bottom style="medium">
          <color indexed="64"/>
        </bottom>
      </border>
    </dxf>
  </rfmt>
  <rfmt sheetId="1" sqref="E76:E77">
    <dxf>
      <border>
        <top/>
        <bottom/>
        <horizontal/>
      </border>
    </dxf>
  </rfmt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128" sId="1">
    <nc r="A64" t="inlineStr">
      <is>
        <t>Zone 1</t>
      </is>
    </nc>
  </rcc>
  <rcc rId="5129" sId="1">
    <nc r="B64" t="inlineStr">
      <is>
        <t>Blade Grinder 2</t>
      </is>
    </nc>
  </rcc>
  <rcc rId="5130" sId="1">
    <nc r="C64">
      <v>0.5</v>
    </nc>
  </rcc>
  <rcc rId="5131" sId="1">
    <nc r="E64" t="inlineStr">
      <is>
        <t>W1027194-1/1</t>
      </is>
    </nc>
  </rcc>
  <rcc rId="5132" sId="1">
    <nc r="F64" t="inlineStr">
      <is>
        <t>SMI3/73-0015-0101UC</t>
      </is>
    </nc>
  </rcc>
  <rcc rId="5133" sId="1">
    <nc r="G64" t="inlineStr">
      <is>
        <t>#15 SS SURG BLD Un-Coated</t>
      </is>
    </nc>
  </rcc>
  <rcc rId="5134" sId="1">
    <nc r="H64">
      <v>5.6950000000000003</v>
    </nc>
  </rcc>
  <rcc rId="5135" sId="1">
    <nc r="I64">
      <v>11.39</v>
    </nc>
  </rcc>
  <rcc rId="5136" sId="1">
    <nc r="J64">
      <v>10000</v>
    </nc>
  </rcc>
  <rcc rId="5137" sId="1">
    <nc r="K64">
      <v>0</v>
    </nc>
  </rcc>
  <rcc rId="5138" sId="1" numFmtId="19">
    <nc r="L64">
      <v>46176.25</v>
    </nc>
  </rcc>
  <rcc rId="5139" sId="1" numFmtId="19">
    <nc r="M64">
      <v>46176.722222222219</v>
    </nc>
  </rcc>
  <rcc rId="5140" sId="1">
    <nc r="AA64" t="inlineStr">
      <is>
        <t>1</t>
      </is>
    </nc>
  </rcc>
  <rcc rId="5141" sId="1">
    <nc r="AB64" t="inlineStr">
      <is>
        <t>1</t>
      </is>
    </nc>
  </rcc>
  <rcc rId="5142" sId="1">
    <nc r="A65" t="inlineStr">
      <is>
        <t>Zone 1</t>
      </is>
    </nc>
  </rcc>
  <rcc rId="5143" sId="1">
    <nc r="B65" t="inlineStr">
      <is>
        <t>Blade Grinder 2</t>
      </is>
    </nc>
  </rcc>
  <rcc rId="5144" sId="1">
    <nc r="C65">
      <v>0.5</v>
    </nc>
  </rcc>
  <rcc rId="5145" sId="1">
    <nc r="E65" t="inlineStr">
      <is>
        <t>W1027195-1/1</t>
      </is>
    </nc>
  </rcc>
  <rcc rId="5146" sId="1">
    <nc r="F65" t="inlineStr">
      <is>
        <t>SMI3/73-0015-0101UC</t>
      </is>
    </nc>
  </rcc>
  <rcc rId="5147" sId="1">
    <nc r="G65" t="inlineStr">
      <is>
        <t>#15 SS SURG BLD Un-Coated</t>
      </is>
    </nc>
  </rcc>
  <rcc rId="5148" sId="1">
    <nc r="H65">
      <v>5.6950000000000003</v>
    </nc>
  </rcc>
  <rcc rId="5149" sId="1">
    <nc r="I65">
      <v>11.39</v>
    </nc>
  </rcc>
  <rcc rId="5150" sId="1">
    <nc r="J65">
      <v>10000</v>
    </nc>
  </rcc>
  <rcc rId="5151" sId="1">
    <nc r="K65">
      <v>0</v>
    </nc>
  </rcc>
  <rcc rId="5152" sId="1" numFmtId="19">
    <nc r="L65">
      <v>46176.729166666664</v>
    </nc>
  </rcc>
  <rcc rId="5153" sId="1" numFmtId="19">
    <nc r="M65">
      <v>46177.201388888891</v>
    </nc>
  </rcc>
  <rcc rId="5154" sId="1">
    <nc r="AA65" t="inlineStr">
      <is>
        <t>1</t>
      </is>
    </nc>
  </rcc>
  <rcc rId="5155" sId="1">
    <nc r="AB65" t="inlineStr">
      <is>
        <t>1</t>
      </is>
    </nc>
  </rcc>
  <rcc rId="5156" sId="1">
    <nc r="A66" t="inlineStr">
      <is>
        <t>Zone 1</t>
      </is>
    </nc>
  </rcc>
  <rcc rId="5157" sId="1">
    <nc r="B66" t="inlineStr">
      <is>
        <t>Blade Grinder 2</t>
      </is>
    </nc>
  </rcc>
  <rcc rId="5158" sId="1">
    <nc r="C66">
      <v>0.5</v>
    </nc>
  </rcc>
  <rcc rId="5159" sId="1">
    <nc r="E66" t="inlineStr">
      <is>
        <t>W1027196-1/1</t>
      </is>
    </nc>
  </rcc>
  <rcc rId="5160" sId="1">
    <nc r="F66" t="inlineStr">
      <is>
        <t>SMI3/73-0015-0101UC</t>
      </is>
    </nc>
  </rcc>
  <rcc rId="5161" sId="1">
    <nc r="G66" t="inlineStr">
      <is>
        <t>#15 SS SURG BLD Un-Coated</t>
      </is>
    </nc>
  </rcc>
  <rcc rId="5162" sId="1">
    <nc r="H66">
      <v>5.6950000000000003</v>
    </nc>
  </rcc>
  <rcc rId="5163" sId="1">
    <nc r="I66">
      <v>11.39</v>
    </nc>
  </rcc>
  <rcc rId="5164" sId="1">
    <nc r="J66">
      <v>10000</v>
    </nc>
  </rcc>
  <rcc rId="5165" sId="1">
    <nc r="K66">
      <v>0</v>
    </nc>
  </rcc>
  <rcc rId="5166" sId="1" numFmtId="19">
    <nc r="L66">
      <v>46177.208333333336</v>
    </nc>
  </rcc>
  <rcc rId="5167" sId="1" numFmtId="19">
    <nc r="M66">
      <v>46177.680555555555</v>
    </nc>
  </rcc>
  <rcc rId="5168" sId="1">
    <nc r="AA66" t="inlineStr">
      <is>
        <t>1</t>
      </is>
    </nc>
  </rcc>
  <rcc rId="5169" sId="1">
    <nc r="AB66" t="inlineStr">
      <is>
        <t>1</t>
      </is>
    </nc>
  </rcc>
  <rcc rId="5170" sId="1">
    <nc r="A67" t="inlineStr">
      <is>
        <t>Zone 1</t>
      </is>
    </nc>
  </rcc>
  <rcc rId="5171" sId="1">
    <nc r="B67" t="inlineStr">
      <is>
        <t>Blade Grinder 2</t>
      </is>
    </nc>
  </rcc>
  <rcc rId="5172" sId="1">
    <nc r="C67">
      <v>0.5</v>
    </nc>
  </rcc>
  <rcc rId="5173" sId="1">
    <nc r="E67" t="inlineStr">
      <is>
        <t>W1027197-1/1</t>
      </is>
    </nc>
  </rcc>
  <rcc rId="5174" sId="1">
    <nc r="F67" t="inlineStr">
      <is>
        <t>SMI3/73-0015-0101UC</t>
      </is>
    </nc>
  </rcc>
  <rcc rId="5175" sId="1">
    <nc r="G67" t="inlineStr">
      <is>
        <t>#15 SS SURG BLD Un-Coated</t>
      </is>
    </nc>
  </rcc>
  <rcc rId="5176" sId="1">
    <nc r="H67">
      <v>5.6950000000000003</v>
    </nc>
  </rcc>
  <rcc rId="5177" sId="1">
    <nc r="I67">
      <v>11.39</v>
    </nc>
  </rcc>
  <rcc rId="5178" sId="1">
    <nc r="J67">
      <v>10000</v>
    </nc>
  </rcc>
  <rcc rId="5179" sId="1">
    <nc r="K67">
      <v>0</v>
    </nc>
  </rcc>
  <rcc rId="5180" sId="1" numFmtId="19">
    <nc r="L67">
      <v>46177.6875</v>
    </nc>
  </rcc>
  <rcc rId="5181" sId="1" numFmtId="19">
    <nc r="M67">
      <v>46178.159722222219</v>
    </nc>
  </rcc>
  <rcc rId="5182" sId="1">
    <nc r="AA67" t="inlineStr">
      <is>
        <t>1</t>
      </is>
    </nc>
  </rcc>
  <rcc rId="5183" sId="1">
    <nc r="AB67" t="inlineStr">
      <is>
        <t>1</t>
      </is>
    </nc>
  </rcc>
  <rcc rId="5184" sId="1">
    <nc r="A68" t="inlineStr">
      <is>
        <t>Zone 1</t>
      </is>
    </nc>
  </rcc>
  <rcc rId="5185" sId="1">
    <nc r="B68" t="inlineStr">
      <is>
        <t>Blade Grinder 2</t>
      </is>
    </nc>
  </rcc>
  <rcc rId="5186" sId="1">
    <nc r="C68">
      <v>0.5</v>
    </nc>
  </rcc>
  <rcc rId="5187" sId="1">
    <nc r="E68" t="inlineStr">
      <is>
        <t>W1028320-1/1</t>
      </is>
    </nc>
  </rcc>
  <rcc rId="5188" sId="1">
    <nc r="F68" t="inlineStr">
      <is>
        <t>SMI3/73-0015-0101UC</t>
      </is>
    </nc>
  </rcc>
  <rcc rId="5189" sId="1">
    <nc r="G68" t="inlineStr">
      <is>
        <t>#15 SS SURG BLD Un-Coated</t>
      </is>
    </nc>
  </rcc>
  <rcc rId="5190" sId="1">
    <nc r="H68">
      <v>8.5399999999999991</v>
    </nc>
  </rcc>
  <rcc rId="5191" sId="1">
    <nc r="I68">
      <v>17.079999999999998</v>
    </nc>
  </rcc>
  <rcc rId="5192" sId="1">
    <nc r="J68">
      <v>15000</v>
    </nc>
  </rcc>
  <rcc rId="5193" sId="1">
    <nc r="K68">
      <v>0</v>
    </nc>
  </rcc>
  <rcc rId="5194" sId="1" numFmtId="19">
    <nc r="L68">
      <v>46178.166666666664</v>
    </nc>
  </rcc>
  <rcc rId="5195" sId="1" numFmtId="19">
    <nc r="M68">
      <v>46178.875</v>
    </nc>
  </rcc>
  <rcc rId="5196" sId="1">
    <nc r="AA68" t="inlineStr">
      <is>
        <t>1</t>
      </is>
    </nc>
  </rcc>
  <rcc rId="5197" sId="1">
    <nc r="AB68" t="inlineStr">
      <is>
        <t>1</t>
      </is>
    </nc>
  </rcc>
  <rcc rId="5198" sId="1">
    <nc r="A69" t="inlineStr">
      <is>
        <t>Zone 1</t>
      </is>
    </nc>
  </rcc>
  <rcc rId="5199" sId="1">
    <nc r="B69" t="inlineStr">
      <is>
        <t>Blade Grinder 2</t>
      </is>
    </nc>
  </rcc>
  <rcc rId="5200" sId="1">
    <nc r="C69">
      <v>0.5</v>
    </nc>
  </rcc>
  <rcc rId="5201" sId="1">
    <nc r="E69" t="inlineStr">
      <is>
        <t>W1029920</t>
      </is>
    </nc>
  </rcc>
  <rcc rId="5202" sId="1">
    <nc r="F69" t="inlineStr">
      <is>
        <t>SMI3/73-0015-0101UC</t>
      </is>
    </nc>
  </rcc>
  <rcc rId="5203" sId="1">
    <nc r="G69" t="inlineStr">
      <is>
        <t>#15 SS SURG BLD Un-Coated</t>
      </is>
    </nc>
  </rcc>
  <rcc rId="5204" sId="1">
    <nc r="H69">
      <v>5.6950000000000003</v>
    </nc>
  </rcc>
  <rcc rId="5205" sId="1">
    <nc r="I69">
      <v>11.39</v>
    </nc>
  </rcc>
  <rcc rId="5206" sId="1">
    <nc r="J69">
      <v>10000</v>
    </nc>
  </rcc>
  <rcc rId="5207" sId="1">
    <nc r="K69">
      <v>0</v>
    </nc>
  </rcc>
  <rcc rId="5208" sId="1">
    <nc r="A70" t="inlineStr">
      <is>
        <t>Zone 1</t>
      </is>
    </nc>
  </rcc>
  <rcc rId="5209" sId="1">
    <nc r="B70" t="inlineStr">
      <is>
        <t>Blade Grinder 2</t>
      </is>
    </nc>
  </rcc>
  <rcc rId="5210" sId="1">
    <nc r="C70">
      <v>0.5</v>
    </nc>
  </rcc>
  <rcc rId="5211" sId="1">
    <nc r="E70" t="inlineStr">
      <is>
        <t>W1029921</t>
      </is>
    </nc>
  </rcc>
  <rcc rId="5212" sId="1">
    <nc r="F70" t="inlineStr">
      <is>
        <t>SMI3/73-0015-0101UC</t>
      </is>
    </nc>
  </rcc>
  <rcc rId="5213" sId="1">
    <nc r="G70" t="inlineStr">
      <is>
        <t>#15 SS SURG BLD Un-Coated</t>
      </is>
    </nc>
  </rcc>
  <rcc rId="5214" sId="1">
    <nc r="H70">
      <v>5.6950000000000003</v>
    </nc>
  </rcc>
  <rcc rId="5215" sId="1">
    <nc r="I70">
      <v>11.39</v>
    </nc>
  </rcc>
  <rcc rId="5216" sId="1">
    <nc r="J70">
      <v>10000</v>
    </nc>
  </rcc>
  <rcc rId="5217" sId="1">
    <nc r="K70">
      <v>0</v>
    </nc>
  </rcc>
  <rcc rId="5218" sId="1">
    <nc r="A71" t="inlineStr">
      <is>
        <t>Zone 1</t>
      </is>
    </nc>
  </rcc>
  <rcc rId="5219" sId="1">
    <nc r="B71" t="inlineStr">
      <is>
        <t>Blade Grinder 2</t>
      </is>
    </nc>
  </rcc>
  <rcc rId="5220" sId="1">
    <nc r="C71">
      <v>0.5</v>
    </nc>
  </rcc>
  <rcc rId="5221" sId="1">
    <nc r="E71" t="inlineStr">
      <is>
        <t>W1029922</t>
      </is>
    </nc>
  </rcc>
  <rcc rId="5222" sId="1">
    <nc r="F71" t="inlineStr">
      <is>
        <t>SMI3/73-0015-0101UC</t>
      </is>
    </nc>
  </rcc>
  <rcc rId="5223" sId="1">
    <nc r="G71" t="inlineStr">
      <is>
        <t>#15 SS SURG BLD Un-Coated</t>
      </is>
    </nc>
  </rcc>
  <rcc rId="5224" sId="1">
    <nc r="H71">
      <v>8.5399999999999991</v>
    </nc>
  </rcc>
  <rcc rId="5225" sId="1">
    <nc r="I71">
      <v>17.079999999999998</v>
    </nc>
  </rcc>
  <rcc rId="5226" sId="1">
    <nc r="J71">
      <v>15000</v>
    </nc>
  </rcc>
  <rcc rId="5227" sId="1">
    <nc r="K71">
      <v>0</v>
    </nc>
  </rcc>
  <rcc rId="5228" sId="1">
    <nc r="A72" t="inlineStr">
      <is>
        <t>Zone 1</t>
      </is>
    </nc>
  </rcc>
  <rcc rId="5229" sId="1">
    <nc r="B72" t="inlineStr">
      <is>
        <t>Blade Grinder 2</t>
      </is>
    </nc>
  </rcc>
  <rcc rId="5230" sId="1">
    <nc r="C72">
      <v>0.5</v>
    </nc>
  </rcc>
  <rcc rId="5231" sId="1">
    <nc r="E72" t="inlineStr">
      <is>
        <t>W1029923</t>
      </is>
    </nc>
  </rcc>
  <rcc rId="5232" sId="1">
    <nc r="F72" t="inlineStr">
      <is>
        <t>SMI3/73-0015-0101UC</t>
      </is>
    </nc>
  </rcc>
  <rcc rId="5233" sId="1">
    <nc r="G72" t="inlineStr">
      <is>
        <t>#15 SS SURG BLD Un-Coated</t>
      </is>
    </nc>
  </rcc>
  <rcc rId="5234" sId="1">
    <nc r="H72">
      <v>5.6950000000000003</v>
    </nc>
  </rcc>
  <rcc rId="5235" sId="1">
    <nc r="I72">
      <v>11.39</v>
    </nc>
  </rcc>
  <rcc rId="5236" sId="1">
    <nc r="J72">
      <v>10000</v>
    </nc>
  </rcc>
  <rcc rId="5237" sId="1">
    <nc r="K72">
      <v>0</v>
    </nc>
  </rcc>
  <rcc rId="5238" sId="1">
    <nc r="A73" t="inlineStr">
      <is>
        <t>Zone 1</t>
      </is>
    </nc>
  </rcc>
  <rcc rId="5239" sId="1">
    <nc r="B73" t="inlineStr">
      <is>
        <t>Blade Grinder 2</t>
      </is>
    </nc>
  </rcc>
  <rcc rId="5240" sId="1">
    <nc r="C73">
      <v>0.5</v>
    </nc>
  </rcc>
  <rcc rId="5241" sId="1">
    <nc r="E73" t="inlineStr">
      <is>
        <t>W1029924</t>
      </is>
    </nc>
  </rcc>
  <rcc rId="5242" sId="1">
    <nc r="F73" t="inlineStr">
      <is>
        <t>SMI3/73-0015-0101UC</t>
      </is>
    </nc>
  </rcc>
  <rcc rId="5243" sId="1">
    <nc r="G73" t="inlineStr">
      <is>
        <t>#15 SS SURG BLD Un-Coated</t>
      </is>
    </nc>
  </rcc>
  <rcc rId="5244" sId="1">
    <nc r="H73">
      <v>5.6950000000000003</v>
    </nc>
  </rcc>
  <rcc rId="5245" sId="1">
    <nc r="I73">
      <v>11.39</v>
    </nc>
  </rcc>
  <rcc rId="5246" sId="1">
    <nc r="J73">
      <v>10000</v>
    </nc>
  </rcc>
  <rcc rId="5247" sId="1">
    <nc r="K73">
      <v>0</v>
    </nc>
  </rcc>
  <rcc rId="5248" sId="1">
    <nc r="A74" t="inlineStr">
      <is>
        <t>Zone 1</t>
      </is>
    </nc>
  </rcc>
  <rcc rId="5249" sId="1">
    <nc r="B74" t="inlineStr">
      <is>
        <t>Blade Grinder 2</t>
      </is>
    </nc>
  </rcc>
  <rcc rId="5250" sId="1">
    <nc r="C74">
      <v>0.5</v>
    </nc>
  </rcc>
  <rcc rId="5251" sId="1">
    <nc r="E74" t="inlineStr">
      <is>
        <t>W1029925</t>
      </is>
    </nc>
  </rcc>
  <rcc rId="5252" sId="1">
    <nc r="F74" t="inlineStr">
      <is>
        <t>SMI3/73-0015-0101UC</t>
      </is>
    </nc>
  </rcc>
  <rcc rId="5253" sId="1">
    <nc r="G74" t="inlineStr">
      <is>
        <t>#15 SS SURG BLD Un-Coated</t>
      </is>
    </nc>
  </rcc>
  <rcc rId="5254" sId="1">
    <nc r="H74">
      <v>5.6950000000000003</v>
    </nc>
  </rcc>
  <rcc rId="5255" sId="1">
    <nc r="I74">
      <v>11.39</v>
    </nc>
  </rcc>
  <rcc rId="5256" sId="1">
    <nc r="J74">
      <v>10000</v>
    </nc>
  </rcc>
  <rcc rId="5257" sId="1">
    <nc r="K74">
      <v>0</v>
    </nc>
  </rcc>
  <rcc rId="5258" sId="1">
    <nc r="A75" t="inlineStr">
      <is>
        <t>Zone 1</t>
      </is>
    </nc>
  </rcc>
  <rcc rId="5259" sId="1">
    <nc r="B75" t="inlineStr">
      <is>
        <t>Blade Grinder 2</t>
      </is>
    </nc>
  </rcc>
  <rcc rId="5260" sId="1">
    <nc r="C75">
      <v>0.5</v>
    </nc>
  </rcc>
  <rcc rId="5261" sId="1">
    <nc r="E75" t="inlineStr">
      <is>
        <t>W1029926</t>
      </is>
    </nc>
  </rcc>
  <rcc rId="5262" sId="1">
    <nc r="F75" t="inlineStr">
      <is>
        <t>SMI3/73-0015-0101UC</t>
      </is>
    </nc>
  </rcc>
  <rcc rId="5263" sId="1">
    <nc r="G75" t="inlineStr">
      <is>
        <t>#15 SS SURG BLD Un-Coated</t>
      </is>
    </nc>
  </rcc>
  <rcc rId="5264" sId="1">
    <nc r="H75">
      <v>8.5399999999999991</v>
    </nc>
  </rcc>
  <rcc rId="5265" sId="1">
    <nc r="I75">
      <v>17.079999999999998</v>
    </nc>
  </rcc>
  <rcc rId="5266" sId="1">
    <nc r="J75">
      <v>15000</v>
    </nc>
  </rcc>
  <rcc rId="5267" sId="1">
    <nc r="K75">
      <v>0</v>
    </nc>
  </rcc>
  <rfmt sheetId="1" sqref="A75:XFD75" start="0" length="0">
    <dxf>
      <border>
        <bottom style="medium">
          <color indexed="64"/>
        </bottom>
      </border>
    </dxf>
  </rfmt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1B4C6D2-0335-443E-840F-0BE68859C862}" action="add"/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5268" sId="1" ref="A423:XFD621" action="insertRow"/>
  <rcc rId="5269" sId="1" odxf="1" dxf="1">
    <nc r="A423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270" sId="1" odxf="1" dxf="1">
    <nc r="B423" t="inlineStr">
      <is>
        <t>Camera Printing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271" sId="1" odxf="1" dxf="1">
    <nc r="C423">
      <v>1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D423" start="0" length="0">
    <dxf>
      <fill>
        <patternFill patternType="solid">
          <bgColor theme="8" tint="0.39997558519241921"/>
        </patternFill>
      </fill>
    </dxf>
  </rfmt>
  <rcc rId="5272" sId="1" odxf="1" dxf="1">
    <nc r="E423" t="inlineStr">
      <is>
        <t>W1030078/1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273" sId="1" odxf="1" dxf="1">
    <nc r="F423" t="inlineStr">
      <is>
        <t>VER3/0142-1156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274" sId="1" odxf="1" dxf="1">
    <nc r="G423" t="inlineStr">
      <is>
        <t>Camera, Green OVM7695 Encapsulated Quickconnect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275" sId="1" odxf="1" dxf="1">
    <nc r="H423">
      <v>34.29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276" sId="1" odxf="1" dxf="1">
    <nc r="I423">
      <v>34.29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277" sId="1" odxf="1" dxf="1">
    <nc r="J423">
      <v>6000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278" sId="1" odxf="1" dxf="1">
    <nc r="K423">
      <v>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279" sId="1" odxf="1" dxf="1" numFmtId="19">
    <nc r="L423">
      <v>46209.736111111109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280" sId="1" odxf="1" dxf="1" numFmtId="19">
    <nc r="M423">
      <v>46211.173611111109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N423" start="0" length="0">
    <dxf>
      <fill>
        <patternFill patternType="solid">
          <bgColor theme="8" tint="0.39997558519241921"/>
        </patternFill>
      </fill>
    </dxf>
  </rfmt>
  <rfmt sheetId="1" sqref="O423" start="0" length="0">
    <dxf>
      <fill>
        <patternFill patternType="solid">
          <bgColor theme="8" tint="0.39997558519241921"/>
        </patternFill>
      </fill>
    </dxf>
  </rfmt>
  <rfmt sheetId="1" sqref="P423" start="0" length="0">
    <dxf>
      <fill>
        <patternFill patternType="solid">
          <bgColor theme="8" tint="0.39997558519241921"/>
        </patternFill>
      </fill>
    </dxf>
  </rfmt>
  <rfmt sheetId="1" sqref="Q423" start="0" length="0">
    <dxf>
      <fill>
        <patternFill patternType="solid">
          <bgColor theme="8" tint="0.39997558519241921"/>
        </patternFill>
      </fill>
    </dxf>
  </rfmt>
  <rfmt sheetId="1" sqref="R423" start="0" length="0">
    <dxf>
      <fill>
        <patternFill patternType="solid">
          <bgColor theme="8" tint="0.39997558519241921"/>
        </patternFill>
      </fill>
    </dxf>
  </rfmt>
  <rfmt sheetId="1" sqref="S423" start="0" length="0">
    <dxf>
      <fill>
        <patternFill patternType="solid">
          <bgColor theme="8" tint="0.39997558519241921"/>
        </patternFill>
      </fill>
    </dxf>
  </rfmt>
  <rfmt sheetId="1" sqref="T423" start="0" length="0">
    <dxf>
      <fill>
        <patternFill patternType="solid">
          <bgColor theme="8" tint="0.39997558519241921"/>
        </patternFill>
      </fill>
    </dxf>
  </rfmt>
  <rfmt sheetId="1" sqref="U423" start="0" length="0">
    <dxf>
      <fill>
        <patternFill patternType="solid">
          <bgColor theme="8" tint="0.39997558519241921"/>
        </patternFill>
      </fill>
    </dxf>
  </rfmt>
  <rfmt sheetId="1" sqref="V423" start="0" length="0">
    <dxf>
      <fill>
        <patternFill patternType="solid">
          <bgColor theme="8" tint="0.39997558519241921"/>
        </patternFill>
      </fill>
    </dxf>
  </rfmt>
  <rfmt sheetId="1" sqref="W423" start="0" length="0">
    <dxf>
      <fill>
        <patternFill patternType="solid">
          <bgColor theme="8" tint="0.39997558519241921"/>
        </patternFill>
      </fill>
    </dxf>
  </rfmt>
  <rfmt sheetId="1" sqref="X423" start="0" length="0">
    <dxf>
      <fill>
        <patternFill patternType="solid">
          <bgColor theme="8" tint="0.39997558519241921"/>
        </patternFill>
      </fill>
    </dxf>
  </rfmt>
  <rfmt sheetId="1" sqref="Y423" start="0" length="0">
    <dxf>
      <fill>
        <patternFill patternType="solid">
          <bgColor theme="8" tint="0.39997558519241921"/>
        </patternFill>
      </fill>
    </dxf>
  </rfmt>
  <rfmt sheetId="1" sqref="Z423" start="0" length="0">
    <dxf>
      <fill>
        <patternFill patternType="solid">
          <bgColor theme="8" tint="0.39997558519241921"/>
        </patternFill>
      </fill>
    </dxf>
  </rfmt>
  <rcc rId="5281" sId="1" odxf="1" dxf="1">
    <nc r="AA423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282" sId="1" odxf="1" dxf="1">
    <nc r="AB423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A423:XFD423" start="0" length="0">
    <dxf>
      <fill>
        <patternFill patternType="solid">
          <bgColor theme="8" tint="0.39997558519241921"/>
        </patternFill>
      </fill>
    </dxf>
  </rfmt>
  <rcc rId="5283" sId="1" odxf="1" dxf="1">
    <nc r="A424" t="inlineStr">
      <is>
        <t>Zone 3</t>
      </is>
    </nc>
    <odxf/>
    <ndxf/>
  </rcc>
  <rcc rId="5284" sId="1" odxf="1" dxf="1">
    <nc r="B424" t="inlineStr">
      <is>
        <t>Camera Printing</t>
      </is>
    </nc>
    <odxf/>
    <ndxf/>
  </rcc>
  <rcc rId="5285" sId="1" odxf="1" dxf="1">
    <nc r="C424">
      <v>1</v>
    </nc>
    <odxf/>
    <ndxf/>
  </rcc>
  <rfmt sheetId="1" sqref="D424" start="0" length="0">
    <dxf/>
  </rfmt>
  <rcc rId="5286" sId="1" odxf="1" dxf="1">
    <nc r="E424" t="inlineStr">
      <is>
        <t>W1030079/1</t>
      </is>
    </nc>
    <odxf/>
    <ndxf/>
  </rcc>
  <rcc rId="5287" sId="1" odxf="1" dxf="1">
    <nc r="F424" t="inlineStr">
      <is>
        <t>VER3/0142-1156</t>
      </is>
    </nc>
    <odxf/>
    <ndxf/>
  </rcc>
  <rcc rId="5288" sId="1" odxf="1" dxf="1">
    <nc r="G424" t="inlineStr">
      <is>
        <t>Camera, Green OVM7695 Encapsulated Quickconnect</t>
      </is>
    </nc>
    <odxf/>
    <ndxf/>
  </rcc>
  <rcc rId="5289" sId="1" odxf="1" dxf="1">
    <nc r="H424">
      <v>34.29</v>
    </nc>
    <odxf/>
    <ndxf/>
  </rcc>
  <rcc rId="5290" sId="1" odxf="1" dxf="1">
    <nc r="I424">
      <v>34.29</v>
    </nc>
    <odxf/>
    <ndxf/>
  </rcc>
  <rcc rId="5291" sId="1" odxf="1" dxf="1">
    <nc r="J424">
      <v>6000</v>
    </nc>
    <odxf/>
    <ndxf/>
  </rcc>
  <rcc rId="5292" sId="1" odxf="1" dxf="1">
    <nc r="K424">
      <v>0</v>
    </nc>
    <odxf/>
    <ndxf/>
  </rcc>
  <rcc rId="5293" sId="1" odxf="1" dxf="1" numFmtId="19">
    <nc r="L424">
      <v>46211.180555555555</v>
    </nc>
    <odxf/>
    <ndxf/>
  </rcc>
  <rcc rId="5294" sId="1" odxf="1" dxf="1" numFmtId="19">
    <nc r="M424">
      <v>46212.618055555555</v>
    </nc>
    <odxf/>
    <ndxf/>
  </rcc>
  <rfmt sheetId="1" sqref="N424" start="0" length="0">
    <dxf/>
  </rfmt>
  <rfmt sheetId="1" sqref="O424" start="0" length="0">
    <dxf/>
  </rfmt>
  <rfmt sheetId="1" sqref="P424" start="0" length="0">
    <dxf/>
  </rfmt>
  <rfmt sheetId="1" sqref="Q424" start="0" length="0">
    <dxf/>
  </rfmt>
  <rfmt sheetId="1" sqref="R424" start="0" length="0">
    <dxf/>
  </rfmt>
  <rfmt sheetId="1" sqref="S424" start="0" length="0">
    <dxf/>
  </rfmt>
  <rfmt sheetId="1" sqref="T424" start="0" length="0">
    <dxf/>
  </rfmt>
  <rfmt sheetId="1" sqref="U424" start="0" length="0">
    <dxf/>
  </rfmt>
  <rfmt sheetId="1" sqref="V424" start="0" length="0">
    <dxf/>
  </rfmt>
  <rfmt sheetId="1" sqref="W424" start="0" length="0">
    <dxf/>
  </rfmt>
  <rfmt sheetId="1" sqref="X424" start="0" length="0">
    <dxf/>
  </rfmt>
  <rfmt sheetId="1" sqref="Y424" start="0" length="0">
    <dxf/>
  </rfmt>
  <rfmt sheetId="1" sqref="Z424" start="0" length="0">
    <dxf/>
  </rfmt>
  <rcc rId="5295" sId="1" odxf="1" dxf="1">
    <nc r="AA424" t="inlineStr">
      <is>
        <t>1</t>
      </is>
    </nc>
    <odxf/>
    <ndxf/>
  </rcc>
  <rcc rId="5296" sId="1" odxf="1" dxf="1">
    <nc r="AB424" t="inlineStr">
      <is>
        <t>0</t>
      </is>
    </nc>
    <odxf/>
    <ndxf/>
  </rcc>
  <rfmt sheetId="1" sqref="A424:XFD424" start="0" length="0">
    <dxf/>
  </rfmt>
  <rcc rId="5297" sId="1" odxf="1" dxf="1">
    <nc r="A425" t="inlineStr">
      <is>
        <t>Zone 3</t>
      </is>
    </nc>
    <odxf/>
    <ndxf/>
  </rcc>
  <rcc rId="5298" sId="1" odxf="1" dxf="1">
    <nc r="B425" t="inlineStr">
      <is>
        <t>Camera Printing</t>
      </is>
    </nc>
    <odxf/>
    <ndxf/>
  </rcc>
  <rcc rId="5299" sId="1" odxf="1" dxf="1">
    <nc r="C425">
      <v>1</v>
    </nc>
    <odxf/>
    <ndxf/>
  </rcc>
  <rfmt sheetId="1" sqref="D425" start="0" length="0">
    <dxf/>
  </rfmt>
  <rcc rId="5300" sId="1" odxf="1" dxf="1">
    <nc r="E425" t="inlineStr">
      <is>
        <t>W1030080/1</t>
      </is>
    </nc>
    <odxf/>
    <ndxf/>
  </rcc>
  <rcc rId="5301" sId="1" odxf="1" dxf="1">
    <nc r="F425" t="inlineStr">
      <is>
        <t>VER3/0142-1156</t>
      </is>
    </nc>
    <odxf/>
    <ndxf/>
  </rcc>
  <rcc rId="5302" sId="1" odxf="1" dxf="1">
    <nc r="G425" t="inlineStr">
      <is>
        <t>Camera, Green OVM7695 Encapsulated Quickconnect</t>
      </is>
    </nc>
    <odxf/>
    <ndxf/>
  </rcc>
  <rcc rId="5303" sId="1" odxf="1" dxf="1">
    <nc r="H425">
      <v>34.29</v>
    </nc>
    <odxf/>
    <ndxf/>
  </rcc>
  <rcc rId="5304" sId="1" odxf="1" dxf="1">
    <nc r="I425">
      <v>34.29</v>
    </nc>
    <odxf/>
    <ndxf/>
  </rcc>
  <rcc rId="5305" sId="1" odxf="1" dxf="1">
    <nc r="J425">
      <v>6000</v>
    </nc>
    <odxf/>
    <ndxf/>
  </rcc>
  <rcc rId="5306" sId="1" odxf="1" dxf="1">
    <nc r="K425">
      <v>0</v>
    </nc>
    <odxf/>
    <ndxf/>
  </rcc>
  <rcc rId="5307" sId="1" odxf="1" dxf="1" numFmtId="19">
    <nc r="L425">
      <v>46212.625</v>
    </nc>
    <odxf/>
    <ndxf/>
  </rcc>
  <rcc rId="5308" sId="1" odxf="1" dxf="1" numFmtId="19">
    <nc r="M425">
      <v>46216.0625</v>
    </nc>
    <odxf/>
    <ndxf/>
  </rcc>
  <rfmt sheetId="1" sqref="N425" start="0" length="0">
    <dxf/>
  </rfmt>
  <rfmt sheetId="1" sqref="O425" start="0" length="0">
    <dxf/>
  </rfmt>
  <rfmt sheetId="1" sqref="P425" start="0" length="0">
    <dxf/>
  </rfmt>
  <rfmt sheetId="1" sqref="Q425" start="0" length="0">
    <dxf/>
  </rfmt>
  <rfmt sheetId="1" sqref="R425" start="0" length="0">
    <dxf/>
  </rfmt>
  <rfmt sheetId="1" sqref="S425" start="0" length="0">
    <dxf/>
  </rfmt>
  <rfmt sheetId="1" sqref="T425" start="0" length="0">
    <dxf/>
  </rfmt>
  <rfmt sheetId="1" sqref="U425" start="0" length="0">
    <dxf/>
  </rfmt>
  <rfmt sheetId="1" sqref="V425" start="0" length="0">
    <dxf/>
  </rfmt>
  <rfmt sheetId="1" sqref="W425" start="0" length="0">
    <dxf/>
  </rfmt>
  <rfmt sheetId="1" sqref="X425" start="0" length="0">
    <dxf/>
  </rfmt>
  <rfmt sheetId="1" sqref="Y425" start="0" length="0">
    <dxf/>
  </rfmt>
  <rfmt sheetId="1" sqref="Z425" start="0" length="0">
    <dxf/>
  </rfmt>
  <rcc rId="5309" sId="1" odxf="1" dxf="1">
    <nc r="AA425" t="inlineStr">
      <is>
        <t>1</t>
      </is>
    </nc>
    <odxf/>
    <ndxf/>
  </rcc>
  <rcc rId="5310" sId="1" odxf="1" dxf="1">
    <nc r="AB425" t="inlineStr">
      <is>
        <t>0</t>
      </is>
    </nc>
    <odxf/>
    <ndxf/>
  </rcc>
  <rfmt sheetId="1" sqref="A425:XFD425" start="0" length="0">
    <dxf/>
  </rfmt>
  <rcc rId="5311" sId="1" odxf="1" dxf="1">
    <nc r="A426" t="inlineStr">
      <is>
        <t>Zone 3</t>
      </is>
    </nc>
    <odxf/>
    <ndxf/>
  </rcc>
  <rcc rId="5312" sId="1" odxf="1" dxf="1">
    <nc r="B426" t="inlineStr">
      <is>
        <t>Camera Printing</t>
      </is>
    </nc>
    <odxf/>
    <ndxf/>
  </rcc>
  <rcc rId="5313" sId="1" odxf="1" dxf="1">
    <nc r="C426">
      <v>1</v>
    </nc>
    <odxf/>
    <ndxf/>
  </rcc>
  <rfmt sheetId="1" sqref="D426" start="0" length="0">
    <dxf/>
  </rfmt>
  <rcc rId="5314" sId="1" odxf="1" dxf="1">
    <nc r="E426" t="inlineStr">
      <is>
        <t>W1030082/1</t>
      </is>
    </nc>
    <odxf/>
    <ndxf/>
  </rcc>
  <rcc rId="5315" sId="1" odxf="1" dxf="1">
    <nc r="F426" t="inlineStr">
      <is>
        <t>VER3/0142-1156</t>
      </is>
    </nc>
    <odxf/>
    <ndxf/>
  </rcc>
  <rcc rId="5316" sId="1" odxf="1" dxf="1">
    <nc r="G426" t="inlineStr">
      <is>
        <t>Camera, Green OVM7695 Encapsulated Quickconnect</t>
      </is>
    </nc>
    <odxf/>
    <ndxf/>
  </rcc>
  <rcc rId="5317" sId="1" odxf="1" dxf="1">
    <nc r="H426">
      <v>34.29</v>
    </nc>
    <odxf/>
    <ndxf/>
  </rcc>
  <rcc rId="5318" sId="1" odxf="1" dxf="1">
    <nc r="I426">
      <v>34.29</v>
    </nc>
    <odxf/>
    <ndxf/>
  </rcc>
  <rcc rId="5319" sId="1" odxf="1" dxf="1">
    <nc r="J426">
      <v>6000</v>
    </nc>
    <odxf/>
    <ndxf/>
  </rcc>
  <rcc rId="5320" sId="1" odxf="1" dxf="1">
    <nc r="K426">
      <v>0</v>
    </nc>
    <odxf/>
    <ndxf/>
  </rcc>
  <rcc rId="5321" sId="1" odxf="1" dxf="1" numFmtId="19">
    <nc r="L426">
      <v>46216.069444444445</v>
    </nc>
    <odxf/>
    <ndxf/>
  </rcc>
  <rcc rId="5322" sId="1" odxf="1" dxf="1" numFmtId="19">
    <nc r="M426">
      <v>46217.506944444445</v>
    </nc>
    <odxf/>
    <ndxf/>
  </rcc>
  <rfmt sheetId="1" sqref="N426" start="0" length="0">
    <dxf/>
  </rfmt>
  <rfmt sheetId="1" sqref="O426" start="0" length="0">
    <dxf/>
  </rfmt>
  <rfmt sheetId="1" sqref="P426" start="0" length="0">
    <dxf/>
  </rfmt>
  <rfmt sheetId="1" sqref="Q426" start="0" length="0">
    <dxf/>
  </rfmt>
  <rfmt sheetId="1" sqref="R426" start="0" length="0">
    <dxf/>
  </rfmt>
  <rfmt sheetId="1" sqref="S426" start="0" length="0">
    <dxf/>
  </rfmt>
  <rfmt sheetId="1" sqref="T426" start="0" length="0">
    <dxf/>
  </rfmt>
  <rfmt sheetId="1" sqref="U426" start="0" length="0">
    <dxf/>
  </rfmt>
  <rfmt sheetId="1" sqref="V426" start="0" length="0">
    <dxf/>
  </rfmt>
  <rfmt sheetId="1" sqref="W426" start="0" length="0">
    <dxf/>
  </rfmt>
  <rfmt sheetId="1" sqref="X426" start="0" length="0">
    <dxf/>
  </rfmt>
  <rfmt sheetId="1" sqref="Y426" start="0" length="0">
    <dxf/>
  </rfmt>
  <rfmt sheetId="1" sqref="Z426" start="0" length="0">
    <dxf/>
  </rfmt>
  <rcc rId="5323" sId="1" odxf="1" dxf="1">
    <nc r="AA426" t="inlineStr">
      <is>
        <t>1</t>
      </is>
    </nc>
    <odxf/>
    <ndxf/>
  </rcc>
  <rcc rId="5324" sId="1" odxf="1" dxf="1">
    <nc r="AB426" t="inlineStr">
      <is>
        <t>0</t>
      </is>
    </nc>
    <odxf/>
    <ndxf/>
  </rcc>
  <rfmt sheetId="1" sqref="A426:XFD426" start="0" length="0">
    <dxf/>
  </rfmt>
  <rcc rId="5325" sId="1" odxf="1" dxf="1">
    <nc r="A427" t="inlineStr">
      <is>
        <t>Zone 3</t>
      </is>
    </nc>
    <odxf/>
    <ndxf/>
  </rcc>
  <rcc rId="5326" sId="1" odxf="1" dxf="1">
    <nc r="B427" t="inlineStr">
      <is>
        <t>Camera Printing</t>
      </is>
    </nc>
    <odxf/>
    <ndxf/>
  </rcc>
  <rcc rId="5327" sId="1" odxf="1" dxf="1">
    <nc r="C427">
      <v>1</v>
    </nc>
    <odxf/>
    <ndxf/>
  </rcc>
  <rfmt sheetId="1" sqref="D427" start="0" length="0">
    <dxf/>
  </rfmt>
  <rcc rId="5328" sId="1" odxf="1" dxf="1">
    <nc r="E427" t="inlineStr">
      <is>
        <t>W1030083/1</t>
      </is>
    </nc>
    <odxf/>
    <ndxf/>
  </rcc>
  <rcc rId="5329" sId="1" odxf="1" dxf="1">
    <nc r="F427" t="inlineStr">
      <is>
        <t>VER3/0142-1156</t>
      </is>
    </nc>
    <odxf/>
    <ndxf/>
  </rcc>
  <rcc rId="5330" sId="1" odxf="1" dxf="1">
    <nc r="G427" t="inlineStr">
      <is>
        <t>Camera, Green OVM7695 Encapsulated Quickconnect</t>
      </is>
    </nc>
    <odxf/>
    <ndxf/>
  </rcc>
  <rcc rId="5331" sId="1" odxf="1" dxf="1">
    <nc r="H427">
      <v>34.29</v>
    </nc>
    <odxf/>
    <ndxf/>
  </rcc>
  <rcc rId="5332" sId="1" odxf="1" dxf="1">
    <nc r="I427">
      <v>34.29</v>
    </nc>
    <odxf/>
    <ndxf/>
  </rcc>
  <rcc rId="5333" sId="1" odxf="1" dxf="1">
    <nc r="J427">
      <v>6000</v>
    </nc>
    <odxf/>
    <ndxf/>
  </rcc>
  <rcc rId="5334" sId="1" odxf="1" dxf="1">
    <nc r="K427">
      <v>0</v>
    </nc>
    <odxf/>
    <ndxf/>
  </rcc>
  <rcc rId="5335" sId="1" odxf="1" dxf="1" numFmtId="19">
    <nc r="L427">
      <v>46217.513888888891</v>
    </nc>
    <odxf/>
    <ndxf/>
  </rcc>
  <rcc rId="5336" sId="1" odxf="1" dxf="1" numFmtId="19">
    <nc r="M427">
      <v>46218.951388888891</v>
    </nc>
    <odxf/>
    <ndxf/>
  </rcc>
  <rfmt sheetId="1" sqref="N427" start="0" length="0">
    <dxf/>
  </rfmt>
  <rfmt sheetId="1" sqref="O427" start="0" length="0">
    <dxf/>
  </rfmt>
  <rfmt sheetId="1" sqref="P427" start="0" length="0">
    <dxf/>
  </rfmt>
  <rfmt sheetId="1" sqref="Q427" start="0" length="0">
    <dxf/>
  </rfmt>
  <rfmt sheetId="1" sqref="R427" start="0" length="0">
    <dxf/>
  </rfmt>
  <rfmt sheetId="1" sqref="S427" start="0" length="0">
    <dxf/>
  </rfmt>
  <rfmt sheetId="1" sqref="T427" start="0" length="0">
    <dxf/>
  </rfmt>
  <rfmt sheetId="1" sqref="U427" start="0" length="0">
    <dxf/>
  </rfmt>
  <rfmt sheetId="1" sqref="V427" start="0" length="0">
    <dxf/>
  </rfmt>
  <rfmt sheetId="1" sqref="W427" start="0" length="0">
    <dxf/>
  </rfmt>
  <rfmt sheetId="1" sqref="X427" start="0" length="0">
    <dxf/>
  </rfmt>
  <rfmt sheetId="1" sqref="Y427" start="0" length="0">
    <dxf/>
  </rfmt>
  <rfmt sheetId="1" sqref="Z427" start="0" length="0">
    <dxf/>
  </rfmt>
  <rcc rId="5337" sId="1" odxf="1" dxf="1">
    <nc r="AA427" t="inlineStr">
      <is>
        <t>1</t>
      </is>
    </nc>
    <odxf/>
    <ndxf/>
  </rcc>
  <rcc rId="5338" sId="1" odxf="1" dxf="1">
    <nc r="AB427" t="inlineStr">
      <is>
        <t>0</t>
      </is>
    </nc>
    <odxf/>
    <ndxf/>
  </rcc>
  <rfmt sheetId="1" sqref="A427:XFD427" start="0" length="0">
    <dxf/>
  </rfmt>
  <rcc rId="5339" sId="1" odxf="1" dxf="1">
    <nc r="A428" t="inlineStr">
      <is>
        <t>Zone 3</t>
      </is>
    </nc>
    <odxf/>
    <ndxf/>
  </rcc>
  <rcc rId="5340" sId="1" odxf="1" dxf="1">
    <nc r="B428" t="inlineStr">
      <is>
        <t>Camera Printing</t>
      </is>
    </nc>
    <odxf/>
    <ndxf/>
  </rcc>
  <rcc rId="5341" sId="1" odxf="1" dxf="1">
    <nc r="C428">
      <v>1</v>
    </nc>
    <odxf/>
    <ndxf/>
  </rcc>
  <rfmt sheetId="1" sqref="D428" start="0" length="0">
    <dxf/>
  </rfmt>
  <rcc rId="5342" sId="1" odxf="1" dxf="1">
    <nc r="E428" t="inlineStr">
      <is>
        <t>W1030084/1</t>
      </is>
    </nc>
    <odxf/>
    <ndxf/>
  </rcc>
  <rcc rId="5343" sId="1" odxf="1" dxf="1">
    <nc r="F428" t="inlineStr">
      <is>
        <t>VER3/0142-1156</t>
      </is>
    </nc>
    <odxf/>
    <ndxf/>
  </rcc>
  <rcc rId="5344" sId="1" odxf="1" dxf="1">
    <nc r="G428" t="inlineStr">
      <is>
        <t>Camera, Green OVM7695 Encapsulated Quickconnect</t>
      </is>
    </nc>
    <odxf/>
    <ndxf/>
  </rcc>
  <rcc rId="5345" sId="1" odxf="1" dxf="1">
    <nc r="H428">
      <v>34.29</v>
    </nc>
    <odxf/>
    <ndxf/>
  </rcc>
  <rcc rId="5346" sId="1" odxf="1" dxf="1">
    <nc r="I428">
      <v>34.29</v>
    </nc>
    <odxf/>
    <ndxf/>
  </rcc>
  <rcc rId="5347" sId="1" odxf="1" dxf="1">
    <nc r="J428">
      <v>6000</v>
    </nc>
    <odxf/>
    <ndxf/>
  </rcc>
  <rcc rId="5348" sId="1" odxf="1" dxf="1">
    <nc r="K428">
      <v>0</v>
    </nc>
    <odxf/>
    <ndxf/>
  </rcc>
  <rcc rId="5349" sId="1" odxf="1" dxf="1" numFmtId="19">
    <nc r="L428">
      <v>46218.958333333336</v>
    </nc>
    <odxf/>
    <ndxf/>
  </rcc>
  <rcc rId="5350" sId="1" odxf="1" dxf="1" numFmtId="19">
    <nc r="M428">
      <v>46220.395833333336</v>
    </nc>
    <odxf/>
    <ndxf/>
  </rcc>
  <rfmt sheetId="1" sqref="N428" start="0" length="0">
    <dxf/>
  </rfmt>
  <rfmt sheetId="1" sqref="O428" start="0" length="0">
    <dxf/>
  </rfmt>
  <rfmt sheetId="1" sqref="P428" start="0" length="0">
    <dxf/>
  </rfmt>
  <rfmt sheetId="1" sqref="Q428" start="0" length="0">
    <dxf/>
  </rfmt>
  <rfmt sheetId="1" sqref="R428" start="0" length="0">
    <dxf/>
  </rfmt>
  <rfmt sheetId="1" sqref="S428" start="0" length="0">
    <dxf/>
  </rfmt>
  <rfmt sheetId="1" sqref="T428" start="0" length="0">
    <dxf/>
  </rfmt>
  <rfmt sheetId="1" sqref="U428" start="0" length="0">
    <dxf/>
  </rfmt>
  <rfmt sheetId="1" sqref="V428" start="0" length="0">
    <dxf/>
  </rfmt>
  <rfmt sheetId="1" sqref="W428" start="0" length="0">
    <dxf/>
  </rfmt>
  <rfmt sheetId="1" sqref="X428" start="0" length="0">
    <dxf/>
  </rfmt>
  <rfmt sheetId="1" sqref="Y428" start="0" length="0">
    <dxf/>
  </rfmt>
  <rfmt sheetId="1" sqref="Z428" start="0" length="0">
    <dxf/>
  </rfmt>
  <rcc rId="5351" sId="1" odxf="1" dxf="1">
    <nc r="AA428" t="inlineStr">
      <is>
        <t>1</t>
      </is>
    </nc>
    <odxf/>
    <ndxf/>
  </rcc>
  <rcc rId="5352" sId="1" odxf="1" dxf="1">
    <nc r="AB428" t="inlineStr">
      <is>
        <t>0</t>
      </is>
    </nc>
    <odxf/>
    <ndxf/>
  </rcc>
  <rfmt sheetId="1" sqref="A428:XFD428" start="0" length="0">
    <dxf/>
  </rfmt>
  <rcc rId="5353" sId="1" odxf="1" dxf="1">
    <nc r="A429" t="inlineStr">
      <is>
        <t>Zone 3</t>
      </is>
    </nc>
    <odxf/>
    <ndxf/>
  </rcc>
  <rcc rId="5354" sId="1" odxf="1" dxf="1">
    <nc r="B429" t="inlineStr">
      <is>
        <t>Camera Printing</t>
      </is>
    </nc>
    <odxf/>
    <ndxf/>
  </rcc>
  <rcc rId="5355" sId="1" odxf="1" dxf="1">
    <nc r="C429">
      <v>1</v>
    </nc>
    <odxf/>
    <ndxf/>
  </rcc>
  <rfmt sheetId="1" sqref="D429" start="0" length="0">
    <dxf/>
  </rfmt>
  <rcc rId="5356" sId="1" odxf="1" dxf="1">
    <nc r="E429" t="inlineStr">
      <is>
        <t>W1030085/1</t>
      </is>
    </nc>
    <odxf/>
    <ndxf/>
  </rcc>
  <rcc rId="5357" sId="1" odxf="1" dxf="1">
    <nc r="F429" t="inlineStr">
      <is>
        <t>VER3/0142-1156</t>
      </is>
    </nc>
    <odxf/>
    <ndxf/>
  </rcc>
  <rcc rId="5358" sId="1" odxf="1" dxf="1">
    <nc r="G429" t="inlineStr">
      <is>
        <t>Camera, Green OVM7695 Encapsulated Quickconnect</t>
      </is>
    </nc>
    <odxf/>
    <ndxf/>
  </rcc>
  <rcc rId="5359" sId="1" odxf="1" dxf="1">
    <nc r="H429">
      <v>34.29</v>
    </nc>
    <odxf/>
    <ndxf/>
  </rcc>
  <rcc rId="5360" sId="1" odxf="1" dxf="1">
    <nc r="I429">
      <v>34.29</v>
    </nc>
    <odxf/>
    <ndxf/>
  </rcc>
  <rcc rId="5361" sId="1" odxf="1" dxf="1">
    <nc r="J429">
      <v>6000</v>
    </nc>
    <odxf/>
    <ndxf/>
  </rcc>
  <rcc rId="5362" sId="1" odxf="1" dxf="1">
    <nc r="K429">
      <v>0</v>
    </nc>
    <odxf/>
    <ndxf/>
  </rcc>
  <rcc rId="5363" sId="1" odxf="1" dxf="1" numFmtId="19">
    <nc r="L429">
      <v>46220.402777777781</v>
    </nc>
    <odxf/>
    <ndxf/>
  </rcc>
  <rcc rId="5364" sId="1" odxf="1" dxf="1" numFmtId="19">
    <nc r="M429">
      <v>46223.840277777781</v>
    </nc>
    <odxf/>
    <ndxf/>
  </rcc>
  <rfmt sheetId="1" sqref="N429" start="0" length="0">
    <dxf/>
  </rfmt>
  <rfmt sheetId="1" sqref="O429" start="0" length="0">
    <dxf/>
  </rfmt>
  <rfmt sheetId="1" sqref="P429" start="0" length="0">
    <dxf/>
  </rfmt>
  <rfmt sheetId="1" sqref="Q429" start="0" length="0">
    <dxf/>
  </rfmt>
  <rfmt sheetId="1" sqref="R429" start="0" length="0">
    <dxf/>
  </rfmt>
  <rfmt sheetId="1" sqref="S429" start="0" length="0">
    <dxf/>
  </rfmt>
  <rfmt sheetId="1" sqref="T429" start="0" length="0">
    <dxf/>
  </rfmt>
  <rfmt sheetId="1" sqref="U429" start="0" length="0">
    <dxf/>
  </rfmt>
  <rfmt sheetId="1" sqref="V429" start="0" length="0">
    <dxf/>
  </rfmt>
  <rfmt sheetId="1" sqref="W429" start="0" length="0">
    <dxf/>
  </rfmt>
  <rfmt sheetId="1" sqref="X429" start="0" length="0">
    <dxf/>
  </rfmt>
  <rfmt sheetId="1" sqref="Y429" start="0" length="0">
    <dxf/>
  </rfmt>
  <rfmt sheetId="1" sqref="Z429" start="0" length="0">
    <dxf/>
  </rfmt>
  <rcc rId="5365" sId="1" odxf="1" dxf="1">
    <nc r="AA429" t="inlineStr">
      <is>
        <t>1</t>
      </is>
    </nc>
    <odxf/>
    <ndxf/>
  </rcc>
  <rcc rId="5366" sId="1" odxf="1" dxf="1">
    <nc r="AB429" t="inlineStr">
      <is>
        <t>0</t>
      </is>
    </nc>
    <odxf/>
    <ndxf/>
  </rcc>
  <rfmt sheetId="1" sqref="A429:XFD429" start="0" length="0">
    <dxf/>
  </rfmt>
  <rcc rId="5367" sId="1" odxf="1" dxf="1">
    <nc r="A430" t="inlineStr">
      <is>
        <t>Zone 3</t>
      </is>
    </nc>
    <odxf/>
    <ndxf/>
  </rcc>
  <rcc rId="5368" sId="1" odxf="1" dxf="1">
    <nc r="B430" t="inlineStr">
      <is>
        <t>Camera Printing</t>
      </is>
    </nc>
    <odxf/>
    <ndxf/>
  </rcc>
  <rcc rId="5369" sId="1" odxf="1" dxf="1">
    <nc r="C430">
      <v>1</v>
    </nc>
    <odxf/>
    <ndxf/>
  </rcc>
  <rfmt sheetId="1" sqref="D430" start="0" length="0">
    <dxf/>
  </rfmt>
  <rcc rId="5370" sId="1" odxf="1" dxf="1">
    <nc r="E430" t="inlineStr">
      <is>
        <t>W1030086/1</t>
      </is>
    </nc>
    <odxf/>
    <ndxf/>
  </rcc>
  <rcc rId="5371" sId="1" odxf="1" dxf="1">
    <nc r="F430" t="inlineStr">
      <is>
        <t>VER3/0142-1156</t>
      </is>
    </nc>
    <odxf/>
    <ndxf/>
  </rcc>
  <rcc rId="5372" sId="1" odxf="1" dxf="1">
    <nc r="G430" t="inlineStr">
      <is>
        <t>Camera, Green OVM7695 Encapsulated Quickconnect</t>
      </is>
    </nc>
    <odxf/>
    <ndxf/>
  </rcc>
  <rcc rId="5373" sId="1" odxf="1" dxf="1">
    <nc r="H430">
      <v>34.29</v>
    </nc>
    <odxf/>
    <ndxf/>
  </rcc>
  <rcc rId="5374" sId="1" odxf="1" dxf="1">
    <nc r="I430">
      <v>34.29</v>
    </nc>
    <odxf/>
    <ndxf/>
  </rcc>
  <rcc rId="5375" sId="1" odxf="1" dxf="1">
    <nc r="J430">
      <v>6000</v>
    </nc>
    <odxf/>
    <ndxf/>
  </rcc>
  <rcc rId="5376" sId="1" odxf="1" dxf="1">
    <nc r="K430">
      <v>0</v>
    </nc>
    <odxf/>
    <ndxf/>
  </rcc>
  <rcc rId="5377" sId="1" odxf="1" dxf="1" numFmtId="19">
    <nc r="L430">
      <v>46223.847222222219</v>
    </nc>
    <odxf/>
    <ndxf/>
  </rcc>
  <rcc rId="5378" sId="1" odxf="1" dxf="1" numFmtId="19">
    <nc r="M430">
      <v>46225.284722222219</v>
    </nc>
    <odxf/>
    <ndxf/>
  </rcc>
  <rfmt sheetId="1" sqref="N430" start="0" length="0">
    <dxf/>
  </rfmt>
  <rfmt sheetId="1" sqref="O430" start="0" length="0">
    <dxf/>
  </rfmt>
  <rfmt sheetId="1" sqref="P430" start="0" length="0">
    <dxf/>
  </rfmt>
  <rfmt sheetId="1" sqref="Q430" start="0" length="0">
    <dxf/>
  </rfmt>
  <rfmt sheetId="1" sqref="R430" start="0" length="0">
    <dxf/>
  </rfmt>
  <rfmt sheetId="1" sqref="S430" start="0" length="0">
    <dxf/>
  </rfmt>
  <rfmt sheetId="1" sqref="T430" start="0" length="0">
    <dxf/>
  </rfmt>
  <rfmt sheetId="1" sqref="U430" start="0" length="0">
    <dxf/>
  </rfmt>
  <rfmt sheetId="1" sqref="V430" start="0" length="0">
    <dxf/>
  </rfmt>
  <rfmt sheetId="1" sqref="W430" start="0" length="0">
    <dxf/>
  </rfmt>
  <rfmt sheetId="1" sqref="X430" start="0" length="0">
    <dxf/>
  </rfmt>
  <rfmt sheetId="1" sqref="Y430" start="0" length="0">
    <dxf/>
  </rfmt>
  <rfmt sheetId="1" sqref="Z430" start="0" length="0">
    <dxf/>
  </rfmt>
  <rcc rId="5379" sId="1" odxf="1" dxf="1">
    <nc r="AA430" t="inlineStr">
      <is>
        <t>1</t>
      </is>
    </nc>
    <odxf/>
    <ndxf/>
  </rcc>
  <rcc rId="5380" sId="1" odxf="1" dxf="1">
    <nc r="AB430" t="inlineStr">
      <is>
        <t>0</t>
      </is>
    </nc>
    <odxf/>
    <ndxf/>
  </rcc>
  <rfmt sheetId="1" sqref="A430:XFD430" start="0" length="0">
    <dxf/>
  </rfmt>
  <rcc rId="5381" sId="1" odxf="1" dxf="1">
    <nc r="A431" t="inlineStr">
      <is>
        <t>Zone 3</t>
      </is>
    </nc>
    <odxf/>
    <ndxf/>
  </rcc>
  <rcc rId="5382" sId="1" odxf="1" dxf="1">
    <nc r="B431" t="inlineStr">
      <is>
        <t>Camera Printing</t>
      </is>
    </nc>
    <odxf/>
    <ndxf/>
  </rcc>
  <rcc rId="5383" sId="1" odxf="1" dxf="1">
    <nc r="C431">
      <v>1</v>
    </nc>
    <odxf/>
    <ndxf/>
  </rcc>
  <rfmt sheetId="1" sqref="D431" start="0" length="0">
    <dxf/>
  </rfmt>
  <rcc rId="5384" sId="1" odxf="1" dxf="1">
    <nc r="E431" t="inlineStr">
      <is>
        <t>W1030087/1</t>
      </is>
    </nc>
    <odxf/>
    <ndxf/>
  </rcc>
  <rcc rId="5385" sId="1" odxf="1" dxf="1">
    <nc r="F431" t="inlineStr">
      <is>
        <t>VER3/0142-1156</t>
      </is>
    </nc>
    <odxf/>
    <ndxf/>
  </rcc>
  <rcc rId="5386" sId="1" odxf="1" dxf="1">
    <nc r="G431" t="inlineStr">
      <is>
        <t>Camera, Green OVM7695 Encapsulated Quickconnect</t>
      </is>
    </nc>
    <odxf/>
    <ndxf/>
  </rcc>
  <rcc rId="5387" sId="1" odxf="1" dxf="1">
    <nc r="H431">
      <v>34.29</v>
    </nc>
    <odxf/>
    <ndxf/>
  </rcc>
  <rcc rId="5388" sId="1" odxf="1" dxf="1">
    <nc r="I431">
      <v>34.29</v>
    </nc>
    <odxf/>
    <ndxf/>
  </rcc>
  <rcc rId="5389" sId="1" odxf="1" dxf="1">
    <nc r="J431">
      <v>6000</v>
    </nc>
    <odxf/>
    <ndxf/>
  </rcc>
  <rcc rId="5390" sId="1" odxf="1" dxf="1">
    <nc r="K431">
      <v>0</v>
    </nc>
    <odxf/>
    <ndxf/>
  </rcc>
  <rcc rId="5391" sId="1" odxf="1" dxf="1" numFmtId="19">
    <nc r="L431">
      <v>46225.291666666664</v>
    </nc>
    <odxf/>
    <ndxf/>
  </rcc>
  <rcc rId="5392" sId="1" odxf="1" dxf="1" numFmtId="19">
    <nc r="M431">
      <v>46226.729166666664</v>
    </nc>
    <odxf/>
    <ndxf/>
  </rcc>
  <rfmt sheetId="1" sqref="N431" start="0" length="0">
    <dxf/>
  </rfmt>
  <rfmt sheetId="1" sqref="O431" start="0" length="0">
    <dxf/>
  </rfmt>
  <rfmt sheetId="1" sqref="P431" start="0" length="0">
    <dxf/>
  </rfmt>
  <rfmt sheetId="1" sqref="Q431" start="0" length="0">
    <dxf/>
  </rfmt>
  <rfmt sheetId="1" sqref="R431" start="0" length="0">
    <dxf/>
  </rfmt>
  <rfmt sheetId="1" sqref="S431" start="0" length="0">
    <dxf/>
  </rfmt>
  <rfmt sheetId="1" sqref="T431" start="0" length="0">
    <dxf/>
  </rfmt>
  <rfmt sheetId="1" sqref="U431" start="0" length="0">
    <dxf/>
  </rfmt>
  <rfmt sheetId="1" sqref="V431" start="0" length="0">
    <dxf/>
  </rfmt>
  <rfmt sheetId="1" sqref="W431" start="0" length="0">
    <dxf/>
  </rfmt>
  <rfmt sheetId="1" sqref="X431" start="0" length="0">
    <dxf/>
  </rfmt>
  <rfmt sheetId="1" sqref="Y431" start="0" length="0">
    <dxf/>
  </rfmt>
  <rfmt sheetId="1" sqref="Z431" start="0" length="0">
    <dxf/>
  </rfmt>
  <rcc rId="5393" sId="1" odxf="1" dxf="1">
    <nc r="AA431" t="inlineStr">
      <is>
        <t>1</t>
      </is>
    </nc>
    <odxf/>
    <ndxf/>
  </rcc>
  <rcc rId="5394" sId="1" odxf="1" dxf="1">
    <nc r="AB431" t="inlineStr">
      <is>
        <t>0</t>
      </is>
    </nc>
    <odxf/>
    <ndxf/>
  </rcc>
  <rfmt sheetId="1" sqref="A431:XFD431" start="0" length="0">
    <dxf/>
  </rfmt>
  <rcc rId="5395" sId="1" odxf="1" dxf="1">
    <nc r="A432" t="inlineStr">
      <is>
        <t>Zone 3</t>
      </is>
    </nc>
    <odxf/>
    <ndxf/>
  </rcc>
  <rcc rId="5396" sId="1" odxf="1" dxf="1">
    <nc r="B432" t="inlineStr">
      <is>
        <t>Camera Printing</t>
      </is>
    </nc>
    <odxf/>
    <ndxf/>
  </rcc>
  <rcc rId="5397" sId="1" odxf="1" dxf="1">
    <nc r="C432">
      <v>1</v>
    </nc>
    <odxf/>
    <ndxf/>
  </rcc>
  <rfmt sheetId="1" sqref="D432" start="0" length="0">
    <dxf/>
  </rfmt>
  <rcc rId="5398" sId="1" odxf="1" dxf="1">
    <nc r="E432" t="inlineStr">
      <is>
        <t>W1030088/1</t>
      </is>
    </nc>
    <odxf/>
    <ndxf/>
  </rcc>
  <rcc rId="5399" sId="1" odxf="1" dxf="1">
    <nc r="F432" t="inlineStr">
      <is>
        <t>VER3/0142-1156</t>
      </is>
    </nc>
    <odxf/>
    <ndxf/>
  </rcc>
  <rcc rId="5400" sId="1" odxf="1" dxf="1">
    <nc r="G432" t="inlineStr">
      <is>
        <t>Camera, Green OVM7695 Encapsulated Quickconnect</t>
      </is>
    </nc>
    <odxf/>
    <ndxf/>
  </rcc>
  <rcc rId="5401" sId="1" odxf="1" dxf="1">
    <nc r="H432">
      <v>34.29</v>
    </nc>
    <odxf/>
    <ndxf/>
  </rcc>
  <rcc rId="5402" sId="1" odxf="1" dxf="1">
    <nc r="I432">
      <v>34.29</v>
    </nc>
    <odxf/>
    <ndxf/>
  </rcc>
  <rcc rId="5403" sId="1" odxf="1" dxf="1">
    <nc r="J432">
      <v>6000</v>
    </nc>
    <odxf/>
    <ndxf/>
  </rcc>
  <rcc rId="5404" sId="1" odxf="1" dxf="1">
    <nc r="K432">
      <v>0</v>
    </nc>
    <odxf/>
    <ndxf/>
  </rcc>
  <rcc rId="5405" sId="1" odxf="1" dxf="1" numFmtId="19">
    <nc r="L432">
      <v>46226.736111111109</v>
    </nc>
    <odxf/>
    <ndxf/>
  </rcc>
  <rcc rId="5406" sId="1" odxf="1" dxf="1" numFmtId="19">
    <nc r="M432">
      <v>46230.173611111109</v>
    </nc>
    <odxf/>
    <ndxf/>
  </rcc>
  <rfmt sheetId="1" sqref="N432" start="0" length="0">
    <dxf/>
  </rfmt>
  <rfmt sheetId="1" sqref="O432" start="0" length="0">
    <dxf/>
  </rfmt>
  <rfmt sheetId="1" sqref="P432" start="0" length="0">
    <dxf/>
  </rfmt>
  <rfmt sheetId="1" sqref="Q432" start="0" length="0">
    <dxf/>
  </rfmt>
  <rfmt sheetId="1" sqref="R432" start="0" length="0">
    <dxf/>
  </rfmt>
  <rfmt sheetId="1" sqref="S432" start="0" length="0">
    <dxf/>
  </rfmt>
  <rfmt sheetId="1" sqref="T432" start="0" length="0">
    <dxf/>
  </rfmt>
  <rfmt sheetId="1" sqref="U432" start="0" length="0">
    <dxf/>
  </rfmt>
  <rfmt sheetId="1" sqref="V432" start="0" length="0">
    <dxf/>
  </rfmt>
  <rfmt sheetId="1" sqref="W432" start="0" length="0">
    <dxf/>
  </rfmt>
  <rfmt sheetId="1" sqref="X432" start="0" length="0">
    <dxf/>
  </rfmt>
  <rfmt sheetId="1" sqref="Y432" start="0" length="0">
    <dxf/>
  </rfmt>
  <rfmt sheetId="1" sqref="Z432" start="0" length="0">
    <dxf/>
  </rfmt>
  <rcc rId="5407" sId="1" odxf="1" dxf="1">
    <nc r="AA432" t="inlineStr">
      <is>
        <t>1</t>
      </is>
    </nc>
    <odxf/>
    <ndxf/>
  </rcc>
  <rcc rId="5408" sId="1" odxf="1" dxf="1">
    <nc r="AB432" t="inlineStr">
      <is>
        <t>0</t>
      </is>
    </nc>
    <odxf/>
    <ndxf/>
  </rcc>
  <rfmt sheetId="1" sqref="A432:XFD432" start="0" length="0">
    <dxf/>
  </rfmt>
  <rcc rId="5409" sId="1" odxf="1" dxf="1">
    <nc r="A433" t="inlineStr">
      <is>
        <t>Zone 3</t>
      </is>
    </nc>
    <odxf/>
    <ndxf/>
  </rcc>
  <rcc rId="5410" sId="1" odxf="1" dxf="1">
    <nc r="B433" t="inlineStr">
      <is>
        <t>Camera Printing</t>
      </is>
    </nc>
    <odxf/>
    <ndxf/>
  </rcc>
  <rcc rId="5411" sId="1" odxf="1" dxf="1">
    <nc r="C433">
      <v>1</v>
    </nc>
    <odxf/>
    <ndxf/>
  </rcc>
  <rfmt sheetId="1" sqref="D433" start="0" length="0">
    <dxf/>
  </rfmt>
  <rcc rId="5412" sId="1" odxf="1" dxf="1">
    <nc r="E433" t="inlineStr">
      <is>
        <t>W1030089/1</t>
      </is>
    </nc>
    <odxf/>
    <ndxf/>
  </rcc>
  <rcc rId="5413" sId="1" odxf="1" dxf="1">
    <nc r="F433" t="inlineStr">
      <is>
        <t>VER3/0142-1156</t>
      </is>
    </nc>
    <odxf/>
    <ndxf/>
  </rcc>
  <rcc rId="5414" sId="1" odxf="1" dxf="1">
    <nc r="G433" t="inlineStr">
      <is>
        <t>Camera, Green OVM7695 Encapsulated Quickconnect</t>
      </is>
    </nc>
    <odxf/>
    <ndxf/>
  </rcc>
  <rcc rId="5415" sId="1" odxf="1" dxf="1">
    <nc r="H433">
      <v>34.29</v>
    </nc>
    <odxf/>
    <ndxf/>
  </rcc>
  <rcc rId="5416" sId="1" odxf="1" dxf="1">
    <nc r="I433">
      <v>34.29</v>
    </nc>
    <odxf/>
    <ndxf/>
  </rcc>
  <rcc rId="5417" sId="1" odxf="1" dxf="1">
    <nc r="J433">
      <v>6000</v>
    </nc>
    <odxf/>
    <ndxf/>
  </rcc>
  <rcc rId="5418" sId="1" odxf="1" dxf="1">
    <nc r="K433">
      <v>0</v>
    </nc>
    <odxf/>
    <ndxf/>
  </rcc>
  <rcc rId="5419" sId="1" odxf="1" dxf="1" numFmtId="19">
    <nc r="L433">
      <v>46230.180555555555</v>
    </nc>
    <odxf/>
    <ndxf/>
  </rcc>
  <rcc rId="5420" sId="1" odxf="1" dxf="1" numFmtId="19">
    <nc r="M433">
      <v>46231.618055555555</v>
    </nc>
    <odxf/>
    <ndxf/>
  </rcc>
  <rfmt sheetId="1" sqref="N433" start="0" length="0">
    <dxf/>
  </rfmt>
  <rfmt sheetId="1" sqref="O433" start="0" length="0">
    <dxf/>
  </rfmt>
  <rfmt sheetId="1" sqref="P433" start="0" length="0">
    <dxf/>
  </rfmt>
  <rfmt sheetId="1" sqref="Q433" start="0" length="0">
    <dxf/>
  </rfmt>
  <rfmt sheetId="1" sqref="R433" start="0" length="0">
    <dxf/>
  </rfmt>
  <rfmt sheetId="1" sqref="S433" start="0" length="0">
    <dxf/>
  </rfmt>
  <rfmt sheetId="1" sqref="T433" start="0" length="0">
    <dxf/>
  </rfmt>
  <rfmt sheetId="1" sqref="U433" start="0" length="0">
    <dxf/>
  </rfmt>
  <rfmt sheetId="1" sqref="V433" start="0" length="0">
    <dxf/>
  </rfmt>
  <rfmt sheetId="1" sqref="W433" start="0" length="0">
    <dxf/>
  </rfmt>
  <rfmt sheetId="1" sqref="X433" start="0" length="0">
    <dxf/>
  </rfmt>
  <rfmt sheetId="1" sqref="Y433" start="0" length="0">
    <dxf/>
  </rfmt>
  <rfmt sheetId="1" sqref="Z433" start="0" length="0">
    <dxf/>
  </rfmt>
  <rcc rId="5421" sId="1" odxf="1" dxf="1">
    <nc r="AA433" t="inlineStr">
      <is>
        <t>1</t>
      </is>
    </nc>
    <odxf/>
    <ndxf/>
  </rcc>
  <rcc rId="5422" sId="1" odxf="1" dxf="1">
    <nc r="AB433" t="inlineStr">
      <is>
        <t>0</t>
      </is>
    </nc>
    <odxf/>
    <ndxf/>
  </rcc>
  <rfmt sheetId="1" sqref="A433:XFD433" start="0" length="0">
    <dxf/>
  </rfmt>
  <rcc rId="5423" sId="1" odxf="1" dxf="1">
    <nc r="A434" t="inlineStr">
      <is>
        <t>Zone 3</t>
      </is>
    </nc>
    <odxf/>
    <ndxf/>
  </rcc>
  <rcc rId="5424" sId="1" odxf="1" dxf="1">
    <nc r="B434" t="inlineStr">
      <is>
        <t>Camera Printing</t>
      </is>
    </nc>
    <odxf/>
    <ndxf/>
  </rcc>
  <rcc rId="5425" sId="1" odxf="1" dxf="1">
    <nc r="C434">
      <v>1</v>
    </nc>
    <odxf/>
    <ndxf/>
  </rcc>
  <rfmt sheetId="1" sqref="D434" start="0" length="0">
    <dxf/>
  </rfmt>
  <rcc rId="5426" sId="1" odxf="1" dxf="1">
    <nc r="E434" t="inlineStr">
      <is>
        <t>W1030090/1</t>
      </is>
    </nc>
    <odxf/>
    <ndxf/>
  </rcc>
  <rcc rId="5427" sId="1" odxf="1" dxf="1">
    <nc r="F434" t="inlineStr">
      <is>
        <t>VER3/0142-1156</t>
      </is>
    </nc>
    <odxf/>
    <ndxf/>
  </rcc>
  <rcc rId="5428" sId="1" odxf="1" dxf="1">
    <nc r="G434" t="inlineStr">
      <is>
        <t>Camera, Green OVM7695 Encapsulated Quickconnect</t>
      </is>
    </nc>
    <odxf/>
    <ndxf/>
  </rcc>
  <rcc rId="5429" sId="1" odxf="1" dxf="1">
    <nc r="H434">
      <v>34.29</v>
    </nc>
    <odxf/>
    <ndxf/>
  </rcc>
  <rcc rId="5430" sId="1" odxf="1" dxf="1">
    <nc r="I434">
      <v>34.29</v>
    </nc>
    <odxf/>
    <ndxf/>
  </rcc>
  <rcc rId="5431" sId="1" odxf="1" dxf="1">
    <nc r="J434">
      <v>6000</v>
    </nc>
    <odxf/>
    <ndxf/>
  </rcc>
  <rcc rId="5432" sId="1" odxf="1" dxf="1">
    <nc r="K434">
      <v>0</v>
    </nc>
    <odxf/>
    <ndxf/>
  </rcc>
  <rcc rId="5433" sId="1" odxf="1" dxf="1" numFmtId="19">
    <nc r="L434">
      <v>46231.625</v>
    </nc>
    <odxf/>
    <ndxf/>
  </rcc>
  <rcc rId="5434" sId="1" odxf="1" dxf="1" numFmtId="19">
    <nc r="M434">
      <v>46233.0625</v>
    </nc>
    <odxf/>
    <ndxf/>
  </rcc>
  <rfmt sheetId="1" sqref="N434" start="0" length="0">
    <dxf/>
  </rfmt>
  <rfmt sheetId="1" sqref="O434" start="0" length="0">
    <dxf/>
  </rfmt>
  <rfmt sheetId="1" sqref="P434" start="0" length="0">
    <dxf/>
  </rfmt>
  <rfmt sheetId="1" sqref="Q434" start="0" length="0">
    <dxf/>
  </rfmt>
  <rfmt sheetId="1" sqref="R434" start="0" length="0">
    <dxf/>
  </rfmt>
  <rfmt sheetId="1" sqref="S434" start="0" length="0">
    <dxf/>
  </rfmt>
  <rfmt sheetId="1" sqref="T434" start="0" length="0">
    <dxf/>
  </rfmt>
  <rfmt sheetId="1" sqref="U434" start="0" length="0">
    <dxf/>
  </rfmt>
  <rfmt sheetId="1" sqref="V434" start="0" length="0">
    <dxf/>
  </rfmt>
  <rfmt sheetId="1" sqref="W434" start="0" length="0">
    <dxf/>
  </rfmt>
  <rfmt sheetId="1" sqref="X434" start="0" length="0">
    <dxf/>
  </rfmt>
  <rfmt sheetId="1" sqref="Y434" start="0" length="0">
    <dxf/>
  </rfmt>
  <rfmt sheetId="1" sqref="Z434" start="0" length="0">
    <dxf/>
  </rfmt>
  <rcc rId="5435" sId="1" odxf="1" dxf="1">
    <nc r="AA434" t="inlineStr">
      <is>
        <t>1</t>
      </is>
    </nc>
    <odxf/>
    <ndxf/>
  </rcc>
  <rcc rId="5436" sId="1" odxf="1" dxf="1">
    <nc r="AB434" t="inlineStr">
      <is>
        <t>0</t>
      </is>
    </nc>
    <odxf/>
    <ndxf/>
  </rcc>
  <rfmt sheetId="1" sqref="A434:XFD434" start="0" length="0">
    <dxf/>
  </rfmt>
  <rcc rId="5437" sId="1" odxf="1" dxf="1">
    <nc r="A435" t="inlineStr">
      <is>
        <t>Zone 3</t>
      </is>
    </nc>
    <odxf/>
    <ndxf/>
  </rcc>
  <rcc rId="5438" sId="1" odxf="1" dxf="1">
    <nc r="B435" t="inlineStr">
      <is>
        <t>Camera Printing</t>
      </is>
    </nc>
    <odxf/>
    <ndxf/>
  </rcc>
  <rcc rId="5439" sId="1" odxf="1" dxf="1">
    <nc r="C435">
      <v>1</v>
    </nc>
    <odxf/>
    <ndxf/>
  </rcc>
  <rfmt sheetId="1" sqref="D435" start="0" length="0">
    <dxf/>
  </rfmt>
  <rcc rId="5440" sId="1" odxf="1" dxf="1">
    <nc r="E435" t="inlineStr">
      <is>
        <t>W1028714/1</t>
      </is>
    </nc>
    <odxf/>
    <ndxf/>
  </rcc>
  <rcc rId="5441" sId="1" odxf="1" dxf="1">
    <nc r="F435" t="inlineStr">
      <is>
        <t>VER3/0142-1157</t>
      </is>
    </nc>
    <odxf/>
    <ndxf/>
  </rcc>
  <rcc rId="5442" sId="1" odxf="1" dxf="1">
    <nc r="G435" t="inlineStr">
      <is>
        <t>Camera, Green OVM7695 Encapsulated QC Miller</t>
      </is>
    </nc>
    <odxf/>
    <ndxf/>
  </rcc>
  <rcc rId="5443" sId="1" odxf="1" dxf="1">
    <nc r="H435">
      <v>25</v>
    </nc>
    <odxf/>
    <ndxf/>
  </rcc>
  <rcc rId="5444" sId="1" odxf="1" dxf="1">
    <nc r="I435">
      <v>25</v>
    </nc>
    <odxf/>
    <ndxf/>
  </rcc>
  <rcc rId="5445" sId="1" odxf="1" dxf="1">
    <nc r="J435">
      <v>3000</v>
    </nc>
    <odxf/>
    <ndxf/>
  </rcc>
  <rcc rId="5446" sId="1" odxf="1" dxf="1">
    <nc r="K435">
      <v>0</v>
    </nc>
    <odxf/>
    <ndxf/>
  </rcc>
  <rcc rId="5447" sId="1" odxf="1" dxf="1" numFmtId="19">
    <nc r="L435">
      <v>46233.069444444445</v>
    </nc>
    <odxf/>
    <ndxf/>
  </rcc>
  <rcc rId="5448" sId="1" odxf="1" dxf="1" numFmtId="19">
    <nc r="M435">
      <v>46234.118055555555</v>
    </nc>
    <odxf/>
    <ndxf/>
  </rcc>
  <rfmt sheetId="1" sqref="N435" start="0" length="0">
    <dxf/>
  </rfmt>
  <rfmt sheetId="1" sqref="O435" start="0" length="0">
    <dxf/>
  </rfmt>
  <rfmt sheetId="1" sqref="P435" start="0" length="0">
    <dxf/>
  </rfmt>
  <rfmt sheetId="1" sqref="Q435" start="0" length="0">
    <dxf/>
  </rfmt>
  <rfmt sheetId="1" sqref="R435" start="0" length="0">
    <dxf/>
  </rfmt>
  <rfmt sheetId="1" sqref="S435" start="0" length="0">
    <dxf/>
  </rfmt>
  <rfmt sheetId="1" sqref="T435" start="0" length="0">
    <dxf/>
  </rfmt>
  <rfmt sheetId="1" sqref="U435" start="0" length="0">
    <dxf/>
  </rfmt>
  <rfmt sheetId="1" sqref="V435" start="0" length="0">
    <dxf/>
  </rfmt>
  <rfmt sheetId="1" sqref="W435" start="0" length="0">
    <dxf/>
  </rfmt>
  <rfmt sheetId="1" sqref="X435" start="0" length="0">
    <dxf/>
  </rfmt>
  <rfmt sheetId="1" sqref="Y435" start="0" length="0">
    <dxf/>
  </rfmt>
  <rfmt sheetId="1" sqref="Z435" start="0" length="0">
    <dxf/>
  </rfmt>
  <rcc rId="5449" sId="1" odxf="1" dxf="1">
    <nc r="AA435" t="inlineStr">
      <is>
        <t>1</t>
      </is>
    </nc>
    <odxf/>
    <ndxf/>
  </rcc>
  <rcc rId="5450" sId="1" odxf="1" dxf="1">
    <nc r="AB435" t="inlineStr">
      <is>
        <t>0</t>
      </is>
    </nc>
    <odxf/>
    <ndxf/>
  </rcc>
  <rfmt sheetId="1" sqref="A435:XFD435" start="0" length="0">
    <dxf/>
  </rfmt>
  <rcc rId="5451" sId="1" odxf="1" dxf="1">
    <nc r="A436" t="inlineStr">
      <is>
        <t>Zone 3</t>
      </is>
    </nc>
    <odxf/>
    <ndxf/>
  </rcc>
  <rcc rId="5452" sId="1" odxf="1" dxf="1">
    <nc r="B436" t="inlineStr">
      <is>
        <t>Camera Printing</t>
      </is>
    </nc>
    <odxf/>
    <ndxf/>
  </rcc>
  <rcc rId="5453" sId="1" odxf="1" dxf="1">
    <nc r="C436">
      <v>1</v>
    </nc>
    <odxf/>
    <ndxf/>
  </rcc>
  <rfmt sheetId="1" sqref="D436" start="0" length="0">
    <dxf/>
  </rfmt>
  <rcc rId="5454" sId="1" odxf="1" dxf="1">
    <nc r="E436" t="inlineStr">
      <is>
        <t>W1030081/1</t>
      </is>
    </nc>
    <odxf/>
    <ndxf/>
  </rcc>
  <rcc rId="5455" sId="1" odxf="1" dxf="1">
    <nc r="F436" t="inlineStr">
      <is>
        <t>VER3/0142-1156</t>
      </is>
    </nc>
    <odxf/>
    <ndxf/>
  </rcc>
  <rcc rId="5456" sId="1" odxf="1" dxf="1">
    <nc r="G436" t="inlineStr">
      <is>
        <t>Camera, Green OVM7695 Encapsulated Quickconnect</t>
      </is>
    </nc>
    <odxf/>
    <ndxf/>
  </rcc>
  <rcc rId="5457" sId="1" odxf="1" dxf="1">
    <nc r="H436">
      <v>34.29</v>
    </nc>
    <odxf/>
    <ndxf/>
  </rcc>
  <rcc rId="5458" sId="1" odxf="1" dxf="1">
    <nc r="I436">
      <v>34.29</v>
    </nc>
    <odxf/>
    <ndxf/>
  </rcc>
  <rcc rId="5459" sId="1" odxf="1" dxf="1">
    <nc r="J436">
      <v>6000</v>
    </nc>
    <odxf/>
    <ndxf/>
  </rcc>
  <rcc rId="5460" sId="1" odxf="1" dxf="1">
    <nc r="K436">
      <v>0</v>
    </nc>
    <odxf/>
    <ndxf/>
  </rcc>
  <rcc rId="5461" sId="1" odxf="1" dxf="1" numFmtId="19">
    <nc r="L436">
      <v>46234.125</v>
    </nc>
    <odxf/>
    <ndxf/>
  </rcc>
  <rcc rId="5462" sId="1" odxf="1" dxf="1" numFmtId="19">
    <nc r="M436">
      <v>46238.5625</v>
    </nc>
    <odxf/>
    <ndxf/>
  </rcc>
  <rfmt sheetId="1" sqref="N436" start="0" length="0">
    <dxf/>
  </rfmt>
  <rfmt sheetId="1" sqref="O436" start="0" length="0">
    <dxf/>
  </rfmt>
  <rfmt sheetId="1" sqref="P436" start="0" length="0">
    <dxf/>
  </rfmt>
  <rfmt sheetId="1" sqref="Q436" start="0" length="0">
    <dxf/>
  </rfmt>
  <rfmt sheetId="1" sqref="R436" start="0" length="0">
    <dxf/>
  </rfmt>
  <rfmt sheetId="1" sqref="S436" start="0" length="0">
    <dxf/>
  </rfmt>
  <rfmt sheetId="1" sqref="T436" start="0" length="0">
    <dxf/>
  </rfmt>
  <rfmt sheetId="1" sqref="U436" start="0" length="0">
    <dxf/>
  </rfmt>
  <rfmt sheetId="1" sqref="V436" start="0" length="0">
    <dxf/>
  </rfmt>
  <rfmt sheetId="1" sqref="W436" start="0" length="0">
    <dxf/>
  </rfmt>
  <rfmt sheetId="1" sqref="X436" start="0" length="0">
    <dxf/>
  </rfmt>
  <rfmt sheetId="1" sqref="Y436" start="0" length="0">
    <dxf/>
  </rfmt>
  <rfmt sheetId="1" sqref="Z436" start="0" length="0">
    <dxf/>
  </rfmt>
  <rcc rId="5463" sId="1" odxf="1" dxf="1">
    <nc r="AA436" t="inlineStr">
      <is>
        <t>1</t>
      </is>
    </nc>
    <odxf/>
    <ndxf/>
  </rcc>
  <rcc rId="5464" sId="1" odxf="1" dxf="1">
    <nc r="AB436" t="inlineStr">
      <is>
        <t>0</t>
      </is>
    </nc>
    <odxf/>
    <ndxf/>
  </rcc>
  <rfmt sheetId="1" sqref="A436:XFD436" start="0" length="0">
    <dxf/>
  </rfmt>
  <rcc rId="5465" sId="1" odxf="1" dxf="1">
    <nc r="A437" t="inlineStr">
      <is>
        <t>Zone 3</t>
      </is>
    </nc>
    <odxf/>
    <ndxf/>
  </rcc>
  <rcc rId="5466" sId="1" odxf="1" dxf="1">
    <nc r="B437" t="inlineStr">
      <is>
        <t>Camera Printing</t>
      </is>
    </nc>
    <odxf/>
    <ndxf/>
  </rcc>
  <rcc rId="5467" sId="1" odxf="1" dxf="1">
    <nc r="C437">
      <v>1</v>
    </nc>
    <odxf/>
    <ndxf/>
  </rcc>
  <rfmt sheetId="1" sqref="D437" start="0" length="0">
    <dxf/>
  </rfmt>
  <rcc rId="5468" sId="1" odxf="1" dxf="1">
    <nc r="E437" t="inlineStr">
      <is>
        <t>W1028715/1</t>
      </is>
    </nc>
    <odxf/>
    <ndxf/>
  </rcc>
  <rcc rId="5469" sId="1" odxf="1" dxf="1">
    <nc r="F437" t="inlineStr">
      <is>
        <t>VER3/0142-1157</t>
      </is>
    </nc>
    <odxf/>
    <ndxf/>
  </rcc>
  <rcc rId="5470" sId="1" odxf="1" dxf="1">
    <nc r="G437" t="inlineStr">
      <is>
        <t>Camera, Green OVM7695 Encapsulated QC Miller</t>
      </is>
    </nc>
    <odxf/>
    <ndxf/>
  </rcc>
  <rcc rId="5471" sId="1" odxf="1" dxf="1">
    <nc r="H437">
      <v>25</v>
    </nc>
    <odxf/>
    <ndxf/>
  </rcc>
  <rcc rId="5472" sId="1" odxf="1" dxf="1">
    <nc r="I437">
      <v>25</v>
    </nc>
    <odxf/>
    <ndxf/>
  </rcc>
  <rcc rId="5473" sId="1" odxf="1" dxf="1">
    <nc r="J437">
      <v>3000</v>
    </nc>
    <odxf/>
    <ndxf/>
  </rcc>
  <rcc rId="5474" sId="1" odxf="1" dxf="1">
    <nc r="K437">
      <v>0</v>
    </nc>
    <odxf/>
    <ndxf/>
  </rcc>
  <rcc rId="5475" sId="1" odxf="1" dxf="1" numFmtId="19">
    <nc r="L437">
      <v>46238.569444444445</v>
    </nc>
    <odxf/>
    <ndxf/>
  </rcc>
  <rcc rId="5476" sId="1" odxf="1" dxf="1" numFmtId="19">
    <nc r="M437">
      <v>46239.618055555555</v>
    </nc>
    <odxf/>
    <ndxf/>
  </rcc>
  <rfmt sheetId="1" sqref="N437" start="0" length="0">
    <dxf/>
  </rfmt>
  <rfmt sheetId="1" sqref="O437" start="0" length="0">
    <dxf/>
  </rfmt>
  <rfmt sheetId="1" sqref="P437" start="0" length="0">
    <dxf/>
  </rfmt>
  <rfmt sheetId="1" sqref="Q437" start="0" length="0">
    <dxf/>
  </rfmt>
  <rfmt sheetId="1" sqref="R437" start="0" length="0">
    <dxf/>
  </rfmt>
  <rfmt sheetId="1" sqref="S437" start="0" length="0">
    <dxf/>
  </rfmt>
  <rfmt sheetId="1" sqref="T437" start="0" length="0">
    <dxf/>
  </rfmt>
  <rfmt sheetId="1" sqref="U437" start="0" length="0">
    <dxf/>
  </rfmt>
  <rfmt sheetId="1" sqref="V437" start="0" length="0">
    <dxf/>
  </rfmt>
  <rfmt sheetId="1" sqref="W437" start="0" length="0">
    <dxf/>
  </rfmt>
  <rfmt sheetId="1" sqref="X437" start="0" length="0">
    <dxf/>
  </rfmt>
  <rfmt sheetId="1" sqref="Y437" start="0" length="0">
    <dxf/>
  </rfmt>
  <rfmt sheetId="1" sqref="Z437" start="0" length="0">
    <dxf/>
  </rfmt>
  <rcc rId="5477" sId="1" odxf="1" dxf="1">
    <nc r="AA437" t="inlineStr">
      <is>
        <t>1</t>
      </is>
    </nc>
    <odxf/>
    <ndxf/>
  </rcc>
  <rcc rId="5478" sId="1" odxf="1" dxf="1">
    <nc r="AB437" t="inlineStr">
      <is>
        <t>0</t>
      </is>
    </nc>
    <odxf/>
    <ndxf/>
  </rcc>
  <rfmt sheetId="1" sqref="A437:XFD437" start="0" length="0">
    <dxf/>
  </rfmt>
  <rcc rId="5479" sId="1" odxf="1" dxf="1">
    <nc r="A438" t="inlineStr">
      <is>
        <t>Zone 3</t>
      </is>
    </nc>
    <odxf/>
    <ndxf/>
  </rcc>
  <rcc rId="5480" sId="1" odxf="1" dxf="1">
    <nc r="B438" t="inlineStr">
      <is>
        <t>Camera Printing</t>
      </is>
    </nc>
    <odxf/>
    <ndxf/>
  </rcc>
  <rcc rId="5481" sId="1" odxf="1" dxf="1">
    <nc r="C438">
      <v>1</v>
    </nc>
    <odxf/>
    <ndxf/>
  </rcc>
  <rfmt sheetId="1" sqref="D438" start="0" length="0">
    <dxf/>
  </rfmt>
  <rcc rId="5482" sId="1" odxf="1" dxf="1">
    <nc r="E438" t="inlineStr">
      <is>
        <t>W1030091/1</t>
      </is>
    </nc>
    <odxf/>
    <ndxf/>
  </rcc>
  <rcc rId="5483" sId="1" odxf="1" dxf="1">
    <nc r="F438" t="inlineStr">
      <is>
        <t>VER3/0142-1157</t>
      </is>
    </nc>
    <odxf/>
    <ndxf/>
  </rcc>
  <rcc rId="5484" sId="1" odxf="1" dxf="1">
    <nc r="G438" t="inlineStr">
      <is>
        <t>Camera, Green OVM7695 Encapsulated QC Miller</t>
      </is>
    </nc>
    <odxf/>
    <ndxf/>
  </rcc>
  <rcc rId="5485" sId="1" odxf="1" dxf="1">
    <nc r="H438">
      <v>25</v>
    </nc>
    <odxf/>
    <ndxf/>
  </rcc>
  <rcc rId="5486" sId="1" odxf="1" dxf="1">
    <nc r="I438">
      <v>25</v>
    </nc>
    <odxf/>
    <ndxf/>
  </rcc>
  <rcc rId="5487" sId="1" odxf="1" dxf="1">
    <nc r="J438">
      <v>3000</v>
    </nc>
    <odxf/>
    <ndxf/>
  </rcc>
  <rcc rId="5488" sId="1" odxf="1" dxf="1">
    <nc r="K438">
      <v>0</v>
    </nc>
    <odxf/>
    <ndxf/>
  </rcc>
  <rcc rId="5489" sId="1" odxf="1" dxf="1" numFmtId="19">
    <nc r="L438">
      <v>46239.625</v>
    </nc>
    <odxf/>
    <ndxf/>
  </rcc>
  <rcc rId="5490" sId="1" odxf="1" dxf="1" numFmtId="19">
    <nc r="M438">
      <v>46240.673611111109</v>
    </nc>
    <odxf/>
    <ndxf/>
  </rcc>
  <rfmt sheetId="1" sqref="N438" start="0" length="0">
    <dxf/>
  </rfmt>
  <rfmt sheetId="1" sqref="O438" start="0" length="0">
    <dxf/>
  </rfmt>
  <rfmt sheetId="1" sqref="P438" start="0" length="0">
    <dxf/>
  </rfmt>
  <rfmt sheetId="1" sqref="Q438" start="0" length="0">
    <dxf/>
  </rfmt>
  <rfmt sheetId="1" sqref="R438" start="0" length="0">
    <dxf/>
  </rfmt>
  <rfmt sheetId="1" sqref="S438" start="0" length="0">
    <dxf/>
  </rfmt>
  <rfmt sheetId="1" sqref="T438" start="0" length="0">
    <dxf/>
  </rfmt>
  <rfmt sheetId="1" sqref="U438" start="0" length="0">
    <dxf/>
  </rfmt>
  <rfmt sheetId="1" sqref="V438" start="0" length="0">
    <dxf/>
  </rfmt>
  <rfmt sheetId="1" sqref="W438" start="0" length="0">
    <dxf/>
  </rfmt>
  <rfmt sheetId="1" sqref="X438" start="0" length="0">
    <dxf/>
  </rfmt>
  <rfmt sheetId="1" sqref="Y438" start="0" length="0">
    <dxf/>
  </rfmt>
  <rfmt sheetId="1" sqref="Z438" start="0" length="0">
    <dxf/>
  </rfmt>
  <rcc rId="5491" sId="1" odxf="1" dxf="1">
    <nc r="AA438" t="inlineStr">
      <is>
        <t>1</t>
      </is>
    </nc>
    <odxf/>
    <ndxf/>
  </rcc>
  <rcc rId="5492" sId="1" odxf="1" dxf="1">
    <nc r="AB438" t="inlineStr">
      <is>
        <t>0</t>
      </is>
    </nc>
    <odxf/>
    <ndxf/>
  </rcc>
  <rfmt sheetId="1" sqref="A438:XFD438" start="0" length="0">
    <dxf/>
  </rfmt>
  <rcc rId="5493" sId="1" odxf="1" dxf="1">
    <nc r="A439" t="inlineStr">
      <is>
        <t>Zone 3</t>
      </is>
    </nc>
    <odxf/>
    <ndxf/>
  </rcc>
  <rcc rId="5494" sId="1" odxf="1" dxf="1">
    <nc r="B439" t="inlineStr">
      <is>
        <t>Camera Printing</t>
      </is>
    </nc>
    <odxf/>
    <ndxf/>
  </rcc>
  <rcc rId="5495" sId="1" odxf="1" dxf="1">
    <nc r="C439">
      <v>1</v>
    </nc>
    <odxf/>
    <ndxf/>
  </rcc>
  <rfmt sheetId="1" sqref="D439" start="0" length="0">
    <dxf/>
  </rfmt>
  <rcc rId="5496" sId="1" odxf="1" dxf="1">
    <nc r="E439" t="inlineStr">
      <is>
        <t>W1030092/1</t>
      </is>
    </nc>
    <odxf/>
    <ndxf/>
  </rcc>
  <rcc rId="5497" sId="1" odxf="1" dxf="1">
    <nc r="F439" t="inlineStr">
      <is>
        <t>VER3/0142-1157</t>
      </is>
    </nc>
    <odxf/>
    <ndxf/>
  </rcc>
  <rcc rId="5498" sId="1" odxf="1" dxf="1">
    <nc r="G439" t="inlineStr">
      <is>
        <t>Camera, Green OVM7695 Encapsulated QC Miller</t>
      </is>
    </nc>
    <odxf/>
    <ndxf/>
  </rcc>
  <rcc rId="5499" sId="1" odxf="1" dxf="1">
    <nc r="H439">
      <v>25</v>
    </nc>
    <odxf/>
    <ndxf/>
  </rcc>
  <rcc rId="5500" sId="1" odxf="1" dxf="1">
    <nc r="I439">
      <v>25</v>
    </nc>
    <odxf/>
    <ndxf/>
  </rcc>
  <rcc rId="5501" sId="1" odxf="1" dxf="1">
    <nc r="J439">
      <v>3000</v>
    </nc>
    <odxf/>
    <ndxf/>
  </rcc>
  <rcc rId="5502" sId="1" odxf="1" dxf="1">
    <nc r="K439">
      <v>0</v>
    </nc>
    <odxf/>
    <ndxf/>
  </rcc>
  <rcc rId="5503" sId="1" odxf="1" dxf="1" numFmtId="19">
    <nc r="L439">
      <v>46240.680555555555</v>
    </nc>
    <odxf/>
    <ndxf/>
  </rcc>
  <rcc rId="5504" sId="1" odxf="1" dxf="1" numFmtId="19">
    <nc r="M439">
      <v>46241.729166666664</v>
    </nc>
    <odxf/>
    <ndxf/>
  </rcc>
  <rfmt sheetId="1" sqref="N439" start="0" length="0">
    <dxf/>
  </rfmt>
  <rfmt sheetId="1" sqref="O439" start="0" length="0">
    <dxf/>
  </rfmt>
  <rfmt sheetId="1" sqref="P439" start="0" length="0">
    <dxf/>
  </rfmt>
  <rfmt sheetId="1" sqref="Q439" start="0" length="0">
    <dxf/>
  </rfmt>
  <rfmt sheetId="1" sqref="R439" start="0" length="0">
    <dxf/>
  </rfmt>
  <rfmt sheetId="1" sqref="S439" start="0" length="0">
    <dxf/>
  </rfmt>
  <rfmt sheetId="1" sqref="T439" start="0" length="0">
    <dxf/>
  </rfmt>
  <rfmt sheetId="1" sqref="U439" start="0" length="0">
    <dxf/>
  </rfmt>
  <rfmt sheetId="1" sqref="V439" start="0" length="0">
    <dxf/>
  </rfmt>
  <rfmt sheetId="1" sqref="W439" start="0" length="0">
    <dxf/>
  </rfmt>
  <rfmt sheetId="1" sqref="X439" start="0" length="0">
    <dxf/>
  </rfmt>
  <rfmt sheetId="1" sqref="Y439" start="0" length="0">
    <dxf/>
  </rfmt>
  <rfmt sheetId="1" sqref="Z439" start="0" length="0">
    <dxf/>
  </rfmt>
  <rcc rId="5505" sId="1" odxf="1" dxf="1">
    <nc r="AA439" t="inlineStr">
      <is>
        <t>1</t>
      </is>
    </nc>
    <odxf/>
    <ndxf/>
  </rcc>
  <rcc rId="5506" sId="1" odxf="1" dxf="1">
    <nc r="AB439" t="inlineStr">
      <is>
        <t>0</t>
      </is>
    </nc>
    <odxf/>
    <ndxf/>
  </rcc>
  <rfmt sheetId="1" sqref="A439:XFD439" start="0" length="0">
    <dxf/>
  </rfmt>
  <rcc rId="5507" sId="1" odxf="1" dxf="1">
    <nc r="A440" t="inlineStr">
      <is>
        <t>Zone 3</t>
      </is>
    </nc>
    <odxf/>
    <ndxf/>
  </rcc>
  <rcc rId="5508" sId="1" odxf="1" dxf="1">
    <nc r="B440" t="inlineStr">
      <is>
        <t>Camera Printing</t>
      </is>
    </nc>
    <odxf/>
    <ndxf/>
  </rcc>
  <rcc rId="5509" sId="1" odxf="1" dxf="1">
    <nc r="C440">
      <v>1</v>
    </nc>
    <odxf/>
    <ndxf/>
  </rcc>
  <rfmt sheetId="1" sqref="D440" start="0" length="0">
    <dxf/>
  </rfmt>
  <rcc rId="5510" sId="1" odxf="1" dxf="1">
    <nc r="E440" t="inlineStr">
      <is>
        <t>W1030093/1</t>
      </is>
    </nc>
    <odxf/>
    <ndxf/>
  </rcc>
  <rcc rId="5511" sId="1" odxf="1" dxf="1">
    <nc r="F440" t="inlineStr">
      <is>
        <t>VER3/0142-1157</t>
      </is>
    </nc>
    <odxf/>
    <ndxf/>
  </rcc>
  <rcc rId="5512" sId="1" odxf="1" dxf="1">
    <nc r="G440" t="inlineStr">
      <is>
        <t>Camera, Green OVM7695 Encapsulated QC Miller</t>
      </is>
    </nc>
    <odxf/>
    <ndxf/>
  </rcc>
  <rcc rId="5513" sId="1" odxf="1" dxf="1">
    <nc r="H440">
      <v>25</v>
    </nc>
    <odxf/>
    <ndxf/>
  </rcc>
  <rcc rId="5514" sId="1" odxf="1" dxf="1">
    <nc r="I440">
      <v>25</v>
    </nc>
    <odxf/>
    <ndxf/>
  </rcc>
  <rcc rId="5515" sId="1" odxf="1" dxf="1">
    <nc r="J440">
      <v>3000</v>
    </nc>
    <odxf/>
    <ndxf/>
  </rcc>
  <rcc rId="5516" sId="1" odxf="1" dxf="1">
    <nc r="K440">
      <v>0</v>
    </nc>
    <odxf/>
    <ndxf/>
  </rcc>
  <rcc rId="5517" sId="1" odxf="1" dxf="1" numFmtId="19">
    <nc r="L440">
      <v>46241.736111111109</v>
    </nc>
    <odxf/>
    <ndxf/>
  </rcc>
  <rcc rId="5518" sId="1" odxf="1" dxf="1" numFmtId="19">
    <nc r="M440">
      <v>46244.784722222219</v>
    </nc>
    <odxf/>
    <ndxf/>
  </rcc>
  <rfmt sheetId="1" sqref="N440" start="0" length="0">
    <dxf/>
  </rfmt>
  <rfmt sheetId="1" sqref="O440" start="0" length="0">
    <dxf/>
  </rfmt>
  <rfmt sheetId="1" sqref="P440" start="0" length="0">
    <dxf/>
  </rfmt>
  <rfmt sheetId="1" sqref="Q440" start="0" length="0">
    <dxf/>
  </rfmt>
  <rfmt sheetId="1" sqref="R440" start="0" length="0">
    <dxf/>
  </rfmt>
  <rfmt sheetId="1" sqref="S440" start="0" length="0">
    <dxf/>
  </rfmt>
  <rfmt sheetId="1" sqref="T440" start="0" length="0">
    <dxf/>
  </rfmt>
  <rfmt sheetId="1" sqref="U440" start="0" length="0">
    <dxf/>
  </rfmt>
  <rfmt sheetId="1" sqref="V440" start="0" length="0">
    <dxf/>
  </rfmt>
  <rfmt sheetId="1" sqref="W440" start="0" length="0">
    <dxf/>
  </rfmt>
  <rfmt sheetId="1" sqref="X440" start="0" length="0">
    <dxf/>
  </rfmt>
  <rfmt sheetId="1" sqref="Y440" start="0" length="0">
    <dxf/>
  </rfmt>
  <rfmt sheetId="1" sqref="Z440" start="0" length="0">
    <dxf/>
  </rfmt>
  <rcc rId="5519" sId="1" odxf="1" dxf="1">
    <nc r="AA440" t="inlineStr">
      <is>
        <t>1</t>
      </is>
    </nc>
    <odxf/>
    <ndxf/>
  </rcc>
  <rcc rId="5520" sId="1" odxf="1" dxf="1">
    <nc r="AB440" t="inlineStr">
      <is>
        <t>0</t>
      </is>
    </nc>
    <odxf/>
    <ndxf/>
  </rcc>
  <rfmt sheetId="1" sqref="A440:XFD440" start="0" length="0">
    <dxf/>
  </rfmt>
  <rcc rId="5521" sId="1" odxf="1" dxf="1">
    <nc r="A441" t="inlineStr">
      <is>
        <t>Zone 3</t>
      </is>
    </nc>
    <odxf/>
    <ndxf/>
  </rcc>
  <rcc rId="5522" sId="1" odxf="1" dxf="1">
    <nc r="B441" t="inlineStr">
      <is>
        <t>Camera Printing</t>
      </is>
    </nc>
    <odxf/>
    <ndxf/>
  </rcc>
  <rcc rId="5523" sId="1" odxf="1" dxf="1">
    <nc r="C441">
      <v>1</v>
    </nc>
    <odxf/>
    <ndxf/>
  </rcc>
  <rfmt sheetId="1" sqref="D441" start="0" length="0">
    <dxf/>
  </rfmt>
  <rcc rId="5524" sId="1" odxf="1" dxf="1">
    <nc r="E441" t="inlineStr">
      <is>
        <t>W1030094/1</t>
      </is>
    </nc>
    <odxf/>
    <ndxf/>
  </rcc>
  <rcc rId="5525" sId="1" odxf="1" dxf="1">
    <nc r="F441" t="inlineStr">
      <is>
        <t>VER3/0142-1157</t>
      </is>
    </nc>
    <odxf/>
    <ndxf/>
  </rcc>
  <rcc rId="5526" sId="1" odxf="1" dxf="1">
    <nc r="G441" t="inlineStr">
      <is>
        <t>Camera, Green OVM7695 Encapsulated QC Miller</t>
      </is>
    </nc>
    <odxf/>
    <ndxf/>
  </rcc>
  <rcc rId="5527" sId="1" odxf="1" dxf="1">
    <nc r="H441">
      <v>25</v>
    </nc>
    <odxf/>
    <ndxf/>
  </rcc>
  <rcc rId="5528" sId="1" odxf="1" dxf="1">
    <nc r="I441">
      <v>25</v>
    </nc>
    <odxf/>
    <ndxf/>
  </rcc>
  <rcc rId="5529" sId="1" odxf="1" dxf="1">
    <nc r="J441">
      <v>3000</v>
    </nc>
    <odxf/>
    <ndxf/>
  </rcc>
  <rcc rId="5530" sId="1" odxf="1" dxf="1">
    <nc r="K441">
      <v>0</v>
    </nc>
    <odxf/>
    <ndxf/>
  </rcc>
  <rcc rId="5531" sId="1" odxf="1" dxf="1" numFmtId="19">
    <nc r="L441">
      <v>46244.791666666664</v>
    </nc>
    <odxf/>
    <ndxf/>
  </rcc>
  <rcc rId="5532" sId="1" odxf="1" dxf="1" numFmtId="19">
    <nc r="M441">
      <v>46245.840277777781</v>
    </nc>
    <odxf/>
    <ndxf/>
  </rcc>
  <rfmt sheetId="1" sqref="N441" start="0" length="0">
    <dxf/>
  </rfmt>
  <rfmt sheetId="1" sqref="O441" start="0" length="0">
    <dxf/>
  </rfmt>
  <rfmt sheetId="1" sqref="P441" start="0" length="0">
    <dxf/>
  </rfmt>
  <rfmt sheetId="1" sqref="Q441" start="0" length="0">
    <dxf/>
  </rfmt>
  <rfmt sheetId="1" sqref="R441" start="0" length="0">
    <dxf/>
  </rfmt>
  <rfmt sheetId="1" sqref="S441" start="0" length="0">
    <dxf/>
  </rfmt>
  <rfmt sheetId="1" sqref="T441" start="0" length="0">
    <dxf/>
  </rfmt>
  <rfmt sheetId="1" sqref="U441" start="0" length="0">
    <dxf/>
  </rfmt>
  <rfmt sheetId="1" sqref="V441" start="0" length="0">
    <dxf/>
  </rfmt>
  <rfmt sheetId="1" sqref="W441" start="0" length="0">
    <dxf/>
  </rfmt>
  <rfmt sheetId="1" sqref="X441" start="0" length="0">
    <dxf/>
  </rfmt>
  <rfmt sheetId="1" sqref="Y441" start="0" length="0">
    <dxf/>
  </rfmt>
  <rfmt sheetId="1" sqref="Z441" start="0" length="0">
    <dxf/>
  </rfmt>
  <rcc rId="5533" sId="1" odxf="1" dxf="1">
    <nc r="AA441" t="inlineStr">
      <is>
        <t>1</t>
      </is>
    </nc>
    <odxf/>
    <ndxf/>
  </rcc>
  <rcc rId="5534" sId="1" odxf="1" dxf="1">
    <nc r="AB441" t="inlineStr">
      <is>
        <t>0</t>
      </is>
    </nc>
    <odxf/>
    <ndxf/>
  </rcc>
  <rfmt sheetId="1" sqref="A441:XFD441" start="0" length="0">
    <dxf/>
  </rfmt>
  <rcc rId="5535" sId="1" odxf="1" dxf="1">
    <nc r="A442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536" sId="1" odxf="1" dxf="1">
    <nc r="B442" t="inlineStr">
      <is>
        <t>Camera Printing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537" sId="1" odxf="1" dxf="1">
    <nc r="C442">
      <v>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D442" start="0" length="0">
    <dxf>
      <border outline="0">
        <bottom style="medium">
          <color indexed="64"/>
        </bottom>
      </border>
    </dxf>
  </rfmt>
  <rcc rId="5538" sId="1" odxf="1" dxf="1">
    <nc r="E442" t="inlineStr">
      <is>
        <t>W1030095/1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539" sId="1" odxf="1" dxf="1">
    <nc r="F442" t="inlineStr">
      <is>
        <t>VER3/0142-1157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540" sId="1" odxf="1" dxf="1">
    <nc r="G442" t="inlineStr">
      <is>
        <t>Camera, Green OVM7695 Encapsulated QC Miller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541" sId="1" odxf="1" dxf="1">
    <nc r="H442">
      <v>25</v>
    </nc>
    <odxf>
      <border outline="0">
        <bottom/>
      </border>
    </odxf>
    <ndxf>
      <border outline="0">
        <bottom style="medium">
          <color indexed="64"/>
        </bottom>
      </border>
    </ndxf>
  </rcc>
  <rcc rId="5542" sId="1" odxf="1" dxf="1">
    <nc r="I442">
      <v>25</v>
    </nc>
    <odxf>
      <border outline="0">
        <bottom/>
      </border>
    </odxf>
    <ndxf>
      <border outline="0">
        <bottom style="medium">
          <color indexed="64"/>
        </bottom>
      </border>
    </ndxf>
  </rcc>
  <rcc rId="5543" sId="1" odxf="1" dxf="1">
    <nc r="J442">
      <v>3000</v>
    </nc>
    <odxf>
      <border outline="0">
        <bottom/>
      </border>
    </odxf>
    <ndxf>
      <border outline="0">
        <bottom style="medium">
          <color indexed="64"/>
        </bottom>
      </border>
    </ndxf>
  </rcc>
  <rcc rId="5544" sId="1" odxf="1" dxf="1">
    <nc r="K442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5545" sId="1" odxf="1" dxf="1" numFmtId="19">
    <nc r="L442">
      <v>46245.847222222219</v>
    </nc>
    <odxf>
      <border outline="0">
        <bottom/>
      </border>
    </odxf>
    <ndxf>
      <border outline="0">
        <bottom style="medium">
          <color indexed="64"/>
        </bottom>
      </border>
    </ndxf>
  </rcc>
  <rcc rId="5546" sId="1" odxf="1" dxf="1" numFmtId="19">
    <nc r="M442">
      <v>46246.895833333336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442" start="0" length="0">
    <dxf>
      <border outline="0">
        <bottom style="medium">
          <color indexed="64"/>
        </bottom>
      </border>
    </dxf>
  </rfmt>
  <rfmt sheetId="1" sqref="O442" start="0" length="0">
    <dxf>
      <border outline="0">
        <bottom style="medium">
          <color indexed="64"/>
        </bottom>
      </border>
    </dxf>
  </rfmt>
  <rfmt sheetId="1" sqref="P442" start="0" length="0">
    <dxf>
      <border outline="0">
        <bottom style="medium">
          <color indexed="64"/>
        </bottom>
      </border>
    </dxf>
  </rfmt>
  <rfmt sheetId="1" sqref="Q442" start="0" length="0">
    <dxf>
      <border outline="0">
        <bottom style="medium">
          <color indexed="64"/>
        </bottom>
      </border>
    </dxf>
  </rfmt>
  <rfmt sheetId="1" sqref="R442" start="0" length="0">
    <dxf>
      <border outline="0">
        <bottom style="medium">
          <color indexed="64"/>
        </bottom>
      </border>
    </dxf>
  </rfmt>
  <rfmt sheetId="1" sqref="S442" start="0" length="0">
    <dxf>
      <border outline="0">
        <bottom style="medium">
          <color indexed="64"/>
        </bottom>
      </border>
    </dxf>
  </rfmt>
  <rfmt sheetId="1" sqref="T442" start="0" length="0">
    <dxf>
      <border outline="0">
        <bottom style="medium">
          <color indexed="64"/>
        </bottom>
      </border>
    </dxf>
  </rfmt>
  <rfmt sheetId="1" sqref="U442" start="0" length="0">
    <dxf>
      <border outline="0">
        <bottom style="medium">
          <color indexed="64"/>
        </bottom>
      </border>
    </dxf>
  </rfmt>
  <rfmt sheetId="1" sqref="V442" start="0" length="0">
    <dxf>
      <border outline="0">
        <bottom style="medium">
          <color indexed="64"/>
        </bottom>
      </border>
    </dxf>
  </rfmt>
  <rfmt sheetId="1" sqref="W442" start="0" length="0">
    <dxf>
      <border outline="0">
        <bottom style="medium">
          <color indexed="64"/>
        </bottom>
      </border>
    </dxf>
  </rfmt>
  <rfmt sheetId="1" sqref="X442" start="0" length="0">
    <dxf>
      <border outline="0">
        <bottom style="medium">
          <color indexed="64"/>
        </bottom>
      </border>
    </dxf>
  </rfmt>
  <rfmt sheetId="1" sqref="Y442" start="0" length="0">
    <dxf>
      <border outline="0">
        <bottom style="medium">
          <color indexed="64"/>
        </bottom>
      </border>
    </dxf>
  </rfmt>
  <rfmt sheetId="1" sqref="Z442" start="0" length="0">
    <dxf>
      <border outline="0">
        <bottom style="medium">
          <color indexed="64"/>
        </bottom>
      </border>
    </dxf>
  </rfmt>
  <rcc rId="5547" sId="1" odxf="1" dxf="1">
    <nc r="AA442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548" sId="1" odxf="1" dxf="1">
    <nc r="AB442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442:XFD442" start="0" length="0">
    <dxf>
      <border outline="0">
        <bottom style="medium">
          <color indexed="64"/>
        </bottom>
      </border>
    </dxf>
  </rfmt>
  <rcc rId="5549" sId="1" odxf="1" dxf="1">
    <nc r="A443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50" sId="1" odxf="1" dxf="1">
    <nc r="B443" t="inlineStr">
      <is>
        <t>Lopro HDMI Mix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51" sId="1" odxf="1" dxf="1">
    <nc r="C443">
      <v>4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52" sId="1" odxf="1" dxf="1">
    <nc r="D443" t="inlineStr">
      <is>
        <t>16-014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53" sId="1" odxf="1" dxf="1">
    <nc r="E443" t="inlineStr">
      <is>
        <t>W1023873/1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54" sId="1" odxf="1" dxf="1">
    <nc r="F443" t="inlineStr">
      <is>
        <t>VER1/0270-0933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55" sId="1" odxf="1" dxf="1">
    <nc r="G443" t="inlineStr">
      <is>
        <t>Direct View MAC S4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56" sId="1" odxf="1" dxf="1">
    <nc r="H443">
      <v>100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57" sId="1" odxf="1" dxf="1">
    <nc r="I443">
      <v>25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58" sId="1" odxf="1" dxf="1">
    <nc r="J443">
      <v>300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59" sId="1" odxf="1" dxf="1">
    <nc r="K443">
      <v>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60" sId="1" odxf="1" dxf="1" numFmtId="19">
    <nc r="L443">
      <v>46209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61" sId="1" odxf="1" dxf="1" numFmtId="19">
    <nc r="M443">
      <v>46210.055555555555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N443" start="0" length="0">
    <dxf>
      <fill>
        <patternFill patternType="solid">
          <bgColor theme="8" tint="0.39997558519241921"/>
        </patternFill>
      </fill>
    </dxf>
  </rfmt>
  <rcc rId="5562" sId="1" odxf="1" dxf="1">
    <nc r="O443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P443" start="0" length="0">
    <dxf>
      <fill>
        <patternFill patternType="solid">
          <bgColor theme="8" tint="0.39997558519241921"/>
        </patternFill>
      </fill>
    </dxf>
  </rfmt>
  <rfmt sheetId="1" sqref="Q443" start="0" length="0">
    <dxf>
      <fill>
        <patternFill patternType="solid">
          <bgColor theme="8" tint="0.39997558519241921"/>
        </patternFill>
      </fill>
    </dxf>
  </rfmt>
  <rfmt sheetId="1" sqref="R443" start="0" length="0">
    <dxf>
      <fill>
        <patternFill patternType="solid">
          <bgColor theme="8" tint="0.39997558519241921"/>
        </patternFill>
      </fill>
    </dxf>
  </rfmt>
  <rfmt sheetId="1" sqref="S443" start="0" length="0">
    <dxf>
      <fill>
        <patternFill patternType="solid">
          <bgColor theme="8" tint="0.39997558519241921"/>
        </patternFill>
      </fill>
    </dxf>
  </rfmt>
  <rfmt sheetId="1" sqref="T443" start="0" length="0">
    <dxf>
      <fill>
        <patternFill patternType="solid">
          <bgColor theme="8" tint="0.39997558519241921"/>
        </patternFill>
      </fill>
    </dxf>
  </rfmt>
  <rfmt sheetId="1" sqref="U443" start="0" length="0">
    <dxf>
      <fill>
        <patternFill patternType="solid">
          <bgColor theme="8" tint="0.39997558519241921"/>
        </patternFill>
      </fill>
    </dxf>
  </rfmt>
  <rfmt sheetId="1" sqref="V443" start="0" length="0">
    <dxf>
      <fill>
        <patternFill patternType="solid">
          <bgColor theme="8" tint="0.39997558519241921"/>
        </patternFill>
      </fill>
    </dxf>
  </rfmt>
  <rfmt sheetId="1" sqref="W443" start="0" length="0">
    <dxf>
      <fill>
        <patternFill patternType="solid">
          <bgColor theme="8" tint="0.39997558519241921"/>
        </patternFill>
      </fill>
    </dxf>
  </rfmt>
  <rfmt sheetId="1" sqref="X443" start="0" length="0">
    <dxf>
      <fill>
        <patternFill patternType="solid">
          <bgColor theme="8" tint="0.39997558519241921"/>
        </patternFill>
      </fill>
    </dxf>
  </rfmt>
  <rfmt sheetId="1" sqref="Y443" start="0" length="0">
    <dxf>
      <fill>
        <patternFill patternType="solid">
          <bgColor theme="8" tint="0.39997558519241921"/>
        </patternFill>
      </fill>
    </dxf>
  </rfmt>
  <rfmt sheetId="1" sqref="Z443" start="0" length="0">
    <dxf>
      <fill>
        <patternFill patternType="solid">
          <bgColor theme="8" tint="0.39997558519241921"/>
        </patternFill>
      </fill>
    </dxf>
  </rfmt>
  <rcc rId="5563" sId="1" odxf="1" dxf="1">
    <nc r="AA443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564" sId="1" odxf="1" dxf="1">
    <nc r="AB443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A443:XFD443" start="0" length="0">
    <dxf>
      <fill>
        <patternFill patternType="solid">
          <bgColor theme="8" tint="0.39997558519241921"/>
        </patternFill>
      </fill>
    </dxf>
  </rfmt>
  <rcc rId="5565" sId="1" odxf="1" dxf="1">
    <nc r="A444" t="inlineStr">
      <is>
        <t>Zone 3</t>
      </is>
    </nc>
    <odxf/>
    <ndxf/>
  </rcc>
  <rcc rId="5566" sId="1" odxf="1" dxf="1">
    <nc r="B444" t="inlineStr">
      <is>
        <t>Lopro HDMI Mix</t>
      </is>
    </nc>
    <odxf/>
    <ndxf/>
  </rcc>
  <rcc rId="5567" sId="1" odxf="1" dxf="1">
    <nc r="C444">
      <v>4</v>
    </nc>
    <odxf/>
    <ndxf/>
  </rcc>
  <rfmt sheetId="1" sqref="D444" start="0" length="0">
    <dxf/>
  </rfmt>
  <rcc rId="5568" sId="1" odxf="1" dxf="1">
    <nc r="E444" t="inlineStr">
      <is>
        <t>W1029483/Cel</t>
      </is>
    </nc>
    <odxf/>
    <ndxf/>
  </rcc>
  <rcc rId="5569" sId="1" odxf="1" dxf="1">
    <nc r="F444" t="inlineStr">
      <is>
        <t>VER1/0270-1135</t>
      </is>
    </nc>
    <odxf/>
    <ndxf/>
  </rcc>
  <rcc rId="5570" sId="1" odxf="1" dxf="1">
    <nc r="G444" t="inlineStr">
      <is>
        <t>Spectrum QC Mac S2</t>
      </is>
    </nc>
    <odxf/>
    <ndxf/>
  </rcc>
  <rcc rId="5571" sId="1" odxf="1" dxf="1">
    <nc r="H444">
      <v>1.4</v>
    </nc>
    <odxf/>
    <ndxf/>
  </rcc>
  <rcc rId="5572" sId="1" odxf="1" dxf="1">
    <nc r="I444">
      <v>0.35</v>
    </nc>
    <odxf/>
    <ndxf/>
  </rcc>
  <rcc rId="5573" sId="1" odxf="1" dxf="1">
    <nc r="J444">
      <v>4.2</v>
    </nc>
    <odxf/>
    <ndxf/>
  </rcc>
  <rcc rId="5574" sId="1" odxf="1" dxf="1">
    <nc r="K444">
      <v>0</v>
    </nc>
    <odxf/>
    <ndxf/>
  </rcc>
  <rcc rId="5575" sId="1" odxf="1" dxf="1" numFmtId="19">
    <nc r="L444">
      <v>46208.958333333336</v>
    </nc>
    <odxf/>
    <ndxf/>
  </rcc>
  <rcc rId="5576" sId="1" odxf="1" dxf="1" numFmtId="19">
    <nc r="M444">
      <v>46208.993055555555</v>
    </nc>
    <odxf/>
    <ndxf/>
  </rcc>
  <rfmt sheetId="1" sqref="N444" start="0" length="0">
    <dxf>
      <fill>
        <patternFill patternType="solid">
          <bgColor rgb="FF00B050"/>
        </patternFill>
      </fill>
    </dxf>
  </rfmt>
  <rfmt sheetId="1" sqref="O444" start="0" length="0">
    <dxf>
      <fill>
        <patternFill patternType="solid">
          <bgColor rgb="FF00B050"/>
        </patternFill>
      </fill>
    </dxf>
  </rfmt>
  <rfmt sheetId="1" sqref="P444" start="0" length="0">
    <dxf>
      <fill>
        <patternFill patternType="solid">
          <bgColor rgb="FF00B050"/>
        </patternFill>
      </fill>
    </dxf>
  </rfmt>
  <rfmt sheetId="1" sqref="Q444" start="0" length="0">
    <dxf>
      <fill>
        <patternFill patternType="solid">
          <bgColor rgb="FF00B050"/>
        </patternFill>
      </fill>
    </dxf>
  </rfmt>
  <rfmt sheetId="1" sqref="R444" start="0" length="0">
    <dxf>
      <fill>
        <patternFill patternType="solid">
          <bgColor rgb="FF00B050"/>
        </patternFill>
      </fill>
    </dxf>
  </rfmt>
  <rfmt sheetId="1" sqref="S444" start="0" length="0">
    <dxf>
      <fill>
        <patternFill patternType="solid">
          <bgColor rgb="FF00B050"/>
        </patternFill>
      </fill>
    </dxf>
  </rfmt>
  <rfmt sheetId="1" sqref="T444" start="0" length="0">
    <dxf/>
  </rfmt>
  <rfmt sheetId="1" sqref="U444" start="0" length="0">
    <dxf/>
  </rfmt>
  <rfmt sheetId="1" sqref="V444" start="0" length="0">
    <dxf/>
  </rfmt>
  <rfmt sheetId="1" sqref="W444" start="0" length="0">
    <dxf/>
  </rfmt>
  <rfmt sheetId="1" sqref="X444" start="0" length="0">
    <dxf/>
  </rfmt>
  <rfmt sheetId="1" sqref="Y444" start="0" length="0">
    <dxf/>
  </rfmt>
  <rfmt sheetId="1" sqref="Z444" start="0" length="0">
    <dxf/>
  </rfmt>
  <rcc rId="5577" sId="1" odxf="1" dxf="1">
    <nc r="AA444" t="inlineStr">
      <is>
        <t>Cel</t>
      </is>
    </nc>
    <odxf/>
    <ndxf/>
  </rcc>
  <rcc rId="5578" sId="1" odxf="1" dxf="1">
    <nc r="AB444" t="inlineStr">
      <is>
        <t>0</t>
      </is>
    </nc>
    <odxf/>
    <ndxf/>
  </rcc>
  <rfmt sheetId="1" sqref="A444:XFD444" start="0" length="0">
    <dxf/>
  </rfmt>
  <rcc rId="5579" sId="1" odxf="1" dxf="1">
    <nc r="A445" t="inlineStr">
      <is>
        <t>Zone 3</t>
      </is>
    </nc>
    <odxf/>
    <ndxf/>
  </rcc>
  <rcc rId="5580" sId="1" odxf="1" dxf="1">
    <nc r="B445" t="inlineStr">
      <is>
        <t>Lopro HDMI Mix</t>
      </is>
    </nc>
    <odxf/>
    <ndxf/>
  </rcc>
  <rcc rId="5581" sId="1" odxf="1" dxf="1">
    <nc r="C445">
      <v>4</v>
    </nc>
    <odxf/>
    <ndxf/>
  </rcc>
  <rcc rId="5582" sId="1" odxf="1" dxf="1">
    <nc r="D445" t="inlineStr">
      <is>
        <t>16-014</t>
      </is>
    </nc>
    <odxf/>
    <ndxf/>
  </rcc>
  <rcc rId="5583" sId="1" odxf="1" dxf="1">
    <nc r="E445" t="inlineStr">
      <is>
        <t>W1029947/1</t>
      </is>
    </nc>
    <odxf/>
    <ndxf/>
  </rcc>
  <rcc rId="5584" sId="1" odxf="1" dxf="1">
    <nc r="F445" t="inlineStr">
      <is>
        <t>VER1/0270-1081</t>
      </is>
    </nc>
    <odxf/>
    <ndxf/>
  </rcc>
  <rcc rId="5585" sId="1" odxf="1" dxf="1">
    <nc r="G445" t="inlineStr">
      <is>
        <t>Non Sterile DVM S4</t>
      </is>
    </nc>
    <odxf/>
    <ndxf/>
  </rcc>
  <rcc rId="5586" sId="1" odxf="1" dxf="1">
    <nc r="H445">
      <v>100</v>
    </nc>
    <odxf/>
    <ndxf/>
  </rcc>
  <rcc rId="5587" sId="1" odxf="1" dxf="1">
    <nc r="I445">
      <v>25</v>
    </nc>
    <odxf/>
    <ndxf/>
  </rcc>
  <rcc rId="5588" sId="1" odxf="1" dxf="1">
    <nc r="J445">
      <v>300</v>
    </nc>
    <odxf/>
    <ndxf/>
  </rcc>
  <rcc rId="5589" sId="1" odxf="1" dxf="1">
    <nc r="K445">
      <v>0</v>
    </nc>
    <odxf/>
    <ndxf/>
  </rcc>
  <rcc rId="5590" sId="1" odxf="1" dxf="1" numFmtId="19">
    <nc r="L445">
      <v>46210.0625</v>
    </nc>
    <odxf/>
    <ndxf/>
  </rcc>
  <rcc rId="5591" sId="1" odxf="1" dxf="1" numFmtId="19">
    <nc r="M445">
      <v>46211.118055555555</v>
    </nc>
    <odxf/>
    <ndxf/>
  </rcc>
  <rfmt sheetId="1" sqref="N445" start="0" length="0">
    <dxf/>
  </rfmt>
  <rfmt sheetId="1" sqref="O445" start="0" length="0">
    <dxf/>
  </rfmt>
  <rfmt sheetId="1" sqref="P445" start="0" length="0">
    <dxf/>
  </rfmt>
  <rfmt sheetId="1" sqref="Q445" start="0" length="0">
    <dxf/>
  </rfmt>
  <rfmt sheetId="1" sqref="R445" start="0" length="0">
    <dxf/>
  </rfmt>
  <rfmt sheetId="1" sqref="S445" start="0" length="0">
    <dxf/>
  </rfmt>
  <rfmt sheetId="1" sqref="T445" start="0" length="0">
    <dxf/>
  </rfmt>
  <rfmt sheetId="1" sqref="U445" start="0" length="0">
    <dxf/>
  </rfmt>
  <rfmt sheetId="1" sqref="V445" start="0" length="0">
    <dxf/>
  </rfmt>
  <rfmt sheetId="1" sqref="W445" start="0" length="0">
    <dxf/>
  </rfmt>
  <rfmt sheetId="1" sqref="X445" start="0" length="0">
    <dxf/>
  </rfmt>
  <rfmt sheetId="1" sqref="Y445" start="0" length="0">
    <dxf/>
  </rfmt>
  <rfmt sheetId="1" sqref="Z445" start="0" length="0">
    <dxf/>
  </rfmt>
  <rcc rId="5592" sId="1" odxf="1" dxf="1">
    <nc r="AA445" t="inlineStr">
      <is>
        <t>1</t>
      </is>
    </nc>
    <odxf/>
    <ndxf/>
  </rcc>
  <rcc rId="5593" sId="1" odxf="1" dxf="1">
    <nc r="AB445" t="inlineStr">
      <is>
        <t>0</t>
      </is>
    </nc>
    <odxf/>
    <ndxf/>
  </rcc>
  <rfmt sheetId="1" sqref="A445:XFD445" start="0" length="0">
    <dxf/>
  </rfmt>
  <rfmt sheetId="1" sqref="A446" start="0" length="0">
    <dxf>
      <fill>
        <patternFill patternType="solid">
          <bgColor theme="0" tint="-4.9989318521683403E-2"/>
        </patternFill>
      </fill>
    </dxf>
  </rfmt>
  <rfmt sheetId="1" sqref="B446" start="0" length="0">
    <dxf>
      <fill>
        <patternFill patternType="solid">
          <bgColor theme="0" tint="-4.9989318521683403E-2"/>
        </patternFill>
      </fill>
    </dxf>
  </rfmt>
  <rfmt sheetId="1" sqref="C446" start="0" length="0">
    <dxf>
      <fill>
        <patternFill patternType="solid">
          <bgColor theme="0" tint="-4.9989318521683403E-2"/>
        </patternFill>
      </fill>
    </dxf>
  </rfmt>
  <rfmt sheetId="1" sqref="D446" start="0" length="0">
    <dxf>
      <fill>
        <patternFill patternType="solid">
          <bgColor theme="0" tint="-4.9989318521683403E-2"/>
        </patternFill>
      </fill>
    </dxf>
  </rfmt>
  <rfmt sheetId="1" sqref="E446" start="0" length="0">
    <dxf>
      <fill>
        <patternFill patternType="solid">
          <bgColor theme="0" tint="-4.9989318521683403E-2"/>
        </patternFill>
      </fill>
    </dxf>
  </rfmt>
  <rfmt sheetId="1" sqref="F446" start="0" length="0">
    <dxf>
      <fill>
        <patternFill patternType="solid">
          <bgColor theme="0" tint="-4.9989318521683403E-2"/>
        </patternFill>
      </fill>
    </dxf>
  </rfmt>
  <rfmt sheetId="1" sqref="G446" start="0" length="0">
    <dxf>
      <fill>
        <patternFill patternType="solid">
          <bgColor theme="0" tint="-4.9989318521683403E-2"/>
        </patternFill>
      </fill>
    </dxf>
  </rfmt>
  <rfmt sheetId="1" sqref="H446" start="0" length="0">
    <dxf>
      <fill>
        <patternFill patternType="solid">
          <bgColor theme="0" tint="-4.9989318521683403E-2"/>
        </patternFill>
      </fill>
    </dxf>
  </rfmt>
  <rfmt sheetId="1" sqref="I446" start="0" length="0">
    <dxf>
      <fill>
        <patternFill patternType="solid">
          <bgColor theme="0" tint="-4.9989318521683403E-2"/>
        </patternFill>
      </fill>
    </dxf>
  </rfmt>
  <rfmt sheetId="1" sqref="J446" start="0" length="0">
    <dxf>
      <fill>
        <patternFill patternType="solid">
          <bgColor theme="0" tint="-4.9989318521683403E-2"/>
        </patternFill>
      </fill>
    </dxf>
  </rfmt>
  <rfmt sheetId="1" sqref="K446" start="0" length="0">
    <dxf>
      <fill>
        <patternFill patternType="solid">
          <bgColor theme="0" tint="-4.9989318521683403E-2"/>
        </patternFill>
      </fill>
    </dxf>
  </rfmt>
  <rfmt sheetId="1" sqref="L446" start="0" length="0">
    <dxf>
      <fill>
        <patternFill patternType="solid">
          <bgColor theme="0" tint="-4.9989318521683403E-2"/>
        </patternFill>
      </fill>
    </dxf>
  </rfmt>
  <rfmt sheetId="1" sqref="M446" start="0" length="0">
    <dxf>
      <fill>
        <patternFill patternType="solid">
          <bgColor theme="0" tint="-4.9989318521683403E-2"/>
        </patternFill>
      </fill>
    </dxf>
  </rfmt>
  <rfmt sheetId="1" sqref="N446" start="0" length="0">
    <dxf>
      <fill>
        <patternFill patternType="solid">
          <bgColor theme="0" tint="-4.9989318521683403E-2"/>
        </patternFill>
      </fill>
    </dxf>
  </rfmt>
  <rfmt sheetId="1" sqref="O446" start="0" length="0">
    <dxf>
      <fill>
        <patternFill patternType="solid">
          <bgColor theme="0" tint="-4.9989318521683403E-2"/>
        </patternFill>
      </fill>
    </dxf>
  </rfmt>
  <rfmt sheetId="1" sqref="P446" start="0" length="0">
    <dxf>
      <fill>
        <patternFill patternType="solid">
          <bgColor theme="0" tint="-4.9989318521683403E-2"/>
        </patternFill>
      </fill>
    </dxf>
  </rfmt>
  <rfmt sheetId="1" sqref="Q446" start="0" length="0">
    <dxf>
      <fill>
        <patternFill patternType="solid">
          <bgColor theme="0" tint="-4.9989318521683403E-2"/>
        </patternFill>
      </fill>
    </dxf>
  </rfmt>
  <rfmt sheetId="1" sqref="R446" start="0" length="0">
    <dxf>
      <fill>
        <patternFill patternType="solid">
          <bgColor theme="0" tint="-4.9989318521683403E-2"/>
        </patternFill>
      </fill>
    </dxf>
  </rfmt>
  <rfmt sheetId="1" sqref="S446" start="0" length="0">
    <dxf>
      <fill>
        <patternFill patternType="solid">
          <bgColor theme="0" tint="-4.9989318521683403E-2"/>
        </patternFill>
      </fill>
    </dxf>
  </rfmt>
  <rfmt sheetId="1" sqref="T446" start="0" length="0">
    <dxf>
      <fill>
        <patternFill patternType="solid">
          <bgColor theme="0" tint="-4.9989318521683403E-2"/>
        </patternFill>
      </fill>
    </dxf>
  </rfmt>
  <rfmt sheetId="1" sqref="U446" start="0" length="0">
    <dxf>
      <fill>
        <patternFill patternType="solid">
          <bgColor theme="0" tint="-4.9989318521683403E-2"/>
        </patternFill>
      </fill>
    </dxf>
  </rfmt>
  <rfmt sheetId="1" sqref="V446" start="0" length="0">
    <dxf>
      <fill>
        <patternFill patternType="solid">
          <bgColor theme="0" tint="-4.9989318521683403E-2"/>
        </patternFill>
      </fill>
    </dxf>
  </rfmt>
  <rfmt sheetId="1" sqref="W446" start="0" length="0">
    <dxf>
      <fill>
        <patternFill patternType="solid">
          <bgColor theme="0" tint="-4.9989318521683403E-2"/>
        </patternFill>
      </fill>
    </dxf>
  </rfmt>
  <rfmt sheetId="1" sqref="X446" start="0" length="0">
    <dxf>
      <fill>
        <patternFill patternType="solid">
          <bgColor theme="0" tint="-4.9989318521683403E-2"/>
        </patternFill>
      </fill>
    </dxf>
  </rfmt>
  <rfmt sheetId="1" sqref="Y446" start="0" length="0">
    <dxf>
      <fill>
        <patternFill patternType="solid">
          <bgColor theme="0" tint="-4.9989318521683403E-2"/>
        </patternFill>
      </fill>
    </dxf>
  </rfmt>
  <rfmt sheetId="1" sqref="Z446" start="0" length="0">
    <dxf>
      <fill>
        <patternFill patternType="solid">
          <bgColor theme="0" tint="-4.9989318521683403E-2"/>
        </patternFill>
      </fill>
    </dxf>
  </rfmt>
  <rfmt sheetId="1" sqref="AA446" start="0" length="0">
    <dxf>
      <fill>
        <patternFill patternType="solid">
          <bgColor theme="0" tint="-4.9989318521683403E-2"/>
        </patternFill>
      </fill>
    </dxf>
  </rfmt>
  <rfmt sheetId="1" sqref="AB446" start="0" length="0">
    <dxf>
      <fill>
        <patternFill patternType="solid">
          <bgColor theme="0" tint="-4.9989318521683403E-2"/>
        </patternFill>
      </fill>
    </dxf>
  </rfmt>
  <rfmt sheetId="1" sqref="A446:XFD446" start="0" length="0">
    <dxf>
      <fill>
        <patternFill patternType="solid">
          <bgColor theme="0" tint="-4.9989318521683403E-2"/>
        </patternFill>
      </fill>
    </dxf>
  </rfmt>
  <rcc rId="5594" sId="1" odxf="1" dxf="1">
    <nc r="A447" t="inlineStr">
      <is>
        <t>Zone 3</t>
      </is>
    </nc>
    <odxf/>
    <ndxf/>
  </rcc>
  <rcc rId="5595" sId="1" odxf="1" dxf="1">
    <nc r="B447" t="inlineStr">
      <is>
        <t>Lopro HDMI Mix</t>
      </is>
    </nc>
    <odxf/>
    <ndxf/>
  </rcc>
  <rcc rId="5596" sId="1" odxf="1" dxf="1">
    <nc r="C447">
      <v>4</v>
    </nc>
    <odxf/>
    <ndxf/>
  </rcc>
  <rcc rId="5597" sId="1" odxf="1" dxf="1">
    <nc r="D447" t="inlineStr">
      <is>
        <t>15-004</t>
      </is>
    </nc>
    <odxf/>
    <ndxf/>
  </rcc>
  <rcc rId="5598" sId="1" odxf="1" dxf="1">
    <nc r="E447" t="inlineStr">
      <is>
        <t>W1024675/1</t>
      </is>
    </nc>
    <odxf/>
    <ndxf/>
  </rcc>
  <rcc rId="5599" sId="1" odxf="1" dxf="1">
    <nc r="F447" t="inlineStr">
      <is>
        <t>VER1/0270-1076</t>
      </is>
    </nc>
    <odxf/>
    <ndxf/>
  </rcc>
  <rcc rId="5600" sId="1" odxf="1" dxf="1">
    <nc r="G447" t="inlineStr">
      <is>
        <t>Non Sterile LoPro S2</t>
      </is>
    </nc>
    <odxf/>
    <ndxf/>
  </rcc>
  <rcc rId="5601" sId="1" odxf="1" dxf="1">
    <nc r="H447">
      <v>50</v>
    </nc>
    <odxf/>
    <ndxf/>
  </rcc>
  <rcc rId="5602" sId="1" odxf="1" dxf="1">
    <nc r="I447">
      <v>12.5</v>
    </nc>
    <odxf/>
    <ndxf/>
  </rcc>
  <rcc rId="5603" sId="1" odxf="1" dxf="1">
    <nc r="J447">
      <v>150</v>
    </nc>
    <odxf/>
    <ndxf/>
  </rcc>
  <rcc rId="5604" sId="1" odxf="1" dxf="1">
    <nc r="K447">
      <v>0</v>
    </nc>
    <odxf/>
    <ndxf/>
  </rcc>
  <rcc rId="5605" sId="1" odxf="1" dxf="1" numFmtId="19">
    <nc r="L447">
      <v>46216</v>
    </nc>
    <odxf/>
    <ndxf/>
  </rcc>
  <rcc rId="5606" sId="1" odxf="1" dxf="1" numFmtId="19">
    <nc r="M447">
      <v>46216.534722222219</v>
    </nc>
    <odxf/>
    <ndxf/>
  </rcc>
  <rfmt sheetId="1" sqref="N447" start="0" length="0">
    <dxf/>
  </rfmt>
  <rfmt sheetId="1" sqref="O447" start="0" length="0">
    <dxf/>
  </rfmt>
  <rfmt sheetId="1" sqref="P447" start="0" length="0">
    <dxf/>
  </rfmt>
  <rfmt sheetId="1" sqref="Q447" start="0" length="0">
    <dxf/>
  </rfmt>
  <rfmt sheetId="1" sqref="R447" start="0" length="0">
    <dxf/>
  </rfmt>
  <rfmt sheetId="1" sqref="S447" start="0" length="0">
    <dxf/>
  </rfmt>
  <rfmt sheetId="1" sqref="T447" start="0" length="0">
    <dxf/>
  </rfmt>
  <rfmt sheetId="1" sqref="U447" start="0" length="0">
    <dxf/>
  </rfmt>
  <rfmt sheetId="1" sqref="V447" start="0" length="0">
    <dxf/>
  </rfmt>
  <rfmt sheetId="1" sqref="W447" start="0" length="0">
    <dxf/>
  </rfmt>
  <rfmt sheetId="1" sqref="X447" start="0" length="0">
    <dxf/>
  </rfmt>
  <rfmt sheetId="1" sqref="Y447" start="0" length="0">
    <dxf/>
  </rfmt>
  <rfmt sheetId="1" sqref="Z447" start="0" length="0">
    <dxf/>
  </rfmt>
  <rcc rId="5607" sId="1" odxf="1" dxf="1">
    <nc r="AA447" t="inlineStr">
      <is>
        <t>1</t>
      </is>
    </nc>
    <odxf/>
    <ndxf/>
  </rcc>
  <rcc rId="5608" sId="1" odxf="1" dxf="1">
    <nc r="AB447" t="inlineStr">
      <is>
        <t>0</t>
      </is>
    </nc>
    <odxf/>
    <ndxf/>
  </rcc>
  <rfmt sheetId="1" sqref="A447:XFD447" start="0" length="0">
    <dxf/>
  </rfmt>
  <rcc rId="5609" sId="1" odxf="1" dxf="1">
    <nc r="A448" t="inlineStr">
      <is>
        <t>Zone 3</t>
      </is>
    </nc>
    <odxf/>
    <ndxf/>
  </rcc>
  <rcc rId="5610" sId="1" odxf="1" dxf="1">
    <nc r="B448" t="inlineStr">
      <is>
        <t>Lopro HDMI Mix</t>
      </is>
    </nc>
    <odxf/>
    <ndxf/>
  </rcc>
  <rcc rId="5611" sId="1" odxf="1" dxf="1">
    <nc r="C448">
      <v>4</v>
    </nc>
    <odxf/>
    <ndxf/>
  </rcc>
  <rcc rId="5612" sId="1" odxf="1" dxf="1">
    <nc r="D448" t="inlineStr">
      <is>
        <t>18-004</t>
      </is>
    </nc>
    <odxf/>
    <ndxf/>
  </rcc>
  <rcc rId="5613" sId="1" odxf="1" dxf="1">
    <nc r="E448" t="inlineStr">
      <is>
        <t>W1027239/1</t>
      </is>
    </nc>
    <odxf/>
    <ndxf/>
  </rcc>
  <rcc rId="5614" sId="1" odxf="1" dxf="1">
    <nc r="F448" t="inlineStr">
      <is>
        <t>VER1/0270-0962</t>
      </is>
    </nc>
    <odxf/>
    <ndxf/>
  </rcc>
  <rcc rId="5615" sId="1" odxf="1" dxf="1">
    <nc r="G448" t="inlineStr">
      <is>
        <t>LoPro S2.5</t>
      </is>
    </nc>
    <odxf/>
    <ndxf/>
  </rcc>
  <rcc rId="5616" sId="1" odxf="1" dxf="1">
    <nc r="H448">
      <v>100</v>
    </nc>
    <odxf/>
    <ndxf/>
  </rcc>
  <rcc rId="5617" sId="1" odxf="1" dxf="1">
    <nc r="I448">
      <v>25</v>
    </nc>
    <odxf/>
    <ndxf/>
  </rcc>
  <rcc rId="5618" sId="1" odxf="1" dxf="1">
    <nc r="J448">
      <v>300</v>
    </nc>
    <odxf/>
    <ndxf/>
  </rcc>
  <rcc rId="5619" sId="1" odxf="1" dxf="1">
    <nc r="K448">
      <v>0</v>
    </nc>
    <odxf/>
    <ndxf/>
  </rcc>
  <rcc rId="5620" sId="1" odxf="1" dxf="1" numFmtId="19">
    <nc r="L448">
      <v>46216.541666666664</v>
    </nc>
    <odxf/>
    <ndxf/>
  </rcc>
  <rcc rId="5621" sId="1" odxf="1" dxf="1" numFmtId="19">
    <nc r="M448">
      <v>46217.597222222219</v>
    </nc>
    <odxf/>
    <ndxf/>
  </rcc>
  <rfmt sheetId="1" sqref="N448" start="0" length="0">
    <dxf/>
  </rfmt>
  <rfmt sheetId="1" sqref="O448" start="0" length="0">
    <dxf/>
  </rfmt>
  <rfmt sheetId="1" sqref="P448" start="0" length="0">
    <dxf/>
  </rfmt>
  <rfmt sheetId="1" sqref="Q448" start="0" length="0">
    <dxf/>
  </rfmt>
  <rfmt sheetId="1" sqref="R448" start="0" length="0">
    <dxf/>
  </rfmt>
  <rfmt sheetId="1" sqref="S448" start="0" length="0">
    <dxf/>
  </rfmt>
  <rfmt sheetId="1" sqref="T448" start="0" length="0">
    <dxf/>
  </rfmt>
  <rfmt sheetId="1" sqref="U448" start="0" length="0">
    <dxf/>
  </rfmt>
  <rfmt sheetId="1" sqref="V448" start="0" length="0">
    <dxf/>
  </rfmt>
  <rfmt sheetId="1" sqref="W448" start="0" length="0">
    <dxf/>
  </rfmt>
  <rfmt sheetId="1" sqref="X448" start="0" length="0">
    <dxf/>
  </rfmt>
  <rfmt sheetId="1" sqref="Y448" start="0" length="0">
    <dxf/>
  </rfmt>
  <rfmt sheetId="1" sqref="Z448" start="0" length="0">
    <dxf/>
  </rfmt>
  <rcc rId="5622" sId="1" odxf="1" dxf="1">
    <nc r="AA448" t="inlineStr">
      <is>
        <t>1</t>
      </is>
    </nc>
    <odxf/>
    <ndxf/>
  </rcc>
  <rcc rId="5623" sId="1" odxf="1" dxf="1">
    <nc r="AB448" t="inlineStr">
      <is>
        <t>0</t>
      </is>
    </nc>
    <odxf/>
    <ndxf/>
  </rcc>
  <rfmt sheetId="1" sqref="A448:XFD448" start="0" length="0">
    <dxf/>
  </rfmt>
  <rcc rId="5624" sId="1" odxf="1" dxf="1">
    <nc r="A449" t="inlineStr">
      <is>
        <t>Zone 3</t>
      </is>
    </nc>
    <odxf/>
    <ndxf/>
  </rcc>
  <rcc rId="5625" sId="1" odxf="1" dxf="1">
    <nc r="B449" t="inlineStr">
      <is>
        <t>Lopro HDMI Mix</t>
      </is>
    </nc>
    <odxf/>
    <ndxf/>
  </rcc>
  <rcc rId="5626" sId="1" odxf="1" dxf="1">
    <nc r="C449">
      <v>4</v>
    </nc>
    <odxf/>
    <ndxf/>
  </rcc>
  <rfmt sheetId="1" sqref="D449" start="0" length="0">
    <dxf/>
  </rfmt>
  <rcc rId="5627" sId="1" odxf="1" dxf="1">
    <nc r="E449" t="inlineStr">
      <is>
        <t>W1027991/1</t>
      </is>
    </nc>
    <odxf/>
    <ndxf/>
  </rcc>
  <rcc rId="5628" sId="1" odxf="1" dxf="1">
    <nc r="F449" t="inlineStr">
      <is>
        <t>VER1/0270-0967</t>
      </is>
    </nc>
    <odxf/>
    <ndxf/>
  </rcc>
  <rcc rId="5629" sId="1" odxf="1" dxf="1">
    <nc r="G449" t="inlineStr">
      <is>
        <t>Miller 1</t>
      </is>
    </nc>
    <odxf/>
    <ndxf/>
  </rcc>
  <rcc rId="5630" sId="1" odxf="1" dxf="1">
    <nc r="H449">
      <v>100</v>
    </nc>
    <odxf/>
    <ndxf/>
  </rcc>
  <rcc rId="5631" sId="1" odxf="1" dxf="1">
    <nc r="I449">
      <v>25</v>
    </nc>
    <odxf/>
    <ndxf/>
  </rcc>
  <rcc rId="5632" sId="1" odxf="1" dxf="1">
    <nc r="J449">
      <v>300</v>
    </nc>
    <odxf/>
    <ndxf/>
  </rcc>
  <rcc rId="5633" sId="1" odxf="1" dxf="1">
    <nc r="K449">
      <v>0</v>
    </nc>
    <odxf/>
    <ndxf/>
  </rcc>
  <rcc rId="5634" sId="1" odxf="1" dxf="1" numFmtId="19">
    <nc r="L449">
      <v>46217.604166666664</v>
    </nc>
    <odxf/>
    <ndxf/>
  </rcc>
  <rcc rId="5635" sId="1" odxf="1" dxf="1" numFmtId="19">
    <nc r="M449">
      <v>46218.659722222219</v>
    </nc>
    <odxf/>
    <ndxf/>
  </rcc>
  <rfmt sheetId="1" sqref="N449" start="0" length="0">
    <dxf/>
  </rfmt>
  <rfmt sheetId="1" sqref="O449" start="0" length="0">
    <dxf/>
  </rfmt>
  <rfmt sheetId="1" sqref="P449" start="0" length="0">
    <dxf/>
  </rfmt>
  <rfmt sheetId="1" sqref="Q449" start="0" length="0">
    <dxf/>
  </rfmt>
  <rfmt sheetId="1" sqref="R449" start="0" length="0">
    <dxf/>
  </rfmt>
  <rfmt sheetId="1" sqref="S449" start="0" length="0">
    <dxf/>
  </rfmt>
  <rfmt sheetId="1" sqref="T449" start="0" length="0">
    <dxf/>
  </rfmt>
  <rfmt sheetId="1" sqref="U449" start="0" length="0">
    <dxf/>
  </rfmt>
  <rfmt sheetId="1" sqref="V449" start="0" length="0">
    <dxf/>
  </rfmt>
  <rfmt sheetId="1" sqref="W449" start="0" length="0">
    <dxf/>
  </rfmt>
  <rfmt sheetId="1" sqref="X449" start="0" length="0">
    <dxf/>
  </rfmt>
  <rfmt sheetId="1" sqref="Y449" start="0" length="0">
    <dxf/>
  </rfmt>
  <rfmt sheetId="1" sqref="Z449" start="0" length="0">
    <dxf/>
  </rfmt>
  <rcc rId="5636" sId="1" odxf="1" dxf="1">
    <nc r="AA449" t="inlineStr">
      <is>
        <t>1</t>
      </is>
    </nc>
    <odxf/>
    <ndxf/>
  </rcc>
  <rcc rId="5637" sId="1" odxf="1" dxf="1">
    <nc r="AB449" t="inlineStr">
      <is>
        <t>0</t>
      </is>
    </nc>
    <odxf/>
    <ndxf/>
  </rcc>
  <rfmt sheetId="1" sqref="A449:XFD449" start="0" length="0">
    <dxf/>
  </rfmt>
  <rfmt sheetId="1" sqref="A450" start="0" length="0">
    <dxf>
      <fill>
        <patternFill patternType="solid">
          <bgColor theme="0" tint="-4.9989318521683403E-2"/>
        </patternFill>
      </fill>
    </dxf>
  </rfmt>
  <rfmt sheetId="1" sqref="B450" start="0" length="0">
    <dxf>
      <fill>
        <patternFill patternType="solid">
          <bgColor theme="0" tint="-4.9989318521683403E-2"/>
        </patternFill>
      </fill>
    </dxf>
  </rfmt>
  <rfmt sheetId="1" sqref="C450" start="0" length="0">
    <dxf>
      <fill>
        <patternFill patternType="solid">
          <bgColor theme="0" tint="-4.9989318521683403E-2"/>
        </patternFill>
      </fill>
    </dxf>
  </rfmt>
  <rfmt sheetId="1" sqref="D450" start="0" length="0">
    <dxf>
      <fill>
        <patternFill patternType="solid">
          <bgColor theme="0" tint="-4.9989318521683403E-2"/>
        </patternFill>
      </fill>
    </dxf>
  </rfmt>
  <rfmt sheetId="1" sqref="E450" start="0" length="0">
    <dxf>
      <fill>
        <patternFill patternType="solid">
          <bgColor theme="0" tint="-4.9989318521683403E-2"/>
        </patternFill>
      </fill>
    </dxf>
  </rfmt>
  <rfmt sheetId="1" sqref="F450" start="0" length="0">
    <dxf>
      <fill>
        <patternFill patternType="solid">
          <bgColor theme="0" tint="-4.9989318521683403E-2"/>
        </patternFill>
      </fill>
    </dxf>
  </rfmt>
  <rfmt sheetId="1" sqref="G450" start="0" length="0">
    <dxf>
      <fill>
        <patternFill patternType="solid">
          <bgColor theme="0" tint="-4.9989318521683403E-2"/>
        </patternFill>
      </fill>
    </dxf>
  </rfmt>
  <rfmt sheetId="1" sqref="H450" start="0" length="0">
    <dxf>
      <fill>
        <patternFill patternType="solid">
          <bgColor theme="0" tint="-4.9989318521683403E-2"/>
        </patternFill>
      </fill>
    </dxf>
  </rfmt>
  <rfmt sheetId="1" sqref="I450" start="0" length="0">
    <dxf>
      <fill>
        <patternFill patternType="solid">
          <bgColor theme="0" tint="-4.9989318521683403E-2"/>
        </patternFill>
      </fill>
    </dxf>
  </rfmt>
  <rfmt sheetId="1" sqref="J450" start="0" length="0">
    <dxf>
      <fill>
        <patternFill patternType="solid">
          <bgColor theme="0" tint="-4.9989318521683403E-2"/>
        </patternFill>
      </fill>
    </dxf>
  </rfmt>
  <rfmt sheetId="1" sqref="K450" start="0" length="0">
    <dxf>
      <fill>
        <patternFill patternType="solid">
          <bgColor theme="0" tint="-4.9989318521683403E-2"/>
        </patternFill>
      </fill>
    </dxf>
  </rfmt>
  <rfmt sheetId="1" sqref="L450" start="0" length="0">
    <dxf>
      <fill>
        <patternFill patternType="solid">
          <bgColor theme="0" tint="-4.9989318521683403E-2"/>
        </patternFill>
      </fill>
    </dxf>
  </rfmt>
  <rfmt sheetId="1" sqref="M450" start="0" length="0">
    <dxf>
      <fill>
        <patternFill patternType="solid">
          <bgColor theme="0" tint="-4.9989318521683403E-2"/>
        </patternFill>
      </fill>
    </dxf>
  </rfmt>
  <rfmt sheetId="1" sqref="N450" start="0" length="0">
    <dxf>
      <fill>
        <patternFill patternType="solid">
          <bgColor theme="0" tint="-4.9989318521683403E-2"/>
        </patternFill>
      </fill>
    </dxf>
  </rfmt>
  <rfmt sheetId="1" sqref="O450" start="0" length="0">
    <dxf>
      <fill>
        <patternFill patternType="solid">
          <bgColor theme="0" tint="-4.9989318521683403E-2"/>
        </patternFill>
      </fill>
    </dxf>
  </rfmt>
  <rfmt sheetId="1" sqref="P450" start="0" length="0">
    <dxf>
      <fill>
        <patternFill patternType="solid">
          <bgColor theme="0" tint="-4.9989318521683403E-2"/>
        </patternFill>
      </fill>
    </dxf>
  </rfmt>
  <rfmt sheetId="1" sqref="Q450" start="0" length="0">
    <dxf>
      <fill>
        <patternFill patternType="solid">
          <bgColor theme="0" tint="-4.9989318521683403E-2"/>
        </patternFill>
      </fill>
    </dxf>
  </rfmt>
  <rfmt sheetId="1" sqref="R450" start="0" length="0">
    <dxf>
      <fill>
        <patternFill patternType="solid">
          <bgColor theme="0" tint="-4.9989318521683403E-2"/>
        </patternFill>
      </fill>
    </dxf>
  </rfmt>
  <rfmt sheetId="1" sqref="S450" start="0" length="0">
    <dxf>
      <fill>
        <patternFill patternType="solid">
          <bgColor theme="0" tint="-4.9989318521683403E-2"/>
        </patternFill>
      </fill>
    </dxf>
  </rfmt>
  <rfmt sheetId="1" sqref="T450" start="0" length="0">
    <dxf>
      <fill>
        <patternFill patternType="solid">
          <bgColor theme="0" tint="-4.9989318521683403E-2"/>
        </patternFill>
      </fill>
    </dxf>
  </rfmt>
  <rfmt sheetId="1" sqref="U450" start="0" length="0">
    <dxf>
      <fill>
        <patternFill patternType="solid">
          <bgColor theme="0" tint="-4.9989318521683403E-2"/>
        </patternFill>
      </fill>
    </dxf>
  </rfmt>
  <rfmt sheetId="1" sqref="V450" start="0" length="0">
    <dxf>
      <fill>
        <patternFill patternType="solid">
          <bgColor theme="0" tint="-4.9989318521683403E-2"/>
        </patternFill>
      </fill>
    </dxf>
  </rfmt>
  <rfmt sheetId="1" sqref="W450" start="0" length="0">
    <dxf>
      <fill>
        <patternFill patternType="solid">
          <bgColor theme="0" tint="-4.9989318521683403E-2"/>
        </patternFill>
      </fill>
    </dxf>
  </rfmt>
  <rfmt sheetId="1" sqref="X450" start="0" length="0">
    <dxf>
      <fill>
        <patternFill patternType="solid">
          <bgColor theme="0" tint="-4.9989318521683403E-2"/>
        </patternFill>
      </fill>
    </dxf>
  </rfmt>
  <rfmt sheetId="1" sqref="Y450" start="0" length="0">
    <dxf>
      <fill>
        <patternFill patternType="solid">
          <bgColor theme="0" tint="-4.9989318521683403E-2"/>
        </patternFill>
      </fill>
    </dxf>
  </rfmt>
  <rfmt sheetId="1" sqref="Z450" start="0" length="0">
    <dxf>
      <fill>
        <patternFill patternType="solid">
          <bgColor theme="0" tint="-4.9989318521683403E-2"/>
        </patternFill>
      </fill>
    </dxf>
  </rfmt>
  <rfmt sheetId="1" sqref="AA450" start="0" length="0">
    <dxf>
      <fill>
        <patternFill patternType="solid">
          <bgColor theme="0" tint="-4.9989318521683403E-2"/>
        </patternFill>
      </fill>
    </dxf>
  </rfmt>
  <rfmt sheetId="1" sqref="AB450" start="0" length="0">
    <dxf>
      <fill>
        <patternFill patternType="solid">
          <bgColor theme="0" tint="-4.9989318521683403E-2"/>
        </patternFill>
      </fill>
    </dxf>
  </rfmt>
  <rfmt sheetId="1" sqref="A450:XFD450" start="0" length="0">
    <dxf>
      <fill>
        <patternFill patternType="solid">
          <bgColor theme="0" tint="-4.9989318521683403E-2"/>
        </patternFill>
      </fill>
    </dxf>
  </rfmt>
  <rcc rId="5638" sId="1" odxf="1" dxf="1">
    <nc r="A451" t="inlineStr">
      <is>
        <t>Zone 3</t>
      </is>
    </nc>
    <odxf/>
    <ndxf/>
  </rcc>
  <rcc rId="5639" sId="1" odxf="1" dxf="1">
    <nc r="B451" t="inlineStr">
      <is>
        <t>Lopro HDMI Mix</t>
      </is>
    </nc>
    <odxf/>
    <ndxf/>
  </rcc>
  <rcc rId="5640" sId="1" odxf="1" dxf="1">
    <nc r="C451">
      <v>4</v>
    </nc>
    <odxf/>
    <ndxf/>
  </rcc>
  <rcc rId="5641" sId="1" odxf="1" dxf="1">
    <nc r="D451" t="inlineStr">
      <is>
        <t>18-005</t>
      </is>
    </nc>
    <odxf/>
    <ndxf/>
  </rcc>
  <rcc rId="5642" sId="1" odxf="1" dxf="1">
    <nc r="E451" t="inlineStr">
      <is>
        <t>W1026668/1</t>
      </is>
    </nc>
    <odxf/>
    <ndxf/>
  </rcc>
  <rcc rId="5643" sId="1" odxf="1" dxf="1">
    <nc r="F451" t="inlineStr">
      <is>
        <t>VER1/0270-0966</t>
      </is>
    </nc>
    <odxf/>
    <ndxf/>
  </rcc>
  <rcc rId="5644" sId="1" odxf="1" dxf="1">
    <nc r="G451" t="inlineStr">
      <is>
        <t>Miller 0</t>
      </is>
    </nc>
    <odxf/>
    <ndxf/>
  </rcc>
  <rcc rId="5645" sId="1" odxf="1" dxf="1">
    <nc r="H451">
      <v>100</v>
    </nc>
    <odxf/>
    <ndxf/>
  </rcc>
  <rcc rId="5646" sId="1" odxf="1" dxf="1">
    <nc r="I451">
      <v>25</v>
    </nc>
    <odxf/>
    <ndxf/>
  </rcc>
  <rcc rId="5647" sId="1" odxf="1" dxf="1">
    <nc r="J451">
      <v>300</v>
    </nc>
    <odxf/>
    <ndxf/>
  </rcc>
  <rcc rId="5648" sId="1" odxf="1" dxf="1">
    <nc r="K451">
      <v>0</v>
    </nc>
    <odxf/>
    <ndxf/>
  </rcc>
  <rcc rId="5649" sId="1" odxf="1" dxf="1" numFmtId="19">
    <nc r="L451">
      <v>46223</v>
    </nc>
    <odxf/>
    <ndxf/>
  </rcc>
  <rcc rId="5650" sId="1" odxf="1" dxf="1" numFmtId="19">
    <nc r="M451">
      <v>46224.055555555555</v>
    </nc>
    <odxf/>
    <ndxf/>
  </rcc>
  <rfmt sheetId="1" sqref="N451" start="0" length="0">
    <dxf/>
  </rfmt>
  <rfmt sheetId="1" sqref="O451" start="0" length="0">
    <dxf/>
  </rfmt>
  <rfmt sheetId="1" sqref="P451" start="0" length="0">
    <dxf/>
  </rfmt>
  <rfmt sheetId="1" sqref="Q451" start="0" length="0">
    <dxf/>
  </rfmt>
  <rfmt sheetId="1" sqref="R451" start="0" length="0">
    <dxf/>
  </rfmt>
  <rfmt sheetId="1" sqref="S451" start="0" length="0">
    <dxf/>
  </rfmt>
  <rfmt sheetId="1" sqref="T451" start="0" length="0">
    <dxf/>
  </rfmt>
  <rfmt sheetId="1" sqref="U451" start="0" length="0">
    <dxf/>
  </rfmt>
  <rfmt sheetId="1" sqref="V451" start="0" length="0">
    <dxf/>
  </rfmt>
  <rfmt sheetId="1" sqref="W451" start="0" length="0">
    <dxf/>
  </rfmt>
  <rfmt sheetId="1" sqref="X451" start="0" length="0">
    <dxf/>
  </rfmt>
  <rfmt sheetId="1" sqref="Y451" start="0" length="0">
    <dxf/>
  </rfmt>
  <rfmt sheetId="1" sqref="Z451" start="0" length="0">
    <dxf/>
  </rfmt>
  <rcc rId="5651" sId="1" odxf="1" dxf="1">
    <nc r="AA451" t="inlineStr">
      <is>
        <t>1</t>
      </is>
    </nc>
    <odxf/>
    <ndxf/>
  </rcc>
  <rcc rId="5652" sId="1" odxf="1" dxf="1">
    <nc r="AB451" t="inlineStr">
      <is>
        <t>0</t>
      </is>
    </nc>
    <odxf/>
    <ndxf/>
  </rcc>
  <rfmt sheetId="1" sqref="A451:XFD451" start="0" length="0">
    <dxf/>
  </rfmt>
  <rcc rId="5653" sId="1" odxf="1" dxf="1">
    <nc r="A452" t="inlineStr">
      <is>
        <t>Zone 3</t>
      </is>
    </nc>
    <odxf/>
    <ndxf/>
  </rcc>
  <rcc rId="5654" sId="1" odxf="1" dxf="1">
    <nc r="B452" t="inlineStr">
      <is>
        <t>Lopro HDMI Mix</t>
      </is>
    </nc>
    <odxf/>
    <ndxf/>
  </rcc>
  <rcc rId="5655" sId="1" odxf="1" dxf="1">
    <nc r="C452">
      <v>4</v>
    </nc>
    <odxf/>
    <ndxf/>
  </rcc>
  <rcc rId="5656" sId="1" odxf="1" dxf="1">
    <nc r="D452" t="inlineStr">
      <is>
        <t>16-013</t>
      </is>
    </nc>
    <odxf/>
    <ndxf/>
  </rcc>
  <rcc rId="5657" sId="1" odxf="1" dxf="1">
    <nc r="E452" t="inlineStr">
      <is>
        <t>W1030173/1</t>
      </is>
    </nc>
    <odxf/>
    <ndxf/>
  </rcc>
  <rcc rId="5658" sId="1" odxf="1" dxf="1">
    <nc r="F452" t="inlineStr">
      <is>
        <t>VER1/0270-1080</t>
      </is>
    </nc>
    <odxf/>
    <ndxf/>
  </rcc>
  <rcc rId="5659" sId="1" odxf="1" dxf="1">
    <nc r="G452" t="inlineStr">
      <is>
        <t>Non Sterile DVM S3</t>
      </is>
    </nc>
    <odxf/>
    <ndxf/>
  </rcc>
  <rcc rId="5660" sId="1" odxf="1" dxf="1">
    <nc r="H452">
      <v>100</v>
    </nc>
    <odxf/>
    <ndxf/>
  </rcc>
  <rcc rId="5661" sId="1" odxf="1" dxf="1">
    <nc r="I452">
      <v>25</v>
    </nc>
    <odxf/>
    <ndxf/>
  </rcc>
  <rcc rId="5662" sId="1" odxf="1" dxf="1">
    <nc r="J452">
      <v>300</v>
    </nc>
    <odxf/>
    <ndxf/>
  </rcc>
  <rcc rId="5663" sId="1" odxf="1" dxf="1">
    <nc r="K452">
      <v>0</v>
    </nc>
    <odxf/>
    <ndxf/>
  </rcc>
  <rcc rId="5664" sId="1" odxf="1" dxf="1" numFmtId="19">
    <nc r="L452">
      <v>46224.0625</v>
    </nc>
    <odxf/>
    <ndxf/>
  </rcc>
  <rcc rId="5665" sId="1" odxf="1" dxf="1" numFmtId="19">
    <nc r="M452">
      <v>46225.118055555555</v>
    </nc>
    <odxf/>
    <ndxf/>
  </rcc>
  <rfmt sheetId="1" sqref="N452" start="0" length="0">
    <dxf/>
  </rfmt>
  <rfmt sheetId="1" sqref="O452" start="0" length="0">
    <dxf/>
  </rfmt>
  <rfmt sheetId="1" sqref="P452" start="0" length="0">
    <dxf/>
  </rfmt>
  <rfmt sheetId="1" sqref="Q452" start="0" length="0">
    <dxf/>
  </rfmt>
  <rfmt sheetId="1" sqref="R452" start="0" length="0">
    <dxf/>
  </rfmt>
  <rfmt sheetId="1" sqref="S452" start="0" length="0">
    <dxf/>
  </rfmt>
  <rfmt sheetId="1" sqref="T452" start="0" length="0">
    <dxf/>
  </rfmt>
  <rfmt sheetId="1" sqref="U452" start="0" length="0">
    <dxf/>
  </rfmt>
  <rfmt sheetId="1" sqref="V452" start="0" length="0">
    <dxf/>
  </rfmt>
  <rfmt sheetId="1" sqref="W452" start="0" length="0">
    <dxf/>
  </rfmt>
  <rfmt sheetId="1" sqref="X452" start="0" length="0">
    <dxf/>
  </rfmt>
  <rfmt sheetId="1" sqref="Y452" start="0" length="0">
    <dxf/>
  </rfmt>
  <rfmt sheetId="1" sqref="Z452" start="0" length="0">
    <dxf/>
  </rfmt>
  <rcc rId="5666" sId="1" odxf="1" dxf="1">
    <nc r="AA452" t="inlineStr">
      <is>
        <t>1</t>
      </is>
    </nc>
    <odxf/>
    <ndxf/>
  </rcc>
  <rcc rId="5667" sId="1" odxf="1" dxf="1">
    <nc r="AB452" t="inlineStr">
      <is>
        <t>0</t>
      </is>
    </nc>
    <odxf/>
    <ndxf/>
  </rcc>
  <rfmt sheetId="1" sqref="A452:XFD452" start="0" length="0">
    <dxf/>
  </rfmt>
  <rfmt sheetId="1" sqref="A453" start="0" length="0">
    <dxf>
      <fill>
        <patternFill patternType="solid">
          <bgColor theme="0" tint="-4.9989318521683403E-2"/>
        </patternFill>
      </fill>
    </dxf>
  </rfmt>
  <rfmt sheetId="1" sqref="B453" start="0" length="0">
    <dxf>
      <fill>
        <patternFill patternType="solid">
          <bgColor theme="0" tint="-4.9989318521683403E-2"/>
        </patternFill>
      </fill>
    </dxf>
  </rfmt>
  <rfmt sheetId="1" sqref="C453" start="0" length="0">
    <dxf>
      <fill>
        <patternFill patternType="solid">
          <bgColor theme="0" tint="-4.9989318521683403E-2"/>
        </patternFill>
      </fill>
    </dxf>
  </rfmt>
  <rfmt sheetId="1" sqref="D453" start="0" length="0">
    <dxf>
      <fill>
        <patternFill patternType="solid">
          <bgColor theme="0" tint="-4.9989318521683403E-2"/>
        </patternFill>
      </fill>
    </dxf>
  </rfmt>
  <rfmt sheetId="1" sqref="E453" start="0" length="0">
    <dxf>
      <fill>
        <patternFill patternType="solid">
          <bgColor theme="0" tint="-4.9989318521683403E-2"/>
        </patternFill>
      </fill>
    </dxf>
  </rfmt>
  <rfmt sheetId="1" sqref="F453" start="0" length="0">
    <dxf>
      <fill>
        <patternFill patternType="solid">
          <bgColor theme="0" tint="-4.9989318521683403E-2"/>
        </patternFill>
      </fill>
    </dxf>
  </rfmt>
  <rfmt sheetId="1" sqref="G453" start="0" length="0">
    <dxf>
      <fill>
        <patternFill patternType="solid">
          <bgColor theme="0" tint="-4.9989318521683403E-2"/>
        </patternFill>
      </fill>
    </dxf>
  </rfmt>
  <rfmt sheetId="1" sqref="H453" start="0" length="0">
    <dxf>
      <fill>
        <patternFill patternType="solid">
          <bgColor theme="0" tint="-4.9989318521683403E-2"/>
        </patternFill>
      </fill>
    </dxf>
  </rfmt>
  <rfmt sheetId="1" sqref="I453" start="0" length="0">
    <dxf>
      <fill>
        <patternFill patternType="solid">
          <bgColor theme="0" tint="-4.9989318521683403E-2"/>
        </patternFill>
      </fill>
    </dxf>
  </rfmt>
  <rfmt sheetId="1" sqref="J453" start="0" length="0">
    <dxf>
      <fill>
        <patternFill patternType="solid">
          <bgColor theme="0" tint="-4.9989318521683403E-2"/>
        </patternFill>
      </fill>
    </dxf>
  </rfmt>
  <rfmt sheetId="1" sqref="K453" start="0" length="0">
    <dxf>
      <fill>
        <patternFill patternType="solid">
          <bgColor theme="0" tint="-4.9989318521683403E-2"/>
        </patternFill>
      </fill>
    </dxf>
  </rfmt>
  <rfmt sheetId="1" sqref="L453" start="0" length="0">
    <dxf>
      <fill>
        <patternFill patternType="solid">
          <bgColor theme="0" tint="-4.9989318521683403E-2"/>
        </patternFill>
      </fill>
    </dxf>
  </rfmt>
  <rfmt sheetId="1" sqref="M453" start="0" length="0">
    <dxf>
      <fill>
        <patternFill patternType="solid">
          <bgColor theme="0" tint="-4.9989318521683403E-2"/>
        </patternFill>
      </fill>
    </dxf>
  </rfmt>
  <rfmt sheetId="1" sqref="N453" start="0" length="0">
    <dxf>
      <fill>
        <patternFill patternType="solid">
          <bgColor theme="0" tint="-4.9989318521683403E-2"/>
        </patternFill>
      </fill>
    </dxf>
  </rfmt>
  <rfmt sheetId="1" sqref="O453" start="0" length="0">
    <dxf>
      <fill>
        <patternFill patternType="solid">
          <bgColor theme="0" tint="-4.9989318521683403E-2"/>
        </patternFill>
      </fill>
    </dxf>
  </rfmt>
  <rfmt sheetId="1" sqref="P453" start="0" length="0">
    <dxf>
      <fill>
        <patternFill patternType="solid">
          <bgColor theme="0" tint="-4.9989318521683403E-2"/>
        </patternFill>
      </fill>
    </dxf>
  </rfmt>
  <rfmt sheetId="1" sqref="Q453" start="0" length="0">
    <dxf>
      <fill>
        <patternFill patternType="solid">
          <bgColor theme="0" tint="-4.9989318521683403E-2"/>
        </patternFill>
      </fill>
    </dxf>
  </rfmt>
  <rfmt sheetId="1" sqref="R453" start="0" length="0">
    <dxf>
      <fill>
        <patternFill patternType="solid">
          <bgColor theme="0" tint="-4.9989318521683403E-2"/>
        </patternFill>
      </fill>
    </dxf>
  </rfmt>
  <rfmt sheetId="1" sqref="S453" start="0" length="0">
    <dxf>
      <fill>
        <patternFill patternType="solid">
          <bgColor theme="0" tint="-4.9989318521683403E-2"/>
        </patternFill>
      </fill>
    </dxf>
  </rfmt>
  <rfmt sheetId="1" sqref="T453" start="0" length="0">
    <dxf>
      <fill>
        <patternFill patternType="solid">
          <bgColor theme="0" tint="-4.9989318521683403E-2"/>
        </patternFill>
      </fill>
    </dxf>
  </rfmt>
  <rfmt sheetId="1" sqref="U453" start="0" length="0">
    <dxf>
      <fill>
        <patternFill patternType="solid">
          <bgColor theme="0" tint="-4.9989318521683403E-2"/>
        </patternFill>
      </fill>
    </dxf>
  </rfmt>
  <rfmt sheetId="1" sqref="V453" start="0" length="0">
    <dxf>
      <fill>
        <patternFill patternType="solid">
          <bgColor theme="0" tint="-4.9989318521683403E-2"/>
        </patternFill>
      </fill>
    </dxf>
  </rfmt>
  <rfmt sheetId="1" sqref="W453" start="0" length="0">
    <dxf>
      <fill>
        <patternFill patternType="solid">
          <bgColor theme="0" tint="-4.9989318521683403E-2"/>
        </patternFill>
      </fill>
    </dxf>
  </rfmt>
  <rfmt sheetId="1" sqref="X453" start="0" length="0">
    <dxf>
      <fill>
        <patternFill patternType="solid">
          <bgColor theme="0" tint="-4.9989318521683403E-2"/>
        </patternFill>
      </fill>
    </dxf>
  </rfmt>
  <rfmt sheetId="1" sqref="Y453" start="0" length="0">
    <dxf>
      <fill>
        <patternFill patternType="solid">
          <bgColor theme="0" tint="-4.9989318521683403E-2"/>
        </patternFill>
      </fill>
    </dxf>
  </rfmt>
  <rfmt sheetId="1" sqref="Z453" start="0" length="0">
    <dxf>
      <fill>
        <patternFill patternType="solid">
          <bgColor theme="0" tint="-4.9989318521683403E-2"/>
        </patternFill>
      </fill>
    </dxf>
  </rfmt>
  <rfmt sheetId="1" sqref="AA453" start="0" length="0">
    <dxf>
      <fill>
        <patternFill patternType="solid">
          <bgColor theme="0" tint="-4.9989318521683403E-2"/>
        </patternFill>
      </fill>
    </dxf>
  </rfmt>
  <rfmt sheetId="1" sqref="AB453" start="0" length="0">
    <dxf>
      <fill>
        <patternFill patternType="solid">
          <bgColor theme="0" tint="-4.9989318521683403E-2"/>
        </patternFill>
      </fill>
    </dxf>
  </rfmt>
  <rfmt sheetId="1" sqref="A453:XFD453" start="0" length="0">
    <dxf>
      <fill>
        <patternFill patternType="solid">
          <bgColor theme="0" tint="-4.9989318521683403E-2"/>
        </patternFill>
      </fill>
    </dxf>
  </rfmt>
  <rcc rId="5668" sId="1" odxf="1" dxf="1">
    <nc r="A454" t="inlineStr">
      <is>
        <t>Zone 3</t>
      </is>
    </nc>
    <odxf/>
    <ndxf/>
  </rcc>
  <rcc rId="5669" sId="1" odxf="1" dxf="1">
    <nc r="B454" t="inlineStr">
      <is>
        <t>Lopro HDMI Mix</t>
      </is>
    </nc>
    <odxf/>
    <ndxf/>
  </rcc>
  <rcc rId="5670" sId="1" odxf="1" dxf="1">
    <nc r="C454">
      <v>4</v>
    </nc>
    <odxf/>
    <ndxf/>
  </rcc>
  <rcc rId="5671" sId="1" odxf="1" dxf="1">
    <nc r="D454" t="inlineStr">
      <is>
        <t>16-013</t>
      </is>
    </nc>
    <odxf/>
    <ndxf/>
  </rcc>
  <rcc rId="5672" sId="1" odxf="1" dxf="1">
    <nc r="E454" t="inlineStr">
      <is>
        <t>W1027988/1</t>
      </is>
    </nc>
    <odxf/>
    <ndxf/>
  </rcc>
  <rcc rId="5673" sId="1" odxf="1" dxf="1">
    <nc r="F454" t="inlineStr">
      <is>
        <t>VER1/0270-0932</t>
      </is>
    </nc>
    <odxf/>
    <ndxf/>
  </rcc>
  <rcc rId="5674" sId="1" odxf="1" dxf="1">
    <nc r="G454" t="inlineStr">
      <is>
        <t>Direct View MAC S3</t>
      </is>
    </nc>
    <odxf/>
    <ndxf/>
  </rcc>
  <rcc rId="5675" sId="1" odxf="1" dxf="1">
    <nc r="H454">
      <v>150</v>
    </nc>
    <odxf/>
    <ndxf/>
  </rcc>
  <rcc rId="5676" sId="1" odxf="1" dxf="1">
    <nc r="I454">
      <v>37.5</v>
    </nc>
    <odxf/>
    <ndxf/>
  </rcc>
  <rcc rId="5677" sId="1" odxf="1" dxf="1">
    <nc r="J454">
      <v>450</v>
    </nc>
    <odxf/>
    <ndxf/>
  </rcc>
  <rcc rId="5678" sId="1" odxf="1" dxf="1">
    <nc r="K454">
      <v>0</v>
    </nc>
    <odxf/>
    <ndxf/>
  </rcc>
  <rcc rId="5679" sId="1" odxf="1" dxf="1" numFmtId="19">
    <nc r="L454">
      <v>46230</v>
    </nc>
    <odxf/>
    <ndxf/>
  </rcc>
  <rcc rId="5680" sId="1" odxf="1" dxf="1" numFmtId="19">
    <nc r="M454">
      <v>46231.576388888891</v>
    </nc>
    <odxf/>
    <ndxf/>
  </rcc>
  <rfmt sheetId="1" sqref="N454" start="0" length="0">
    <dxf/>
  </rfmt>
  <rfmt sheetId="1" sqref="O454" start="0" length="0">
    <dxf/>
  </rfmt>
  <rfmt sheetId="1" sqref="P454" start="0" length="0">
    <dxf/>
  </rfmt>
  <rfmt sheetId="1" sqref="Q454" start="0" length="0">
    <dxf/>
  </rfmt>
  <rfmt sheetId="1" sqref="R454" start="0" length="0">
    <dxf/>
  </rfmt>
  <rfmt sheetId="1" sqref="S454" start="0" length="0">
    <dxf/>
  </rfmt>
  <rfmt sheetId="1" sqref="T454" start="0" length="0">
    <dxf/>
  </rfmt>
  <rfmt sheetId="1" sqref="U454" start="0" length="0">
    <dxf/>
  </rfmt>
  <rfmt sheetId="1" sqref="V454" start="0" length="0">
    <dxf/>
  </rfmt>
  <rfmt sheetId="1" sqref="W454" start="0" length="0">
    <dxf/>
  </rfmt>
  <rfmt sheetId="1" sqref="X454" start="0" length="0">
    <dxf/>
  </rfmt>
  <rfmt sheetId="1" sqref="Y454" start="0" length="0">
    <dxf/>
  </rfmt>
  <rfmt sheetId="1" sqref="Z454" start="0" length="0">
    <dxf/>
  </rfmt>
  <rcc rId="5681" sId="1" odxf="1" dxf="1">
    <nc r="AA454" t="inlineStr">
      <is>
        <t>1</t>
      </is>
    </nc>
    <odxf/>
    <ndxf/>
  </rcc>
  <rcc rId="5682" sId="1" odxf="1" dxf="1">
    <nc r="AB454" t="inlineStr">
      <is>
        <t>0</t>
      </is>
    </nc>
    <odxf/>
    <ndxf/>
  </rcc>
  <rfmt sheetId="1" sqref="A454:XFD454" start="0" length="0">
    <dxf/>
  </rfmt>
  <rcc rId="5683" sId="1" odxf="1" dxf="1">
    <nc r="A455" t="inlineStr">
      <is>
        <t>Zone 3</t>
      </is>
    </nc>
    <odxf/>
    <ndxf/>
  </rcc>
  <rcc rId="5684" sId="1" odxf="1" dxf="1">
    <nc r="B455" t="inlineStr">
      <is>
        <t>Lopro HDMI Mix</t>
      </is>
    </nc>
    <odxf/>
    <ndxf/>
  </rcc>
  <rcc rId="5685" sId="1" odxf="1" dxf="1">
    <nc r="C455">
      <v>4</v>
    </nc>
    <odxf/>
    <ndxf/>
  </rcc>
  <rcc rId="5686" sId="1" odxf="1" dxf="1">
    <nc r="D455" t="inlineStr">
      <is>
        <t>15-004</t>
      </is>
    </nc>
    <odxf/>
    <ndxf/>
  </rcc>
  <rcc rId="5687" sId="1" odxf="1" dxf="1">
    <nc r="E455" t="inlineStr">
      <is>
        <t>W1028478/1</t>
      </is>
    </nc>
    <odxf/>
    <ndxf/>
  </rcc>
  <rcc rId="5688" sId="1" odxf="1" dxf="1">
    <nc r="F455" t="inlineStr">
      <is>
        <t>VER1/0270-0877</t>
      </is>
    </nc>
    <odxf/>
    <ndxf/>
  </rcc>
  <rcc rId="5689" sId="1" odxf="1" dxf="1">
    <nc r="G455" t="inlineStr">
      <is>
        <t>LoPro S2</t>
      </is>
    </nc>
    <odxf/>
    <ndxf/>
  </rcc>
  <rcc rId="5690" sId="1" odxf="1" dxf="1">
    <nc r="H455">
      <v>100</v>
    </nc>
    <odxf/>
    <ndxf/>
  </rcc>
  <rcc rId="5691" sId="1" odxf="1" dxf="1">
    <nc r="I455">
      <v>25</v>
    </nc>
    <odxf/>
    <ndxf/>
  </rcc>
  <rcc rId="5692" sId="1" odxf="1" dxf="1">
    <nc r="J455">
      <v>300</v>
    </nc>
    <odxf/>
    <ndxf/>
  </rcc>
  <rcc rId="5693" sId="1" odxf="1" dxf="1">
    <nc r="K455">
      <v>0</v>
    </nc>
    <odxf/>
    <ndxf/>
  </rcc>
  <rcc rId="5694" sId="1" odxf="1" dxf="1" numFmtId="19">
    <nc r="L455">
      <v>46231.583333333336</v>
    </nc>
    <odxf/>
    <ndxf/>
  </rcc>
  <rcc rId="5695" sId="1" odxf="1" dxf="1" numFmtId="19">
    <nc r="M455">
      <v>46232.638888888891</v>
    </nc>
    <odxf/>
    <ndxf/>
  </rcc>
  <rfmt sheetId="1" sqref="N455" start="0" length="0">
    <dxf/>
  </rfmt>
  <rfmt sheetId="1" sqref="O455" start="0" length="0">
    <dxf/>
  </rfmt>
  <rfmt sheetId="1" sqref="P455" start="0" length="0">
    <dxf/>
  </rfmt>
  <rfmt sheetId="1" sqref="Q455" start="0" length="0">
    <dxf/>
  </rfmt>
  <rfmt sheetId="1" sqref="R455" start="0" length="0">
    <dxf/>
  </rfmt>
  <rfmt sheetId="1" sqref="S455" start="0" length="0">
    <dxf/>
  </rfmt>
  <rfmt sheetId="1" sqref="T455" start="0" length="0">
    <dxf/>
  </rfmt>
  <rfmt sheetId="1" sqref="U455" start="0" length="0">
    <dxf/>
  </rfmt>
  <rfmt sheetId="1" sqref="V455" start="0" length="0">
    <dxf/>
  </rfmt>
  <rfmt sheetId="1" sqref="W455" start="0" length="0">
    <dxf/>
  </rfmt>
  <rfmt sheetId="1" sqref="X455" start="0" length="0">
    <dxf/>
  </rfmt>
  <rfmt sheetId="1" sqref="Y455" start="0" length="0">
    <dxf/>
  </rfmt>
  <rfmt sheetId="1" sqref="Z455" start="0" length="0">
    <dxf/>
  </rfmt>
  <rcc rId="5696" sId="1" odxf="1" dxf="1">
    <nc r="AA455" t="inlineStr">
      <is>
        <t>1</t>
      </is>
    </nc>
    <odxf/>
    <ndxf/>
  </rcc>
  <rcc rId="5697" sId="1" odxf="1" dxf="1">
    <nc r="AB455" t="inlineStr">
      <is>
        <t>0</t>
      </is>
    </nc>
    <odxf/>
    <ndxf/>
  </rcc>
  <rfmt sheetId="1" sqref="A455:XFD455" start="0" length="0">
    <dxf/>
  </rfmt>
  <rfmt sheetId="1" sqref="A456" start="0" length="0">
    <dxf>
      <fill>
        <patternFill patternType="solid">
          <bgColor theme="0" tint="-4.9989318521683403E-2"/>
        </patternFill>
      </fill>
    </dxf>
  </rfmt>
  <rfmt sheetId="1" sqref="B456" start="0" length="0">
    <dxf>
      <fill>
        <patternFill patternType="solid">
          <bgColor theme="0" tint="-4.9989318521683403E-2"/>
        </patternFill>
      </fill>
    </dxf>
  </rfmt>
  <rfmt sheetId="1" sqref="C456" start="0" length="0">
    <dxf>
      <fill>
        <patternFill patternType="solid">
          <bgColor theme="0" tint="-4.9989318521683403E-2"/>
        </patternFill>
      </fill>
    </dxf>
  </rfmt>
  <rfmt sheetId="1" sqref="D456" start="0" length="0">
    <dxf>
      <fill>
        <patternFill patternType="solid">
          <bgColor theme="0" tint="-4.9989318521683403E-2"/>
        </patternFill>
      </fill>
    </dxf>
  </rfmt>
  <rfmt sheetId="1" sqref="E456" start="0" length="0">
    <dxf>
      <fill>
        <patternFill patternType="solid">
          <bgColor theme="0" tint="-4.9989318521683403E-2"/>
        </patternFill>
      </fill>
    </dxf>
  </rfmt>
  <rfmt sheetId="1" sqref="F456" start="0" length="0">
    <dxf>
      <fill>
        <patternFill patternType="solid">
          <bgColor theme="0" tint="-4.9989318521683403E-2"/>
        </patternFill>
      </fill>
    </dxf>
  </rfmt>
  <rfmt sheetId="1" sqref="G456" start="0" length="0">
    <dxf>
      <fill>
        <patternFill patternType="solid">
          <bgColor theme="0" tint="-4.9989318521683403E-2"/>
        </patternFill>
      </fill>
    </dxf>
  </rfmt>
  <rfmt sheetId="1" sqref="H456" start="0" length="0">
    <dxf>
      <fill>
        <patternFill patternType="solid">
          <bgColor theme="0" tint="-4.9989318521683403E-2"/>
        </patternFill>
      </fill>
    </dxf>
  </rfmt>
  <rfmt sheetId="1" sqref="I456" start="0" length="0">
    <dxf>
      <fill>
        <patternFill patternType="solid">
          <bgColor theme="0" tint="-4.9989318521683403E-2"/>
        </patternFill>
      </fill>
    </dxf>
  </rfmt>
  <rfmt sheetId="1" sqref="J456" start="0" length="0">
    <dxf>
      <fill>
        <patternFill patternType="solid">
          <bgColor theme="0" tint="-4.9989318521683403E-2"/>
        </patternFill>
      </fill>
    </dxf>
  </rfmt>
  <rfmt sheetId="1" sqref="K456" start="0" length="0">
    <dxf>
      <fill>
        <patternFill patternType="solid">
          <bgColor theme="0" tint="-4.9989318521683403E-2"/>
        </patternFill>
      </fill>
    </dxf>
  </rfmt>
  <rfmt sheetId="1" sqref="L456" start="0" length="0">
    <dxf>
      <fill>
        <patternFill patternType="solid">
          <bgColor theme="0" tint="-4.9989318521683403E-2"/>
        </patternFill>
      </fill>
    </dxf>
  </rfmt>
  <rfmt sheetId="1" sqref="M456" start="0" length="0">
    <dxf>
      <fill>
        <patternFill patternType="solid">
          <bgColor theme="0" tint="-4.9989318521683403E-2"/>
        </patternFill>
      </fill>
    </dxf>
  </rfmt>
  <rfmt sheetId="1" sqref="N456" start="0" length="0">
    <dxf>
      <fill>
        <patternFill patternType="solid">
          <bgColor theme="0" tint="-4.9989318521683403E-2"/>
        </patternFill>
      </fill>
    </dxf>
  </rfmt>
  <rfmt sheetId="1" sqref="O456" start="0" length="0">
    <dxf>
      <fill>
        <patternFill patternType="solid">
          <bgColor theme="0" tint="-4.9989318521683403E-2"/>
        </patternFill>
      </fill>
    </dxf>
  </rfmt>
  <rfmt sheetId="1" sqref="P456" start="0" length="0">
    <dxf>
      <fill>
        <patternFill patternType="solid">
          <bgColor theme="0" tint="-4.9989318521683403E-2"/>
        </patternFill>
      </fill>
    </dxf>
  </rfmt>
  <rfmt sheetId="1" sqref="Q456" start="0" length="0">
    <dxf>
      <fill>
        <patternFill patternType="solid">
          <bgColor theme="0" tint="-4.9989318521683403E-2"/>
        </patternFill>
      </fill>
    </dxf>
  </rfmt>
  <rfmt sheetId="1" sqref="R456" start="0" length="0">
    <dxf>
      <fill>
        <patternFill patternType="solid">
          <bgColor theme="0" tint="-4.9989318521683403E-2"/>
        </patternFill>
      </fill>
    </dxf>
  </rfmt>
  <rfmt sheetId="1" sqref="S456" start="0" length="0">
    <dxf>
      <fill>
        <patternFill patternType="solid">
          <bgColor theme="0" tint="-4.9989318521683403E-2"/>
        </patternFill>
      </fill>
    </dxf>
  </rfmt>
  <rfmt sheetId="1" sqref="T456" start="0" length="0">
    <dxf>
      <fill>
        <patternFill patternType="solid">
          <bgColor theme="0" tint="-4.9989318521683403E-2"/>
        </patternFill>
      </fill>
    </dxf>
  </rfmt>
  <rfmt sheetId="1" sqref="U456" start="0" length="0">
    <dxf>
      <fill>
        <patternFill patternType="solid">
          <bgColor theme="0" tint="-4.9989318521683403E-2"/>
        </patternFill>
      </fill>
    </dxf>
  </rfmt>
  <rfmt sheetId="1" sqref="V456" start="0" length="0">
    <dxf>
      <fill>
        <patternFill patternType="solid">
          <bgColor theme="0" tint="-4.9989318521683403E-2"/>
        </patternFill>
      </fill>
    </dxf>
  </rfmt>
  <rfmt sheetId="1" sqref="W456" start="0" length="0">
    <dxf>
      <fill>
        <patternFill patternType="solid">
          <bgColor theme="0" tint="-4.9989318521683403E-2"/>
        </patternFill>
      </fill>
    </dxf>
  </rfmt>
  <rfmt sheetId="1" sqref="X456" start="0" length="0">
    <dxf>
      <fill>
        <patternFill patternType="solid">
          <bgColor theme="0" tint="-4.9989318521683403E-2"/>
        </patternFill>
      </fill>
    </dxf>
  </rfmt>
  <rfmt sheetId="1" sqref="Y456" start="0" length="0">
    <dxf>
      <fill>
        <patternFill patternType="solid">
          <bgColor theme="0" tint="-4.9989318521683403E-2"/>
        </patternFill>
      </fill>
    </dxf>
  </rfmt>
  <rfmt sheetId="1" sqref="Z456" start="0" length="0">
    <dxf>
      <fill>
        <patternFill patternType="solid">
          <bgColor theme="0" tint="-4.9989318521683403E-2"/>
        </patternFill>
      </fill>
    </dxf>
  </rfmt>
  <rfmt sheetId="1" sqref="AA456" start="0" length="0">
    <dxf>
      <fill>
        <patternFill patternType="solid">
          <bgColor theme="0" tint="-4.9989318521683403E-2"/>
        </patternFill>
      </fill>
    </dxf>
  </rfmt>
  <rfmt sheetId="1" sqref="AB456" start="0" length="0">
    <dxf>
      <fill>
        <patternFill patternType="solid">
          <bgColor theme="0" tint="-4.9989318521683403E-2"/>
        </patternFill>
      </fill>
    </dxf>
  </rfmt>
  <rfmt sheetId="1" sqref="A456:XFD456" start="0" length="0">
    <dxf>
      <fill>
        <patternFill patternType="solid">
          <bgColor theme="0" tint="-4.9989318521683403E-2"/>
        </patternFill>
      </fill>
    </dxf>
  </rfmt>
  <rcc rId="5698" sId="1" odxf="1" dxf="1">
    <nc r="A457" t="inlineStr">
      <is>
        <t>Zone 3</t>
      </is>
    </nc>
    <odxf/>
    <ndxf/>
  </rcc>
  <rcc rId="5699" sId="1" odxf="1" dxf="1">
    <nc r="B457" t="inlineStr">
      <is>
        <t>Lopro HDMI Mix</t>
      </is>
    </nc>
    <odxf/>
    <ndxf/>
  </rcc>
  <rcc rId="5700" sId="1" odxf="1" dxf="1">
    <nc r="C457">
      <v>4</v>
    </nc>
    <odxf/>
    <ndxf/>
  </rcc>
  <rcc rId="5701" sId="1" odxf="1" dxf="1">
    <nc r="D457" t="inlineStr">
      <is>
        <t>16-014</t>
      </is>
    </nc>
    <odxf/>
    <ndxf/>
  </rcc>
  <rcc rId="5702" sId="1" odxf="1" dxf="1">
    <nc r="E457" t="inlineStr">
      <is>
        <t>W1027990/1</t>
      </is>
    </nc>
    <odxf/>
    <ndxf/>
  </rcc>
  <rcc rId="5703" sId="1" odxf="1" dxf="1">
    <nc r="F457" t="inlineStr">
      <is>
        <t>VER1/0270-0933</t>
      </is>
    </nc>
    <odxf/>
    <ndxf/>
  </rcc>
  <rcc rId="5704" sId="1" odxf="1" dxf="1">
    <nc r="G457" t="inlineStr">
      <is>
        <t>Direct View MAC S4</t>
      </is>
    </nc>
    <odxf/>
    <ndxf/>
  </rcc>
  <rcc rId="5705" sId="1" odxf="1" dxf="1">
    <nc r="H457">
      <v>150</v>
    </nc>
    <odxf/>
    <ndxf/>
  </rcc>
  <rcc rId="5706" sId="1" odxf="1" dxf="1">
    <nc r="I457">
      <v>37.5</v>
    </nc>
    <odxf/>
    <ndxf/>
  </rcc>
  <rcc rId="5707" sId="1" odxf="1" dxf="1">
    <nc r="J457">
      <v>450</v>
    </nc>
    <odxf/>
    <ndxf/>
  </rcc>
  <rcc rId="5708" sId="1" odxf="1" dxf="1">
    <nc r="K457">
      <v>0</v>
    </nc>
    <odxf/>
    <ndxf/>
  </rcc>
  <rcc rId="5709" sId="1" odxf="1" dxf="1" numFmtId="19">
    <nc r="L457">
      <v>46237.958333333336</v>
    </nc>
    <odxf/>
    <ndxf/>
  </rcc>
  <rcc rId="5710" sId="1" odxf="1" dxf="1" numFmtId="19">
    <nc r="M457">
      <v>46239.534722222219</v>
    </nc>
    <odxf/>
    <ndxf/>
  </rcc>
  <rfmt sheetId="1" sqref="N457" start="0" length="0">
    <dxf/>
  </rfmt>
  <rfmt sheetId="1" sqref="O457" start="0" length="0">
    <dxf/>
  </rfmt>
  <rfmt sheetId="1" sqref="P457" start="0" length="0">
    <dxf/>
  </rfmt>
  <rfmt sheetId="1" sqref="Q457" start="0" length="0">
    <dxf/>
  </rfmt>
  <rfmt sheetId="1" sqref="R457" start="0" length="0">
    <dxf/>
  </rfmt>
  <rfmt sheetId="1" sqref="S457" start="0" length="0">
    <dxf/>
  </rfmt>
  <rfmt sheetId="1" sqref="T457" start="0" length="0">
    <dxf/>
  </rfmt>
  <rfmt sheetId="1" sqref="U457" start="0" length="0">
    <dxf/>
  </rfmt>
  <rfmt sheetId="1" sqref="V457" start="0" length="0">
    <dxf/>
  </rfmt>
  <rfmt sheetId="1" sqref="W457" start="0" length="0">
    <dxf/>
  </rfmt>
  <rfmt sheetId="1" sqref="X457" start="0" length="0">
    <dxf/>
  </rfmt>
  <rfmt sheetId="1" sqref="Y457" start="0" length="0">
    <dxf/>
  </rfmt>
  <rfmt sheetId="1" sqref="Z457" start="0" length="0">
    <dxf/>
  </rfmt>
  <rcc rId="5711" sId="1" odxf="1" dxf="1">
    <nc r="AA457" t="inlineStr">
      <is>
        <t>1</t>
      </is>
    </nc>
    <odxf/>
    <ndxf/>
  </rcc>
  <rcc rId="5712" sId="1" odxf="1" dxf="1">
    <nc r="AB457" t="inlineStr">
      <is>
        <t>0</t>
      </is>
    </nc>
    <odxf/>
    <ndxf/>
  </rcc>
  <rfmt sheetId="1" sqref="A457:XFD457" start="0" length="0">
    <dxf/>
  </rfmt>
  <rcc rId="5713" sId="1" odxf="1" dxf="1">
    <nc r="A458" t="inlineStr">
      <is>
        <t>Zone 3</t>
      </is>
    </nc>
    <odxf/>
    <ndxf/>
  </rcc>
  <rcc rId="5714" sId="1" odxf="1" dxf="1">
    <nc r="B458" t="inlineStr">
      <is>
        <t>Lopro HDMI Mix</t>
      </is>
    </nc>
    <odxf/>
    <ndxf/>
  </rcc>
  <rcc rId="5715" sId="1" odxf="1" dxf="1">
    <nc r="C458">
      <v>4</v>
    </nc>
    <odxf/>
    <ndxf/>
  </rcc>
  <rcc rId="5716" sId="1" odxf="1" dxf="1">
    <nc r="D458" t="inlineStr">
      <is>
        <t>16-014</t>
      </is>
    </nc>
    <odxf/>
    <ndxf/>
  </rcc>
  <rcc rId="5717" sId="1" odxf="1" dxf="1">
    <nc r="E458" t="inlineStr">
      <is>
        <t>W1028122/1</t>
      </is>
    </nc>
    <odxf/>
    <ndxf/>
  </rcc>
  <rcc rId="5718" sId="1" odxf="1" dxf="1">
    <nc r="F458" t="inlineStr">
      <is>
        <t>VER1/0270-1081</t>
      </is>
    </nc>
    <odxf/>
    <ndxf/>
  </rcc>
  <rcc rId="5719" sId="1" odxf="1" dxf="1">
    <nc r="G458" t="inlineStr">
      <is>
        <t>Non Sterile DVM S4</t>
      </is>
    </nc>
    <odxf/>
    <ndxf/>
  </rcc>
  <rcc rId="5720" sId="1" odxf="1" dxf="1">
    <nc r="H458">
      <v>100</v>
    </nc>
    <odxf/>
    <ndxf/>
  </rcc>
  <rcc rId="5721" sId="1" odxf="1" dxf="1">
    <nc r="I458">
      <v>25</v>
    </nc>
    <odxf/>
    <ndxf/>
  </rcc>
  <rcc rId="5722" sId="1" odxf="1" dxf="1">
    <nc r="J458">
      <v>300</v>
    </nc>
    <odxf/>
    <ndxf/>
  </rcc>
  <rcc rId="5723" sId="1" odxf="1" dxf="1">
    <nc r="K458">
      <v>0</v>
    </nc>
    <odxf/>
    <ndxf/>
  </rcc>
  <rcc rId="5724" sId="1" odxf="1" dxf="1" numFmtId="19">
    <nc r="L458">
      <v>46239.541666666664</v>
    </nc>
    <odxf/>
    <ndxf/>
  </rcc>
  <rcc rId="5725" sId="1" odxf="1" dxf="1" numFmtId="19">
    <nc r="M458">
      <v>46240.597222222219</v>
    </nc>
    <odxf/>
    <ndxf/>
  </rcc>
  <rfmt sheetId="1" sqref="N458" start="0" length="0">
    <dxf/>
  </rfmt>
  <rfmt sheetId="1" sqref="O458" start="0" length="0">
    <dxf/>
  </rfmt>
  <rfmt sheetId="1" sqref="P458" start="0" length="0">
    <dxf/>
  </rfmt>
  <rfmt sheetId="1" sqref="Q458" start="0" length="0">
    <dxf/>
  </rfmt>
  <rfmt sheetId="1" sqref="R458" start="0" length="0">
    <dxf/>
  </rfmt>
  <rfmt sheetId="1" sqref="S458" start="0" length="0">
    <dxf/>
  </rfmt>
  <rfmt sheetId="1" sqref="T458" start="0" length="0">
    <dxf/>
  </rfmt>
  <rfmt sheetId="1" sqref="U458" start="0" length="0">
    <dxf/>
  </rfmt>
  <rfmt sheetId="1" sqref="V458" start="0" length="0">
    <dxf/>
  </rfmt>
  <rfmt sheetId="1" sqref="W458" start="0" length="0">
    <dxf/>
  </rfmt>
  <rfmt sheetId="1" sqref="X458" start="0" length="0">
    <dxf/>
  </rfmt>
  <rfmt sheetId="1" sqref="Y458" start="0" length="0">
    <dxf/>
  </rfmt>
  <rfmt sheetId="1" sqref="Z458" start="0" length="0">
    <dxf/>
  </rfmt>
  <rcc rId="5726" sId="1" odxf="1" dxf="1">
    <nc r="AA458" t="inlineStr">
      <is>
        <t>1</t>
      </is>
    </nc>
    <odxf/>
    <ndxf/>
  </rcc>
  <rcc rId="5727" sId="1" odxf="1" dxf="1">
    <nc r="AB458" t="inlineStr">
      <is>
        <t>0</t>
      </is>
    </nc>
    <odxf/>
    <ndxf/>
  </rcc>
  <rfmt sheetId="1" sqref="A458:XFD458" start="0" length="0">
    <dxf/>
  </rfmt>
  <rfmt sheetId="1" sqref="A459" start="0" length="0">
    <dxf>
      <fill>
        <patternFill patternType="solid">
          <bgColor theme="0" tint="-4.9989318521683403E-2"/>
        </patternFill>
      </fill>
    </dxf>
  </rfmt>
  <rfmt sheetId="1" sqref="B459" start="0" length="0">
    <dxf>
      <fill>
        <patternFill patternType="solid">
          <bgColor theme="0" tint="-4.9989318521683403E-2"/>
        </patternFill>
      </fill>
    </dxf>
  </rfmt>
  <rfmt sheetId="1" sqref="C459" start="0" length="0">
    <dxf>
      <fill>
        <patternFill patternType="solid">
          <bgColor theme="0" tint="-4.9989318521683403E-2"/>
        </patternFill>
      </fill>
    </dxf>
  </rfmt>
  <rfmt sheetId="1" sqref="D459" start="0" length="0">
    <dxf>
      <fill>
        <patternFill patternType="solid">
          <bgColor theme="0" tint="-4.9989318521683403E-2"/>
        </patternFill>
      </fill>
    </dxf>
  </rfmt>
  <rfmt sheetId="1" sqref="E459" start="0" length="0">
    <dxf>
      <fill>
        <patternFill patternType="solid">
          <bgColor theme="0" tint="-4.9989318521683403E-2"/>
        </patternFill>
      </fill>
    </dxf>
  </rfmt>
  <rfmt sheetId="1" sqref="F459" start="0" length="0">
    <dxf>
      <fill>
        <patternFill patternType="solid">
          <bgColor theme="0" tint="-4.9989318521683403E-2"/>
        </patternFill>
      </fill>
    </dxf>
  </rfmt>
  <rfmt sheetId="1" sqref="G459" start="0" length="0">
    <dxf>
      <fill>
        <patternFill patternType="solid">
          <bgColor theme="0" tint="-4.9989318521683403E-2"/>
        </patternFill>
      </fill>
    </dxf>
  </rfmt>
  <rfmt sheetId="1" sqref="H459" start="0" length="0">
    <dxf>
      <fill>
        <patternFill patternType="solid">
          <bgColor theme="0" tint="-4.9989318521683403E-2"/>
        </patternFill>
      </fill>
    </dxf>
  </rfmt>
  <rfmt sheetId="1" sqref="I459" start="0" length="0">
    <dxf>
      <fill>
        <patternFill patternType="solid">
          <bgColor theme="0" tint="-4.9989318521683403E-2"/>
        </patternFill>
      </fill>
    </dxf>
  </rfmt>
  <rfmt sheetId="1" sqref="J459" start="0" length="0">
    <dxf>
      <fill>
        <patternFill patternType="solid">
          <bgColor theme="0" tint="-4.9989318521683403E-2"/>
        </patternFill>
      </fill>
    </dxf>
  </rfmt>
  <rfmt sheetId="1" sqref="K459" start="0" length="0">
    <dxf>
      <fill>
        <patternFill patternType="solid">
          <bgColor theme="0" tint="-4.9989318521683403E-2"/>
        </patternFill>
      </fill>
    </dxf>
  </rfmt>
  <rfmt sheetId="1" sqref="L459" start="0" length="0">
    <dxf>
      <fill>
        <patternFill patternType="solid">
          <bgColor theme="0" tint="-4.9989318521683403E-2"/>
        </patternFill>
      </fill>
    </dxf>
  </rfmt>
  <rfmt sheetId="1" sqref="M459" start="0" length="0">
    <dxf>
      <fill>
        <patternFill patternType="solid">
          <bgColor theme="0" tint="-4.9989318521683403E-2"/>
        </patternFill>
      </fill>
    </dxf>
  </rfmt>
  <rfmt sheetId="1" sqref="N459" start="0" length="0">
    <dxf>
      <fill>
        <patternFill patternType="solid">
          <bgColor theme="0" tint="-4.9989318521683403E-2"/>
        </patternFill>
      </fill>
    </dxf>
  </rfmt>
  <rfmt sheetId="1" sqref="O459" start="0" length="0">
    <dxf>
      <fill>
        <patternFill patternType="solid">
          <bgColor theme="0" tint="-4.9989318521683403E-2"/>
        </patternFill>
      </fill>
    </dxf>
  </rfmt>
  <rfmt sheetId="1" sqref="P459" start="0" length="0">
    <dxf>
      <fill>
        <patternFill patternType="solid">
          <bgColor theme="0" tint="-4.9989318521683403E-2"/>
        </patternFill>
      </fill>
    </dxf>
  </rfmt>
  <rfmt sheetId="1" sqref="Q459" start="0" length="0">
    <dxf>
      <fill>
        <patternFill patternType="solid">
          <bgColor theme="0" tint="-4.9989318521683403E-2"/>
        </patternFill>
      </fill>
    </dxf>
  </rfmt>
  <rfmt sheetId="1" sqref="R459" start="0" length="0">
    <dxf>
      <fill>
        <patternFill patternType="solid">
          <bgColor theme="0" tint="-4.9989318521683403E-2"/>
        </patternFill>
      </fill>
    </dxf>
  </rfmt>
  <rfmt sheetId="1" sqref="S459" start="0" length="0">
    <dxf>
      <fill>
        <patternFill patternType="solid">
          <bgColor theme="0" tint="-4.9989318521683403E-2"/>
        </patternFill>
      </fill>
    </dxf>
  </rfmt>
  <rfmt sheetId="1" sqref="T459" start="0" length="0">
    <dxf>
      <fill>
        <patternFill patternType="solid">
          <bgColor theme="0" tint="-4.9989318521683403E-2"/>
        </patternFill>
      </fill>
    </dxf>
  </rfmt>
  <rfmt sheetId="1" sqref="U459" start="0" length="0">
    <dxf>
      <fill>
        <patternFill patternType="solid">
          <bgColor theme="0" tint="-4.9989318521683403E-2"/>
        </patternFill>
      </fill>
    </dxf>
  </rfmt>
  <rfmt sheetId="1" sqref="V459" start="0" length="0">
    <dxf>
      <fill>
        <patternFill patternType="solid">
          <bgColor theme="0" tint="-4.9989318521683403E-2"/>
        </patternFill>
      </fill>
    </dxf>
  </rfmt>
  <rfmt sheetId="1" sqref="W459" start="0" length="0">
    <dxf>
      <fill>
        <patternFill patternType="solid">
          <bgColor theme="0" tint="-4.9989318521683403E-2"/>
        </patternFill>
      </fill>
    </dxf>
  </rfmt>
  <rfmt sheetId="1" sqref="X459" start="0" length="0">
    <dxf>
      <fill>
        <patternFill patternType="solid">
          <bgColor theme="0" tint="-4.9989318521683403E-2"/>
        </patternFill>
      </fill>
    </dxf>
  </rfmt>
  <rfmt sheetId="1" sqref="Y459" start="0" length="0">
    <dxf>
      <fill>
        <patternFill patternType="solid">
          <bgColor theme="0" tint="-4.9989318521683403E-2"/>
        </patternFill>
      </fill>
    </dxf>
  </rfmt>
  <rfmt sheetId="1" sqref="Z459" start="0" length="0">
    <dxf>
      <fill>
        <patternFill patternType="solid">
          <bgColor theme="0" tint="-4.9989318521683403E-2"/>
        </patternFill>
      </fill>
    </dxf>
  </rfmt>
  <rfmt sheetId="1" sqref="AA459" start="0" length="0">
    <dxf>
      <fill>
        <patternFill patternType="solid">
          <bgColor theme="0" tint="-4.9989318521683403E-2"/>
        </patternFill>
      </fill>
    </dxf>
  </rfmt>
  <rfmt sheetId="1" sqref="AB459" start="0" length="0">
    <dxf>
      <fill>
        <patternFill patternType="solid">
          <bgColor theme="0" tint="-4.9989318521683403E-2"/>
        </patternFill>
      </fill>
    </dxf>
  </rfmt>
  <rfmt sheetId="1" sqref="A459:XFD459" start="0" length="0">
    <dxf>
      <fill>
        <patternFill patternType="solid">
          <bgColor theme="0" tint="-4.9989318521683403E-2"/>
        </patternFill>
      </fill>
    </dxf>
  </rfmt>
  <rcc rId="5728" sId="1" odxf="1" dxf="1">
    <nc r="A460" t="inlineStr">
      <is>
        <t>Zone 3</t>
      </is>
    </nc>
    <odxf/>
    <ndxf/>
  </rcc>
  <rcc rId="5729" sId="1" odxf="1" dxf="1">
    <nc r="B460" t="inlineStr">
      <is>
        <t>Lopro HDMI Mix</t>
      </is>
    </nc>
    <odxf/>
    <ndxf/>
  </rcc>
  <rcc rId="5730" sId="1" odxf="1" dxf="1">
    <nc r="C460">
      <v>4</v>
    </nc>
    <odxf/>
    <ndxf/>
  </rcc>
  <rfmt sheetId="1" sqref="D460" start="0" length="0">
    <dxf/>
  </rfmt>
  <rcc rId="5731" sId="1" odxf="1" dxf="1">
    <nc r="E460" t="inlineStr">
      <is>
        <t>W1027986/1</t>
      </is>
    </nc>
    <odxf/>
    <ndxf/>
  </rcc>
  <rcc rId="5732" sId="1" odxf="1" dxf="1">
    <nc r="F460" t="inlineStr">
      <is>
        <t>VER1/0270-0962</t>
      </is>
    </nc>
    <odxf/>
    <ndxf/>
  </rcc>
  <rcc rId="5733" sId="1" odxf="1" dxf="1">
    <nc r="G460" t="inlineStr">
      <is>
        <t>LoPro S2.5</t>
      </is>
    </nc>
    <odxf/>
    <ndxf/>
  </rcc>
  <rcc rId="5734" sId="1" odxf="1" dxf="1">
    <nc r="H460">
      <v>100</v>
    </nc>
    <odxf/>
    <ndxf/>
  </rcc>
  <rcc rId="5735" sId="1" odxf="1" dxf="1">
    <nc r="I460">
      <v>25</v>
    </nc>
    <odxf/>
    <ndxf/>
  </rcc>
  <rcc rId="5736" sId="1" odxf="1" dxf="1">
    <nc r="J460">
      <v>300</v>
    </nc>
    <odxf/>
    <ndxf/>
  </rcc>
  <rcc rId="5737" sId="1" odxf="1" dxf="1">
    <nc r="K460">
      <v>0</v>
    </nc>
    <odxf/>
    <ndxf/>
  </rcc>
  <rcc rId="5738" sId="1" odxf="1" dxf="1" numFmtId="19">
    <nc r="L460">
      <v>46244</v>
    </nc>
    <odxf/>
    <ndxf/>
  </rcc>
  <rcc rId="5739" sId="1" odxf="1" dxf="1" numFmtId="19">
    <nc r="M460">
      <v>46245.055555555555</v>
    </nc>
    <odxf/>
    <ndxf/>
  </rcc>
  <rfmt sheetId="1" sqref="N460" start="0" length="0">
    <dxf/>
  </rfmt>
  <rfmt sheetId="1" sqref="O460" start="0" length="0">
    <dxf/>
  </rfmt>
  <rfmt sheetId="1" sqref="P460" start="0" length="0">
    <dxf/>
  </rfmt>
  <rfmt sheetId="1" sqref="Q460" start="0" length="0">
    <dxf/>
  </rfmt>
  <rfmt sheetId="1" sqref="R460" start="0" length="0">
    <dxf/>
  </rfmt>
  <rfmt sheetId="1" sqref="S460" start="0" length="0">
    <dxf/>
  </rfmt>
  <rfmt sheetId="1" sqref="T460" start="0" length="0">
    <dxf/>
  </rfmt>
  <rfmt sheetId="1" sqref="U460" start="0" length="0">
    <dxf/>
  </rfmt>
  <rfmt sheetId="1" sqref="V460" start="0" length="0">
    <dxf/>
  </rfmt>
  <rfmt sheetId="1" sqref="W460" start="0" length="0">
    <dxf/>
  </rfmt>
  <rfmt sheetId="1" sqref="X460" start="0" length="0">
    <dxf/>
  </rfmt>
  <rfmt sheetId="1" sqref="Y460" start="0" length="0">
    <dxf/>
  </rfmt>
  <rfmt sheetId="1" sqref="Z460" start="0" length="0">
    <dxf/>
  </rfmt>
  <rcc rId="5740" sId="1" odxf="1" dxf="1">
    <nc r="AA460" t="inlineStr">
      <is>
        <t>1</t>
      </is>
    </nc>
    <odxf/>
    <ndxf/>
  </rcc>
  <rcc rId="5741" sId="1" odxf="1" dxf="1">
    <nc r="AB460" t="inlineStr">
      <is>
        <t>0</t>
      </is>
    </nc>
    <odxf/>
    <ndxf/>
  </rcc>
  <rfmt sheetId="1" sqref="A460:XFD460" start="0" length="0">
    <dxf/>
  </rfmt>
  <rcc rId="5742" sId="1" odxf="1" dxf="1">
    <nc r="A461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743" sId="1" odxf="1" dxf="1">
    <nc r="B461" t="inlineStr">
      <is>
        <t>Lopro HDMI Mix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744" sId="1" odxf="1" dxf="1">
    <nc r="C461">
      <v>4</v>
    </nc>
    <odxf>
      <border outline="0">
        <bottom/>
      </border>
    </odxf>
    <ndxf>
      <border outline="0">
        <bottom style="medium">
          <color indexed="64"/>
        </bottom>
      </border>
    </ndxf>
  </rcc>
  <rcc rId="5745" sId="1" odxf="1" dxf="1">
    <nc r="D461" t="inlineStr">
      <is>
        <t>16-013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746" sId="1" odxf="1" dxf="1">
    <nc r="E461" t="inlineStr">
      <is>
        <t>W1028476/1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747" sId="1" odxf="1" dxf="1">
    <nc r="F461" t="inlineStr">
      <is>
        <t>VER1/0270-0932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748" sId="1" odxf="1" dxf="1">
    <nc r="G461" t="inlineStr">
      <is>
        <t>Direct View MAC S3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749" sId="1" odxf="1" dxf="1">
    <nc r="H461">
      <v>150</v>
    </nc>
    <odxf>
      <border outline="0">
        <bottom/>
      </border>
    </odxf>
    <ndxf>
      <border outline="0">
        <bottom style="medium">
          <color indexed="64"/>
        </bottom>
      </border>
    </ndxf>
  </rcc>
  <rcc rId="5750" sId="1" odxf="1" dxf="1">
    <nc r="I461">
      <v>37.5</v>
    </nc>
    <odxf>
      <border outline="0">
        <bottom/>
      </border>
    </odxf>
    <ndxf>
      <border outline="0">
        <bottom style="medium">
          <color indexed="64"/>
        </bottom>
      </border>
    </ndxf>
  </rcc>
  <rcc rId="5751" sId="1" odxf="1" dxf="1">
    <nc r="J461">
      <v>450</v>
    </nc>
    <odxf>
      <border outline="0">
        <bottom/>
      </border>
    </odxf>
    <ndxf>
      <border outline="0">
        <bottom style="medium">
          <color indexed="64"/>
        </bottom>
      </border>
    </ndxf>
  </rcc>
  <rcc rId="5752" sId="1" odxf="1" dxf="1">
    <nc r="K461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5753" sId="1" odxf="1" dxf="1" numFmtId="19">
    <nc r="L461">
      <v>46245.0625</v>
    </nc>
    <odxf>
      <border outline="0">
        <bottom/>
      </border>
    </odxf>
    <ndxf>
      <border outline="0">
        <bottom style="medium">
          <color indexed="64"/>
        </bottom>
      </border>
    </ndxf>
  </rcc>
  <rcc rId="5754" sId="1" odxf="1" dxf="1" numFmtId="19">
    <nc r="M461">
      <v>46246.638888888891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461" start="0" length="0">
    <dxf>
      <border outline="0">
        <bottom style="medium">
          <color indexed="64"/>
        </bottom>
      </border>
    </dxf>
  </rfmt>
  <rfmt sheetId="1" sqref="O461" start="0" length="0">
    <dxf>
      <border outline="0">
        <bottom style="medium">
          <color indexed="64"/>
        </bottom>
      </border>
    </dxf>
  </rfmt>
  <rfmt sheetId="1" sqref="P461" start="0" length="0">
    <dxf>
      <border outline="0">
        <bottom style="medium">
          <color indexed="64"/>
        </bottom>
      </border>
    </dxf>
  </rfmt>
  <rfmt sheetId="1" sqref="Q461" start="0" length="0">
    <dxf>
      <border outline="0">
        <bottom style="medium">
          <color indexed="64"/>
        </bottom>
      </border>
    </dxf>
  </rfmt>
  <rfmt sheetId="1" sqref="R461" start="0" length="0">
    <dxf>
      <border outline="0">
        <bottom style="medium">
          <color indexed="64"/>
        </bottom>
      </border>
    </dxf>
  </rfmt>
  <rfmt sheetId="1" sqref="S461" start="0" length="0">
    <dxf>
      <border outline="0">
        <bottom style="medium">
          <color indexed="64"/>
        </bottom>
      </border>
    </dxf>
  </rfmt>
  <rfmt sheetId="1" sqref="T461" start="0" length="0">
    <dxf>
      <border outline="0">
        <bottom style="medium">
          <color indexed="64"/>
        </bottom>
      </border>
    </dxf>
  </rfmt>
  <rfmt sheetId="1" sqref="U461" start="0" length="0">
    <dxf>
      <border outline="0">
        <bottom style="medium">
          <color indexed="64"/>
        </bottom>
      </border>
    </dxf>
  </rfmt>
  <rfmt sheetId="1" sqref="V461" start="0" length="0">
    <dxf>
      <border outline="0">
        <bottom style="medium">
          <color indexed="64"/>
        </bottom>
      </border>
    </dxf>
  </rfmt>
  <rfmt sheetId="1" sqref="W461" start="0" length="0">
    <dxf>
      <border outline="0">
        <bottom style="medium">
          <color indexed="64"/>
        </bottom>
      </border>
    </dxf>
  </rfmt>
  <rfmt sheetId="1" sqref="X461" start="0" length="0">
    <dxf>
      <border outline="0">
        <bottom style="medium">
          <color indexed="64"/>
        </bottom>
      </border>
    </dxf>
  </rfmt>
  <rfmt sheetId="1" sqref="Y461" start="0" length="0">
    <dxf>
      <border outline="0">
        <bottom style="medium">
          <color indexed="64"/>
        </bottom>
      </border>
    </dxf>
  </rfmt>
  <rfmt sheetId="1" sqref="Z461" start="0" length="0">
    <dxf>
      <border outline="0">
        <bottom style="medium">
          <color indexed="64"/>
        </bottom>
      </border>
    </dxf>
  </rfmt>
  <rcc rId="5755" sId="1" odxf="1" dxf="1">
    <nc r="AA461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756" sId="1" odxf="1" dxf="1">
    <nc r="AB461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461:XFD461" start="0" length="0">
    <dxf>
      <border outline="0">
        <bottom style="medium">
          <color indexed="64"/>
        </bottom>
      </border>
    </dxf>
  </rfmt>
  <rcc rId="5757" sId="1" odxf="1" dxf="1">
    <nc r="A462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58" sId="1" odxf="1" dxf="1">
    <nc r="B462" t="inlineStr">
      <is>
        <t>Lopro QC Mac 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59" sId="1" odxf="1" dxf="1">
    <nc r="C462">
      <v>4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60" sId="1" odxf="1" dxf="1">
    <nc r="D462" t="inlineStr">
      <is>
        <t>20-032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61" sId="1" odxf="1" dxf="1">
    <nc r="E462" t="inlineStr">
      <is>
        <t>W1030028/1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62" sId="1" odxf="1" dxf="1">
    <nc r="F462" t="inlineStr">
      <is>
        <t>VER1/0270-1085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63" sId="1" odxf="1" dxf="1">
    <nc r="G462" t="inlineStr">
      <is>
        <t>Spectrum QC MACS3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64" sId="1" odxf="1" dxf="1">
    <nc r="H462">
      <v>100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65" sId="1" odxf="1" dxf="1">
    <nc r="I462">
      <v>25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66" sId="1" odxf="1" dxf="1">
    <nc r="J462">
      <v>300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67" sId="1" odxf="1" dxf="1">
    <nc r="K462">
      <v>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68" sId="1" odxf="1" dxf="1" numFmtId="19">
    <nc r="L462">
      <v>46209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69" sId="1" odxf="1" dxf="1" numFmtId="19">
    <nc r="M462">
      <v>46210.055555555555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N462" start="0" length="0">
    <dxf>
      <fill>
        <patternFill patternType="solid">
          <bgColor theme="8" tint="0.39997558519241921"/>
        </patternFill>
      </fill>
    </dxf>
  </rfmt>
  <rfmt sheetId="1" sqref="O462" start="0" length="0">
    <dxf>
      <fill>
        <patternFill patternType="solid">
          <bgColor theme="8" tint="0.39997558519241921"/>
        </patternFill>
      </fill>
    </dxf>
  </rfmt>
  <rfmt sheetId="1" sqref="P462" start="0" length="0">
    <dxf>
      <fill>
        <patternFill patternType="solid">
          <bgColor theme="8" tint="0.39997558519241921"/>
        </patternFill>
      </fill>
    </dxf>
  </rfmt>
  <rfmt sheetId="1" sqref="Q462" start="0" length="0">
    <dxf>
      <fill>
        <patternFill patternType="solid">
          <bgColor theme="8" tint="0.39997558519241921"/>
        </patternFill>
      </fill>
    </dxf>
  </rfmt>
  <rfmt sheetId="1" sqref="R462" start="0" length="0">
    <dxf>
      <fill>
        <patternFill patternType="solid">
          <bgColor theme="8" tint="0.39997558519241921"/>
        </patternFill>
      </fill>
    </dxf>
  </rfmt>
  <rfmt sheetId="1" sqref="S462" start="0" length="0">
    <dxf>
      <fill>
        <patternFill patternType="solid">
          <bgColor theme="8" tint="0.39997558519241921"/>
        </patternFill>
      </fill>
    </dxf>
  </rfmt>
  <rfmt sheetId="1" sqref="T462" start="0" length="0">
    <dxf>
      <fill>
        <patternFill patternType="solid">
          <bgColor theme="8" tint="0.39997558519241921"/>
        </patternFill>
      </fill>
    </dxf>
  </rfmt>
  <rfmt sheetId="1" sqref="U462" start="0" length="0">
    <dxf>
      <fill>
        <patternFill patternType="solid">
          <bgColor theme="8" tint="0.39997558519241921"/>
        </patternFill>
      </fill>
    </dxf>
  </rfmt>
  <rfmt sheetId="1" sqref="V462" start="0" length="0">
    <dxf>
      <fill>
        <patternFill patternType="solid">
          <bgColor theme="8" tint="0.39997558519241921"/>
        </patternFill>
      </fill>
    </dxf>
  </rfmt>
  <rfmt sheetId="1" sqref="W462" start="0" length="0">
    <dxf>
      <fill>
        <patternFill patternType="solid">
          <bgColor theme="8" tint="0.39997558519241921"/>
        </patternFill>
      </fill>
    </dxf>
  </rfmt>
  <rfmt sheetId="1" sqref="X462" start="0" length="0">
    <dxf>
      <fill>
        <patternFill patternType="solid">
          <bgColor theme="8" tint="0.39997558519241921"/>
        </patternFill>
      </fill>
    </dxf>
  </rfmt>
  <rfmt sheetId="1" sqref="Y462" start="0" length="0">
    <dxf>
      <fill>
        <patternFill patternType="solid">
          <bgColor theme="8" tint="0.39997558519241921"/>
        </patternFill>
      </fill>
    </dxf>
  </rfmt>
  <rfmt sheetId="1" sqref="Z462" start="0" length="0">
    <dxf>
      <fill>
        <patternFill patternType="solid">
          <bgColor theme="8" tint="0.39997558519241921"/>
        </patternFill>
      </fill>
    </dxf>
  </rfmt>
  <rcc rId="5770" sId="1" odxf="1" dxf="1">
    <nc r="AA462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771" sId="1" odxf="1" dxf="1">
    <nc r="AB462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A462:XFD462" start="0" length="0">
    <dxf>
      <fill>
        <patternFill patternType="solid">
          <bgColor theme="8" tint="0.39997558519241921"/>
        </patternFill>
      </fill>
    </dxf>
  </rfmt>
  <rcc rId="5772" sId="1" odxf="1" dxf="1">
    <nc r="A463" t="inlineStr">
      <is>
        <t>Zone 3</t>
      </is>
    </nc>
    <odxf/>
    <ndxf/>
  </rcc>
  <rcc rId="5773" sId="1" odxf="1" dxf="1">
    <nc r="B463" t="inlineStr">
      <is>
        <t>Lopro QC Mac 3</t>
      </is>
    </nc>
    <odxf/>
    <ndxf/>
  </rcc>
  <rcc rId="5774" sId="1" odxf="1" dxf="1">
    <nc r="C463">
      <v>4</v>
    </nc>
    <odxf/>
    <ndxf/>
  </rcc>
  <rcc rId="5775" sId="1" odxf="1" dxf="1">
    <nc r="D463" t="inlineStr">
      <is>
        <t>20-032</t>
      </is>
    </nc>
    <odxf/>
    <ndxf/>
  </rcc>
  <rcc rId="5776" sId="1" odxf="1" dxf="1">
    <nc r="E463" t="inlineStr">
      <is>
        <t>W1030147/1</t>
      </is>
    </nc>
    <odxf/>
    <ndxf/>
  </rcc>
  <rcc rId="5777" sId="1" odxf="1" dxf="1">
    <nc r="F463" t="inlineStr">
      <is>
        <t>VER1/0270-1147</t>
      </is>
    </nc>
    <odxf/>
    <ndxf/>
  </rcc>
  <rcc rId="5778" sId="1" odxf="1" dxf="1">
    <nc r="G463" t="inlineStr">
      <is>
        <t>QC ECO ,MAC S3, NS, GS SPECTRUM BOX-10</t>
      </is>
    </nc>
    <odxf/>
    <ndxf/>
  </rcc>
  <rcc rId="5779" sId="1" odxf="1" dxf="1">
    <nc r="H463">
      <v>150</v>
    </nc>
    <odxf/>
    <ndxf/>
  </rcc>
  <rcc rId="5780" sId="1" odxf="1" dxf="1">
    <nc r="I463">
      <v>37.5</v>
    </nc>
    <odxf/>
    <ndxf/>
  </rcc>
  <rcc rId="5781" sId="1" odxf="1" dxf="1">
    <nc r="J463">
      <v>450</v>
    </nc>
    <odxf/>
    <ndxf/>
  </rcc>
  <rcc rId="5782" sId="1" odxf="1" dxf="1">
    <nc r="K463">
      <v>0</v>
    </nc>
    <odxf/>
    <ndxf/>
  </rcc>
  <rcc rId="5783" sId="1" odxf="1" dxf="1" numFmtId="19">
    <nc r="L463">
      <v>46210.0625</v>
    </nc>
    <odxf/>
    <ndxf/>
  </rcc>
  <rcc rId="5784" sId="1" odxf="1" dxf="1" numFmtId="19">
    <nc r="M463">
      <v>46211.638888888891</v>
    </nc>
    <odxf/>
    <ndxf/>
  </rcc>
  <rfmt sheetId="1" sqref="N463" start="0" length="0">
    <dxf/>
  </rfmt>
  <rcc rId="5785" sId="1" odxf="1" dxf="1">
    <nc r="O463" t="inlineStr">
      <is>
        <t>P</t>
      </is>
    </nc>
    <odxf/>
    <ndxf/>
  </rcc>
  <rfmt sheetId="1" sqref="P463" start="0" length="0">
    <dxf/>
  </rfmt>
  <rfmt sheetId="1" sqref="Q463" start="0" length="0">
    <dxf/>
  </rfmt>
  <rfmt sheetId="1" sqref="R463" start="0" length="0">
    <dxf/>
  </rfmt>
  <rfmt sheetId="1" sqref="S463" start="0" length="0">
    <dxf/>
  </rfmt>
  <rfmt sheetId="1" sqref="T463" start="0" length="0">
    <dxf/>
  </rfmt>
  <rfmt sheetId="1" sqref="U463" start="0" length="0">
    <dxf/>
  </rfmt>
  <rfmt sheetId="1" sqref="V463" start="0" length="0">
    <dxf/>
  </rfmt>
  <rfmt sheetId="1" sqref="W463" start="0" length="0">
    <dxf/>
  </rfmt>
  <rfmt sheetId="1" sqref="X463" start="0" length="0">
    <dxf/>
  </rfmt>
  <rfmt sheetId="1" sqref="Y463" start="0" length="0">
    <dxf/>
  </rfmt>
  <rfmt sheetId="1" sqref="Z463" start="0" length="0">
    <dxf/>
  </rfmt>
  <rcc rId="5786" sId="1" odxf="1" dxf="1">
    <nc r="AA463" t="inlineStr">
      <is>
        <t>1</t>
      </is>
    </nc>
    <odxf/>
    <ndxf/>
  </rcc>
  <rcc rId="5787" sId="1" odxf="1" dxf="1">
    <nc r="AB463" t="inlineStr">
      <is>
        <t>0</t>
      </is>
    </nc>
    <odxf/>
    <ndxf/>
  </rcc>
  <rfmt sheetId="1" sqref="A463:XFD463" start="0" length="0">
    <dxf/>
  </rfmt>
  <rfmt sheetId="1" sqref="A464" start="0" length="0">
    <dxf>
      <fill>
        <patternFill patternType="solid">
          <bgColor theme="0" tint="-4.9989318521683403E-2"/>
        </patternFill>
      </fill>
    </dxf>
  </rfmt>
  <rfmt sheetId="1" sqref="B464" start="0" length="0">
    <dxf>
      <fill>
        <patternFill patternType="solid">
          <bgColor theme="0" tint="-4.9989318521683403E-2"/>
        </patternFill>
      </fill>
    </dxf>
  </rfmt>
  <rfmt sheetId="1" sqref="C464" start="0" length="0">
    <dxf>
      <fill>
        <patternFill patternType="solid">
          <bgColor theme="0" tint="-4.9989318521683403E-2"/>
        </patternFill>
      </fill>
    </dxf>
  </rfmt>
  <rfmt sheetId="1" sqref="D464" start="0" length="0">
    <dxf>
      <fill>
        <patternFill patternType="solid">
          <bgColor theme="0" tint="-4.9989318521683403E-2"/>
        </patternFill>
      </fill>
    </dxf>
  </rfmt>
  <rfmt sheetId="1" sqref="E464" start="0" length="0">
    <dxf>
      <fill>
        <patternFill patternType="solid">
          <bgColor theme="0" tint="-4.9989318521683403E-2"/>
        </patternFill>
      </fill>
    </dxf>
  </rfmt>
  <rfmt sheetId="1" sqref="F464" start="0" length="0">
    <dxf>
      <fill>
        <patternFill patternType="solid">
          <bgColor theme="0" tint="-4.9989318521683403E-2"/>
        </patternFill>
      </fill>
    </dxf>
  </rfmt>
  <rfmt sheetId="1" sqref="G464" start="0" length="0">
    <dxf>
      <fill>
        <patternFill patternType="solid">
          <bgColor theme="0" tint="-4.9989318521683403E-2"/>
        </patternFill>
      </fill>
    </dxf>
  </rfmt>
  <rfmt sheetId="1" sqref="H464" start="0" length="0">
    <dxf>
      <fill>
        <patternFill patternType="solid">
          <bgColor theme="0" tint="-4.9989318521683403E-2"/>
        </patternFill>
      </fill>
    </dxf>
  </rfmt>
  <rfmt sheetId="1" sqref="I464" start="0" length="0">
    <dxf>
      <fill>
        <patternFill patternType="solid">
          <bgColor theme="0" tint="-4.9989318521683403E-2"/>
        </patternFill>
      </fill>
    </dxf>
  </rfmt>
  <rfmt sheetId="1" sqref="J464" start="0" length="0">
    <dxf>
      <fill>
        <patternFill patternType="solid">
          <bgColor theme="0" tint="-4.9989318521683403E-2"/>
        </patternFill>
      </fill>
    </dxf>
  </rfmt>
  <rfmt sheetId="1" sqref="K464" start="0" length="0">
    <dxf>
      <fill>
        <patternFill patternType="solid">
          <bgColor theme="0" tint="-4.9989318521683403E-2"/>
        </patternFill>
      </fill>
    </dxf>
  </rfmt>
  <rfmt sheetId="1" sqref="L464" start="0" length="0">
    <dxf>
      <fill>
        <patternFill patternType="solid">
          <bgColor theme="0" tint="-4.9989318521683403E-2"/>
        </patternFill>
      </fill>
    </dxf>
  </rfmt>
  <rfmt sheetId="1" sqref="M464" start="0" length="0">
    <dxf>
      <fill>
        <patternFill patternType="solid">
          <bgColor theme="0" tint="-4.9989318521683403E-2"/>
        </patternFill>
      </fill>
    </dxf>
  </rfmt>
  <rfmt sheetId="1" sqref="N464" start="0" length="0">
    <dxf>
      <fill>
        <patternFill patternType="solid">
          <bgColor theme="0" tint="-4.9989318521683403E-2"/>
        </patternFill>
      </fill>
    </dxf>
  </rfmt>
  <rfmt sheetId="1" sqref="O464" start="0" length="0">
    <dxf>
      <fill>
        <patternFill patternType="solid">
          <bgColor theme="0" tint="-4.9989318521683403E-2"/>
        </patternFill>
      </fill>
    </dxf>
  </rfmt>
  <rfmt sheetId="1" sqref="P464" start="0" length="0">
    <dxf>
      <fill>
        <patternFill patternType="solid">
          <bgColor theme="0" tint="-4.9989318521683403E-2"/>
        </patternFill>
      </fill>
    </dxf>
  </rfmt>
  <rfmt sheetId="1" sqref="Q464" start="0" length="0">
    <dxf>
      <fill>
        <patternFill patternType="solid">
          <bgColor theme="0" tint="-4.9989318521683403E-2"/>
        </patternFill>
      </fill>
    </dxf>
  </rfmt>
  <rfmt sheetId="1" sqref="R464" start="0" length="0">
    <dxf>
      <fill>
        <patternFill patternType="solid">
          <bgColor theme="0" tint="-4.9989318521683403E-2"/>
        </patternFill>
      </fill>
    </dxf>
  </rfmt>
  <rfmt sheetId="1" sqref="S464" start="0" length="0">
    <dxf>
      <fill>
        <patternFill patternType="solid">
          <bgColor theme="0" tint="-4.9989318521683403E-2"/>
        </patternFill>
      </fill>
    </dxf>
  </rfmt>
  <rfmt sheetId="1" sqref="T464" start="0" length="0">
    <dxf>
      <fill>
        <patternFill patternType="solid">
          <bgColor theme="0" tint="-4.9989318521683403E-2"/>
        </patternFill>
      </fill>
    </dxf>
  </rfmt>
  <rfmt sheetId="1" sqref="U464" start="0" length="0">
    <dxf>
      <fill>
        <patternFill patternType="solid">
          <bgColor theme="0" tint="-4.9989318521683403E-2"/>
        </patternFill>
      </fill>
    </dxf>
  </rfmt>
  <rfmt sheetId="1" sqref="V464" start="0" length="0">
    <dxf>
      <fill>
        <patternFill patternType="solid">
          <bgColor theme="0" tint="-4.9989318521683403E-2"/>
        </patternFill>
      </fill>
    </dxf>
  </rfmt>
  <rfmt sheetId="1" sqref="W464" start="0" length="0">
    <dxf>
      <fill>
        <patternFill patternType="solid">
          <bgColor theme="0" tint="-4.9989318521683403E-2"/>
        </patternFill>
      </fill>
    </dxf>
  </rfmt>
  <rfmt sheetId="1" sqref="X464" start="0" length="0">
    <dxf>
      <fill>
        <patternFill patternType="solid">
          <bgColor theme="0" tint="-4.9989318521683403E-2"/>
        </patternFill>
      </fill>
    </dxf>
  </rfmt>
  <rfmt sheetId="1" sqref="Y464" start="0" length="0">
    <dxf>
      <fill>
        <patternFill patternType="solid">
          <bgColor theme="0" tint="-4.9989318521683403E-2"/>
        </patternFill>
      </fill>
    </dxf>
  </rfmt>
  <rfmt sheetId="1" sqref="Z464" start="0" length="0">
    <dxf>
      <fill>
        <patternFill patternType="solid">
          <bgColor theme="0" tint="-4.9989318521683403E-2"/>
        </patternFill>
      </fill>
    </dxf>
  </rfmt>
  <rfmt sheetId="1" sqref="AA464" start="0" length="0">
    <dxf>
      <fill>
        <patternFill patternType="solid">
          <bgColor theme="0" tint="-4.9989318521683403E-2"/>
        </patternFill>
      </fill>
    </dxf>
  </rfmt>
  <rfmt sheetId="1" sqref="AB464" start="0" length="0">
    <dxf>
      <fill>
        <patternFill patternType="solid">
          <bgColor theme="0" tint="-4.9989318521683403E-2"/>
        </patternFill>
      </fill>
    </dxf>
  </rfmt>
  <rfmt sheetId="1" sqref="A464:XFD464" start="0" length="0">
    <dxf>
      <fill>
        <patternFill patternType="solid">
          <bgColor theme="0" tint="-4.9989318521683403E-2"/>
        </patternFill>
      </fill>
    </dxf>
  </rfmt>
  <rcc rId="5788" sId="1" odxf="1" dxf="1">
    <nc r="A465" t="inlineStr">
      <is>
        <t>Zone 3</t>
      </is>
    </nc>
    <odxf/>
    <ndxf/>
  </rcc>
  <rcc rId="5789" sId="1" odxf="1" dxf="1">
    <nc r="B465" t="inlineStr">
      <is>
        <t>Lopro QC Mac 3</t>
      </is>
    </nc>
    <odxf/>
    <ndxf/>
  </rcc>
  <rcc rId="5790" sId="1" odxf="1" dxf="1">
    <nc r="C465">
      <v>4</v>
    </nc>
    <odxf/>
    <ndxf/>
  </rcc>
  <rcc rId="5791" sId="1" odxf="1" dxf="1">
    <nc r="D465" t="inlineStr">
      <is>
        <t>20-032</t>
      </is>
    </nc>
    <odxf/>
    <ndxf/>
  </rcc>
  <rcc rId="5792" sId="1" odxf="1" dxf="1">
    <nc r="E465" t="inlineStr">
      <is>
        <t>W1029029/1</t>
      </is>
    </nc>
    <odxf/>
    <ndxf/>
  </rcc>
  <rcc rId="5793" sId="1" odxf="1" dxf="1">
    <nc r="F465" t="inlineStr">
      <is>
        <t>VER1/0270-1147</t>
      </is>
    </nc>
    <odxf/>
    <ndxf/>
  </rcc>
  <rcc rId="5794" sId="1" odxf="1" dxf="1">
    <nc r="G465" t="inlineStr">
      <is>
        <t>QC ECO ,MAC S3, NS, GS SPECTRUM BOX-10</t>
      </is>
    </nc>
    <odxf/>
    <ndxf/>
  </rcc>
  <rcc rId="5795" sId="1" odxf="1" dxf="1">
    <nc r="H465">
      <v>150</v>
    </nc>
    <odxf/>
    <ndxf/>
  </rcc>
  <rcc rId="5796" sId="1" odxf="1" dxf="1">
    <nc r="I465">
      <v>37.5</v>
    </nc>
    <odxf/>
    <ndxf/>
  </rcc>
  <rcc rId="5797" sId="1" odxf="1" dxf="1">
    <nc r="J465">
      <v>450</v>
    </nc>
    <odxf/>
    <ndxf/>
  </rcc>
  <rcc rId="5798" sId="1" odxf="1" dxf="1">
    <nc r="K465">
      <v>0</v>
    </nc>
    <odxf/>
    <ndxf/>
  </rcc>
  <rcc rId="5799" sId="1" odxf="1" dxf="1" numFmtId="19">
    <nc r="L465">
      <v>46216</v>
    </nc>
    <odxf/>
    <ndxf/>
  </rcc>
  <rcc rId="5800" sId="1" odxf="1" dxf="1" numFmtId="19">
    <nc r="M465">
      <v>46217.576388888891</v>
    </nc>
    <odxf/>
    <ndxf/>
  </rcc>
  <rfmt sheetId="1" sqref="N465" start="0" length="0">
    <dxf/>
  </rfmt>
  <rfmt sheetId="1" sqref="O465" start="0" length="0">
    <dxf/>
  </rfmt>
  <rfmt sheetId="1" sqref="P465" start="0" length="0">
    <dxf/>
  </rfmt>
  <rfmt sheetId="1" sqref="Q465" start="0" length="0">
    <dxf/>
  </rfmt>
  <rfmt sheetId="1" sqref="R465" start="0" length="0">
    <dxf/>
  </rfmt>
  <rfmt sheetId="1" sqref="S465" start="0" length="0">
    <dxf/>
  </rfmt>
  <rfmt sheetId="1" sqref="T465" start="0" length="0">
    <dxf/>
  </rfmt>
  <rfmt sheetId="1" sqref="U465" start="0" length="0">
    <dxf/>
  </rfmt>
  <rfmt sheetId="1" sqref="V465" start="0" length="0">
    <dxf/>
  </rfmt>
  <rfmt sheetId="1" sqref="W465" start="0" length="0">
    <dxf/>
  </rfmt>
  <rfmt sheetId="1" sqref="X465" start="0" length="0">
    <dxf/>
  </rfmt>
  <rfmt sheetId="1" sqref="Y465" start="0" length="0">
    <dxf/>
  </rfmt>
  <rfmt sheetId="1" sqref="Z465" start="0" length="0">
    <dxf/>
  </rfmt>
  <rcc rId="5801" sId="1" odxf="1" dxf="1">
    <nc r="AA465" t="inlineStr">
      <is>
        <t>1</t>
      </is>
    </nc>
    <odxf/>
    <ndxf/>
  </rcc>
  <rcc rId="5802" sId="1" odxf="1" dxf="1">
    <nc r="AB465" t="inlineStr">
      <is>
        <t>0</t>
      </is>
    </nc>
    <odxf/>
    <ndxf/>
  </rcc>
  <rfmt sheetId="1" sqref="A465:XFD465" start="0" length="0">
    <dxf/>
  </rfmt>
  <rcc rId="5803" sId="1" odxf="1" dxf="1">
    <nc r="A466" t="inlineStr">
      <is>
        <t>Zone 3</t>
      </is>
    </nc>
    <odxf/>
    <ndxf/>
  </rcc>
  <rcc rId="5804" sId="1" odxf="1" dxf="1">
    <nc r="B466" t="inlineStr">
      <is>
        <t>Lopro QC Mac 3</t>
      </is>
    </nc>
    <odxf/>
    <ndxf/>
  </rcc>
  <rcc rId="5805" sId="1" odxf="1" dxf="1">
    <nc r="C466">
      <v>4</v>
    </nc>
    <odxf/>
    <ndxf/>
  </rcc>
  <rcc rId="5806" sId="1" odxf="1" dxf="1">
    <nc r="D466" t="inlineStr">
      <is>
        <t>20-032</t>
      </is>
    </nc>
    <odxf/>
    <ndxf/>
  </rcc>
  <rcc rId="5807" sId="1" odxf="1" dxf="1">
    <nc r="E466" t="inlineStr">
      <is>
        <t>W1029675/1</t>
      </is>
    </nc>
    <odxf/>
    <ndxf/>
  </rcc>
  <rcc rId="5808" sId="1" odxf="1" dxf="1">
    <nc r="F466" t="inlineStr">
      <is>
        <t>VER1/0270-1147</t>
      </is>
    </nc>
    <odxf/>
    <ndxf/>
  </rcc>
  <rcc rId="5809" sId="1" odxf="1" dxf="1">
    <nc r="G466" t="inlineStr">
      <is>
        <t>QC ECO ,MAC S3, NS, GS SPECTRUM BOX-10</t>
      </is>
    </nc>
    <odxf/>
    <ndxf/>
  </rcc>
  <rcc rId="5810" sId="1" odxf="1" dxf="1">
    <nc r="H466">
      <v>100</v>
    </nc>
    <odxf/>
    <ndxf/>
  </rcc>
  <rcc rId="5811" sId="1" odxf="1" dxf="1">
    <nc r="I466">
      <v>25</v>
    </nc>
    <odxf/>
    <ndxf/>
  </rcc>
  <rcc rId="5812" sId="1" odxf="1" dxf="1">
    <nc r="J466">
      <v>300</v>
    </nc>
    <odxf/>
    <ndxf/>
  </rcc>
  <rcc rId="5813" sId="1" odxf="1" dxf="1">
    <nc r="K466">
      <v>0</v>
    </nc>
    <odxf/>
    <ndxf/>
  </rcc>
  <rcc rId="5814" sId="1" odxf="1" dxf="1" numFmtId="19">
    <nc r="L466">
      <v>46217.583333333336</v>
    </nc>
    <odxf/>
    <ndxf/>
  </rcc>
  <rcc rId="5815" sId="1" odxf="1" dxf="1" numFmtId="19">
    <nc r="M466">
      <v>46218.638888888891</v>
    </nc>
    <odxf/>
    <ndxf/>
  </rcc>
  <rfmt sheetId="1" sqref="N466" start="0" length="0">
    <dxf/>
  </rfmt>
  <rfmt sheetId="1" sqref="O466" start="0" length="0">
    <dxf/>
  </rfmt>
  <rfmt sheetId="1" sqref="P466" start="0" length="0">
    <dxf/>
  </rfmt>
  <rfmt sheetId="1" sqref="Q466" start="0" length="0">
    <dxf/>
  </rfmt>
  <rfmt sheetId="1" sqref="R466" start="0" length="0">
    <dxf/>
  </rfmt>
  <rfmt sheetId="1" sqref="S466" start="0" length="0">
    <dxf/>
  </rfmt>
  <rfmt sheetId="1" sqref="T466" start="0" length="0">
    <dxf/>
  </rfmt>
  <rfmt sheetId="1" sqref="U466" start="0" length="0">
    <dxf/>
  </rfmt>
  <rfmt sheetId="1" sqref="V466" start="0" length="0">
    <dxf/>
  </rfmt>
  <rfmt sheetId="1" sqref="W466" start="0" length="0">
    <dxf/>
  </rfmt>
  <rfmt sheetId="1" sqref="X466" start="0" length="0">
    <dxf/>
  </rfmt>
  <rfmt sheetId="1" sqref="Y466" start="0" length="0">
    <dxf/>
  </rfmt>
  <rfmt sheetId="1" sqref="Z466" start="0" length="0">
    <dxf/>
  </rfmt>
  <rcc rId="5816" sId="1" odxf="1" dxf="1">
    <nc r="AA466" t="inlineStr">
      <is>
        <t>1</t>
      </is>
    </nc>
    <odxf/>
    <ndxf/>
  </rcc>
  <rcc rId="5817" sId="1" odxf="1" dxf="1">
    <nc r="AB466" t="inlineStr">
      <is>
        <t>0</t>
      </is>
    </nc>
    <odxf/>
    <ndxf/>
  </rcc>
  <rfmt sheetId="1" sqref="A466:XFD466" start="0" length="0">
    <dxf/>
  </rfmt>
  <rfmt sheetId="1" sqref="A467" start="0" length="0">
    <dxf>
      <fill>
        <patternFill patternType="solid">
          <bgColor theme="0" tint="-4.9989318521683403E-2"/>
        </patternFill>
      </fill>
    </dxf>
  </rfmt>
  <rfmt sheetId="1" sqref="B467" start="0" length="0">
    <dxf>
      <fill>
        <patternFill patternType="solid">
          <bgColor theme="0" tint="-4.9989318521683403E-2"/>
        </patternFill>
      </fill>
    </dxf>
  </rfmt>
  <rfmt sheetId="1" sqref="C467" start="0" length="0">
    <dxf>
      <fill>
        <patternFill patternType="solid">
          <bgColor theme="0" tint="-4.9989318521683403E-2"/>
        </patternFill>
      </fill>
    </dxf>
  </rfmt>
  <rfmt sheetId="1" sqref="D467" start="0" length="0">
    <dxf>
      <fill>
        <patternFill patternType="solid">
          <bgColor theme="0" tint="-4.9989318521683403E-2"/>
        </patternFill>
      </fill>
    </dxf>
  </rfmt>
  <rfmt sheetId="1" sqref="E467" start="0" length="0">
    <dxf>
      <fill>
        <patternFill patternType="solid">
          <bgColor theme="0" tint="-4.9989318521683403E-2"/>
        </patternFill>
      </fill>
    </dxf>
  </rfmt>
  <rfmt sheetId="1" sqref="F467" start="0" length="0">
    <dxf>
      <fill>
        <patternFill patternType="solid">
          <bgColor theme="0" tint="-4.9989318521683403E-2"/>
        </patternFill>
      </fill>
    </dxf>
  </rfmt>
  <rfmt sheetId="1" sqref="G467" start="0" length="0">
    <dxf>
      <fill>
        <patternFill patternType="solid">
          <bgColor theme="0" tint="-4.9989318521683403E-2"/>
        </patternFill>
      </fill>
    </dxf>
  </rfmt>
  <rfmt sheetId="1" sqref="H467" start="0" length="0">
    <dxf>
      <fill>
        <patternFill patternType="solid">
          <bgColor theme="0" tint="-4.9989318521683403E-2"/>
        </patternFill>
      </fill>
    </dxf>
  </rfmt>
  <rfmt sheetId="1" sqref="I467" start="0" length="0">
    <dxf>
      <fill>
        <patternFill patternType="solid">
          <bgColor theme="0" tint="-4.9989318521683403E-2"/>
        </patternFill>
      </fill>
    </dxf>
  </rfmt>
  <rfmt sheetId="1" sqref="J467" start="0" length="0">
    <dxf>
      <fill>
        <patternFill patternType="solid">
          <bgColor theme="0" tint="-4.9989318521683403E-2"/>
        </patternFill>
      </fill>
    </dxf>
  </rfmt>
  <rfmt sheetId="1" sqref="K467" start="0" length="0">
    <dxf>
      <fill>
        <patternFill patternType="solid">
          <bgColor theme="0" tint="-4.9989318521683403E-2"/>
        </patternFill>
      </fill>
    </dxf>
  </rfmt>
  <rfmt sheetId="1" sqref="L467" start="0" length="0">
    <dxf>
      <fill>
        <patternFill patternType="solid">
          <bgColor theme="0" tint="-4.9989318521683403E-2"/>
        </patternFill>
      </fill>
    </dxf>
  </rfmt>
  <rfmt sheetId="1" sqref="M467" start="0" length="0">
    <dxf>
      <fill>
        <patternFill patternType="solid">
          <bgColor theme="0" tint="-4.9989318521683403E-2"/>
        </patternFill>
      </fill>
    </dxf>
  </rfmt>
  <rfmt sheetId="1" sqref="N467" start="0" length="0">
    <dxf>
      <fill>
        <patternFill patternType="solid">
          <bgColor theme="0" tint="-4.9989318521683403E-2"/>
        </patternFill>
      </fill>
    </dxf>
  </rfmt>
  <rfmt sheetId="1" sqref="O467" start="0" length="0">
    <dxf>
      <fill>
        <patternFill patternType="solid">
          <bgColor theme="0" tint="-4.9989318521683403E-2"/>
        </patternFill>
      </fill>
    </dxf>
  </rfmt>
  <rfmt sheetId="1" sqref="P467" start="0" length="0">
    <dxf>
      <fill>
        <patternFill patternType="solid">
          <bgColor theme="0" tint="-4.9989318521683403E-2"/>
        </patternFill>
      </fill>
    </dxf>
  </rfmt>
  <rfmt sheetId="1" sqref="Q467" start="0" length="0">
    <dxf>
      <fill>
        <patternFill patternType="solid">
          <bgColor theme="0" tint="-4.9989318521683403E-2"/>
        </patternFill>
      </fill>
    </dxf>
  </rfmt>
  <rfmt sheetId="1" sqref="R467" start="0" length="0">
    <dxf>
      <fill>
        <patternFill patternType="solid">
          <bgColor theme="0" tint="-4.9989318521683403E-2"/>
        </patternFill>
      </fill>
    </dxf>
  </rfmt>
  <rfmt sheetId="1" sqref="S467" start="0" length="0">
    <dxf>
      <fill>
        <patternFill patternType="solid">
          <bgColor theme="0" tint="-4.9989318521683403E-2"/>
        </patternFill>
      </fill>
    </dxf>
  </rfmt>
  <rfmt sheetId="1" sqref="T467" start="0" length="0">
    <dxf>
      <fill>
        <patternFill patternType="solid">
          <bgColor theme="0" tint="-4.9989318521683403E-2"/>
        </patternFill>
      </fill>
    </dxf>
  </rfmt>
  <rfmt sheetId="1" sqref="U467" start="0" length="0">
    <dxf>
      <fill>
        <patternFill patternType="solid">
          <bgColor theme="0" tint="-4.9989318521683403E-2"/>
        </patternFill>
      </fill>
    </dxf>
  </rfmt>
  <rfmt sheetId="1" sqref="V467" start="0" length="0">
    <dxf>
      <fill>
        <patternFill patternType="solid">
          <bgColor theme="0" tint="-4.9989318521683403E-2"/>
        </patternFill>
      </fill>
    </dxf>
  </rfmt>
  <rfmt sheetId="1" sqref="W467" start="0" length="0">
    <dxf>
      <fill>
        <patternFill patternType="solid">
          <bgColor theme="0" tint="-4.9989318521683403E-2"/>
        </patternFill>
      </fill>
    </dxf>
  </rfmt>
  <rfmt sheetId="1" sqref="X467" start="0" length="0">
    <dxf>
      <fill>
        <patternFill patternType="solid">
          <bgColor theme="0" tint="-4.9989318521683403E-2"/>
        </patternFill>
      </fill>
    </dxf>
  </rfmt>
  <rfmt sheetId="1" sqref="Y467" start="0" length="0">
    <dxf>
      <fill>
        <patternFill patternType="solid">
          <bgColor theme="0" tint="-4.9989318521683403E-2"/>
        </patternFill>
      </fill>
    </dxf>
  </rfmt>
  <rfmt sheetId="1" sqref="Z467" start="0" length="0">
    <dxf>
      <fill>
        <patternFill patternType="solid">
          <bgColor theme="0" tint="-4.9989318521683403E-2"/>
        </patternFill>
      </fill>
    </dxf>
  </rfmt>
  <rfmt sheetId="1" sqref="AA467" start="0" length="0">
    <dxf>
      <fill>
        <patternFill patternType="solid">
          <bgColor theme="0" tint="-4.9989318521683403E-2"/>
        </patternFill>
      </fill>
    </dxf>
  </rfmt>
  <rfmt sheetId="1" sqref="AB467" start="0" length="0">
    <dxf>
      <fill>
        <patternFill patternType="solid">
          <bgColor theme="0" tint="-4.9989318521683403E-2"/>
        </patternFill>
      </fill>
    </dxf>
  </rfmt>
  <rfmt sheetId="1" sqref="A467:XFD467" start="0" length="0">
    <dxf>
      <fill>
        <patternFill patternType="solid">
          <bgColor theme="0" tint="-4.9989318521683403E-2"/>
        </patternFill>
      </fill>
    </dxf>
  </rfmt>
  <rcc rId="5818" sId="1" odxf="1" dxf="1">
    <nc r="A468" t="inlineStr">
      <is>
        <t>Zone 3</t>
      </is>
    </nc>
    <odxf/>
    <ndxf/>
  </rcc>
  <rcc rId="5819" sId="1" odxf="1" dxf="1">
    <nc r="B468" t="inlineStr">
      <is>
        <t>Lopro QC Mac 3</t>
      </is>
    </nc>
    <odxf/>
    <ndxf/>
  </rcc>
  <rcc rId="5820" sId="1" odxf="1" dxf="1">
    <nc r="C468">
      <v>4</v>
    </nc>
    <odxf/>
    <ndxf/>
  </rcc>
  <rcc rId="5821" sId="1" odxf="1" dxf="1">
    <nc r="D468" t="inlineStr">
      <is>
        <t>20-032</t>
      </is>
    </nc>
    <odxf/>
    <ndxf/>
  </rcc>
  <rcc rId="5822" sId="1" odxf="1" dxf="1">
    <nc r="E468" t="inlineStr">
      <is>
        <t>W1027536/1</t>
      </is>
    </nc>
    <odxf/>
    <ndxf/>
  </rcc>
  <rcc rId="5823" sId="1" odxf="1" dxf="1">
    <nc r="F468" t="inlineStr">
      <is>
        <t>VER1/0270-1147</t>
      </is>
    </nc>
    <odxf/>
    <ndxf/>
  </rcc>
  <rcc rId="5824" sId="1" odxf="1" dxf="1">
    <nc r="G468" t="inlineStr">
      <is>
        <t>QC ECO ,MAC S3, NS, GS SPECTRUM BOX-10</t>
      </is>
    </nc>
    <odxf/>
    <ndxf/>
  </rcc>
  <rcc rId="5825" sId="1" odxf="1" dxf="1">
    <nc r="H468">
      <v>100</v>
    </nc>
    <odxf/>
    <ndxf/>
  </rcc>
  <rcc rId="5826" sId="1" odxf="1" dxf="1">
    <nc r="I468">
      <v>25</v>
    </nc>
    <odxf/>
    <ndxf/>
  </rcc>
  <rcc rId="5827" sId="1" odxf="1" dxf="1">
    <nc r="J468">
      <v>300</v>
    </nc>
    <odxf/>
    <ndxf/>
  </rcc>
  <rcc rId="5828" sId="1" odxf="1" dxf="1">
    <nc r="K468">
      <v>0</v>
    </nc>
    <odxf/>
    <ndxf/>
  </rcc>
  <rcc rId="5829" sId="1" odxf="1" dxf="1" numFmtId="19">
    <nc r="L468">
      <v>46219.645833333336</v>
    </nc>
    <odxf/>
    <ndxf/>
  </rcc>
  <rcc rId="5830" sId="1" odxf="1" dxf="1" numFmtId="19">
    <nc r="M468">
      <v>46222.993055555555</v>
    </nc>
    <odxf/>
    <ndxf/>
  </rcc>
  <rfmt sheetId="1" sqref="N468" start="0" length="0">
    <dxf/>
  </rfmt>
  <rfmt sheetId="1" sqref="O468" start="0" length="0">
    <dxf/>
  </rfmt>
  <rfmt sheetId="1" sqref="P468" start="0" length="0">
    <dxf/>
  </rfmt>
  <rfmt sheetId="1" sqref="Q468" start="0" length="0">
    <dxf/>
  </rfmt>
  <rfmt sheetId="1" sqref="R468" start="0" length="0">
    <dxf/>
  </rfmt>
  <rfmt sheetId="1" sqref="S468" start="0" length="0">
    <dxf/>
  </rfmt>
  <rfmt sheetId="1" sqref="T468" start="0" length="0">
    <dxf/>
  </rfmt>
  <rfmt sheetId="1" sqref="U468" start="0" length="0">
    <dxf/>
  </rfmt>
  <rfmt sheetId="1" sqref="V468" start="0" length="0">
    <dxf/>
  </rfmt>
  <rfmt sheetId="1" sqref="W468" start="0" length="0">
    <dxf/>
  </rfmt>
  <rfmt sheetId="1" sqref="X468" start="0" length="0">
    <dxf/>
  </rfmt>
  <rfmt sheetId="1" sqref="Y468" start="0" length="0">
    <dxf/>
  </rfmt>
  <rfmt sheetId="1" sqref="Z468" start="0" length="0">
    <dxf/>
  </rfmt>
  <rcc rId="5831" sId="1" odxf="1" dxf="1">
    <nc r="AA468" t="inlineStr">
      <is>
        <t>1</t>
      </is>
    </nc>
    <odxf/>
    <ndxf/>
  </rcc>
  <rcc rId="5832" sId="1" odxf="1" dxf="1">
    <nc r="AB468" t="inlineStr">
      <is>
        <t>0</t>
      </is>
    </nc>
    <odxf/>
    <ndxf/>
  </rcc>
  <rfmt sheetId="1" sqref="A468:XFD468" start="0" length="0">
    <dxf/>
  </rfmt>
  <rcc rId="5833" sId="1" odxf="1" dxf="1">
    <nc r="A469" t="inlineStr">
      <is>
        <t>Zone 3</t>
      </is>
    </nc>
    <odxf/>
    <ndxf/>
  </rcc>
  <rcc rId="5834" sId="1" odxf="1" dxf="1">
    <nc r="B469" t="inlineStr">
      <is>
        <t>Lopro QC Mac 3</t>
      </is>
    </nc>
    <odxf/>
    <ndxf/>
  </rcc>
  <rcc rId="5835" sId="1" odxf="1" dxf="1">
    <nc r="C469">
      <v>4</v>
    </nc>
    <odxf/>
    <ndxf/>
  </rcc>
  <rcc rId="5836" sId="1" odxf="1" dxf="1">
    <nc r="D469" t="inlineStr">
      <is>
        <t>20-032</t>
      </is>
    </nc>
    <odxf/>
    <ndxf/>
  </rcc>
  <rcc rId="5837" sId="1" odxf="1" dxf="1">
    <nc r="E469" t="inlineStr">
      <is>
        <t>W1030027/1</t>
      </is>
    </nc>
    <odxf/>
    <ndxf/>
  </rcc>
  <rcc rId="5838" sId="1" odxf="1" dxf="1">
    <nc r="F469" t="inlineStr">
      <is>
        <t>VER1/0270-1085</t>
      </is>
    </nc>
    <odxf/>
    <ndxf/>
  </rcc>
  <rcc rId="5839" sId="1" odxf="1" dxf="1">
    <nc r="G469" t="inlineStr">
      <is>
        <t>Spectrum QC MACS3</t>
      </is>
    </nc>
    <odxf/>
    <ndxf/>
  </rcc>
  <rcc rId="5840" sId="1" odxf="1" dxf="1">
    <nc r="H469">
      <v>150</v>
    </nc>
    <odxf/>
    <ndxf/>
  </rcc>
  <rcc rId="5841" sId="1" odxf="1" dxf="1">
    <nc r="I469">
      <v>37.5</v>
    </nc>
    <odxf/>
    <ndxf/>
  </rcc>
  <rcc rId="5842" sId="1" odxf="1" dxf="1">
    <nc r="J469">
      <v>450</v>
    </nc>
    <odxf/>
    <ndxf/>
  </rcc>
  <rcc rId="5843" sId="1" odxf="1" dxf="1">
    <nc r="K469">
      <v>0</v>
    </nc>
    <odxf/>
    <ndxf/>
  </rcc>
  <rcc rId="5844" sId="1" odxf="1" dxf="1" numFmtId="19">
    <nc r="L469">
      <v>46223</v>
    </nc>
    <odxf/>
    <ndxf/>
  </rcc>
  <rcc rId="5845" sId="1" odxf="1" dxf="1" numFmtId="19">
    <nc r="M469">
      <v>46224.576388888891</v>
    </nc>
    <odxf/>
    <ndxf/>
  </rcc>
  <rfmt sheetId="1" sqref="N469" start="0" length="0">
    <dxf/>
  </rfmt>
  <rfmt sheetId="1" sqref="O469" start="0" length="0">
    <dxf/>
  </rfmt>
  <rfmt sheetId="1" sqref="P469" start="0" length="0">
    <dxf/>
  </rfmt>
  <rfmt sheetId="1" sqref="Q469" start="0" length="0">
    <dxf/>
  </rfmt>
  <rfmt sheetId="1" sqref="R469" start="0" length="0">
    <dxf/>
  </rfmt>
  <rfmt sheetId="1" sqref="S469" start="0" length="0">
    <dxf/>
  </rfmt>
  <rfmt sheetId="1" sqref="T469" start="0" length="0">
    <dxf/>
  </rfmt>
  <rfmt sheetId="1" sqref="U469" start="0" length="0">
    <dxf/>
  </rfmt>
  <rfmt sheetId="1" sqref="V469" start="0" length="0">
    <dxf/>
  </rfmt>
  <rfmt sheetId="1" sqref="W469" start="0" length="0">
    <dxf/>
  </rfmt>
  <rfmt sheetId="1" sqref="X469" start="0" length="0">
    <dxf/>
  </rfmt>
  <rfmt sheetId="1" sqref="Y469" start="0" length="0">
    <dxf/>
  </rfmt>
  <rfmt sheetId="1" sqref="Z469" start="0" length="0">
    <dxf/>
  </rfmt>
  <rcc rId="5846" sId="1" odxf="1" dxf="1">
    <nc r="AA469" t="inlineStr">
      <is>
        <t>1</t>
      </is>
    </nc>
    <odxf/>
    <ndxf/>
  </rcc>
  <rcc rId="5847" sId="1" odxf="1" dxf="1">
    <nc r="AB469" t="inlineStr">
      <is>
        <t>0</t>
      </is>
    </nc>
    <odxf/>
    <ndxf/>
  </rcc>
  <rfmt sheetId="1" sqref="A469:XFD469" start="0" length="0">
    <dxf/>
  </rfmt>
  <rfmt sheetId="1" sqref="A470" start="0" length="0">
    <dxf>
      <fill>
        <patternFill patternType="solid">
          <bgColor theme="0" tint="-4.9989318521683403E-2"/>
        </patternFill>
      </fill>
    </dxf>
  </rfmt>
  <rfmt sheetId="1" sqref="B470" start="0" length="0">
    <dxf>
      <fill>
        <patternFill patternType="solid">
          <bgColor theme="0" tint="-4.9989318521683403E-2"/>
        </patternFill>
      </fill>
    </dxf>
  </rfmt>
  <rfmt sheetId="1" sqref="C470" start="0" length="0">
    <dxf>
      <fill>
        <patternFill patternType="solid">
          <bgColor theme="0" tint="-4.9989318521683403E-2"/>
        </patternFill>
      </fill>
    </dxf>
  </rfmt>
  <rfmt sheetId="1" sqref="D470" start="0" length="0">
    <dxf>
      <fill>
        <patternFill patternType="solid">
          <bgColor theme="0" tint="-4.9989318521683403E-2"/>
        </patternFill>
      </fill>
    </dxf>
  </rfmt>
  <rfmt sheetId="1" sqref="E470" start="0" length="0">
    <dxf>
      <fill>
        <patternFill patternType="solid">
          <bgColor theme="0" tint="-4.9989318521683403E-2"/>
        </patternFill>
      </fill>
    </dxf>
  </rfmt>
  <rfmt sheetId="1" sqref="F470" start="0" length="0">
    <dxf>
      <fill>
        <patternFill patternType="solid">
          <bgColor theme="0" tint="-4.9989318521683403E-2"/>
        </patternFill>
      </fill>
    </dxf>
  </rfmt>
  <rfmt sheetId="1" sqref="G470" start="0" length="0">
    <dxf>
      <fill>
        <patternFill patternType="solid">
          <bgColor theme="0" tint="-4.9989318521683403E-2"/>
        </patternFill>
      </fill>
    </dxf>
  </rfmt>
  <rfmt sheetId="1" sqref="H470" start="0" length="0">
    <dxf>
      <fill>
        <patternFill patternType="solid">
          <bgColor theme="0" tint="-4.9989318521683403E-2"/>
        </patternFill>
      </fill>
    </dxf>
  </rfmt>
  <rfmt sheetId="1" sqref="I470" start="0" length="0">
    <dxf>
      <fill>
        <patternFill patternType="solid">
          <bgColor theme="0" tint="-4.9989318521683403E-2"/>
        </patternFill>
      </fill>
    </dxf>
  </rfmt>
  <rfmt sheetId="1" sqref="J470" start="0" length="0">
    <dxf>
      <fill>
        <patternFill patternType="solid">
          <bgColor theme="0" tint="-4.9989318521683403E-2"/>
        </patternFill>
      </fill>
    </dxf>
  </rfmt>
  <rfmt sheetId="1" sqref="K470" start="0" length="0">
    <dxf>
      <fill>
        <patternFill patternType="solid">
          <bgColor theme="0" tint="-4.9989318521683403E-2"/>
        </patternFill>
      </fill>
    </dxf>
  </rfmt>
  <rfmt sheetId="1" sqref="L470" start="0" length="0">
    <dxf>
      <fill>
        <patternFill patternType="solid">
          <bgColor theme="0" tint="-4.9989318521683403E-2"/>
        </patternFill>
      </fill>
    </dxf>
  </rfmt>
  <rfmt sheetId="1" sqref="M470" start="0" length="0">
    <dxf>
      <fill>
        <patternFill patternType="solid">
          <bgColor theme="0" tint="-4.9989318521683403E-2"/>
        </patternFill>
      </fill>
    </dxf>
  </rfmt>
  <rfmt sheetId="1" sqref="N470" start="0" length="0">
    <dxf>
      <fill>
        <patternFill patternType="solid">
          <bgColor theme="0" tint="-4.9989318521683403E-2"/>
        </patternFill>
      </fill>
    </dxf>
  </rfmt>
  <rfmt sheetId="1" sqref="O470" start="0" length="0">
    <dxf>
      <fill>
        <patternFill patternType="solid">
          <bgColor theme="0" tint="-4.9989318521683403E-2"/>
        </patternFill>
      </fill>
    </dxf>
  </rfmt>
  <rfmt sheetId="1" sqref="P470" start="0" length="0">
    <dxf>
      <fill>
        <patternFill patternType="solid">
          <bgColor theme="0" tint="-4.9989318521683403E-2"/>
        </patternFill>
      </fill>
    </dxf>
  </rfmt>
  <rfmt sheetId="1" sqref="Q470" start="0" length="0">
    <dxf>
      <fill>
        <patternFill patternType="solid">
          <bgColor theme="0" tint="-4.9989318521683403E-2"/>
        </patternFill>
      </fill>
    </dxf>
  </rfmt>
  <rfmt sheetId="1" sqref="R470" start="0" length="0">
    <dxf>
      <fill>
        <patternFill patternType="solid">
          <bgColor theme="0" tint="-4.9989318521683403E-2"/>
        </patternFill>
      </fill>
    </dxf>
  </rfmt>
  <rfmt sheetId="1" sqref="S470" start="0" length="0">
    <dxf>
      <fill>
        <patternFill patternType="solid">
          <bgColor theme="0" tint="-4.9989318521683403E-2"/>
        </patternFill>
      </fill>
    </dxf>
  </rfmt>
  <rfmt sheetId="1" sqref="T470" start="0" length="0">
    <dxf>
      <fill>
        <patternFill patternType="solid">
          <bgColor theme="0" tint="-4.9989318521683403E-2"/>
        </patternFill>
      </fill>
    </dxf>
  </rfmt>
  <rfmt sheetId="1" sqref="U470" start="0" length="0">
    <dxf>
      <fill>
        <patternFill patternType="solid">
          <bgColor theme="0" tint="-4.9989318521683403E-2"/>
        </patternFill>
      </fill>
    </dxf>
  </rfmt>
  <rfmt sheetId="1" sqref="V470" start="0" length="0">
    <dxf>
      <fill>
        <patternFill patternType="solid">
          <bgColor theme="0" tint="-4.9989318521683403E-2"/>
        </patternFill>
      </fill>
    </dxf>
  </rfmt>
  <rfmt sheetId="1" sqref="W470" start="0" length="0">
    <dxf>
      <fill>
        <patternFill patternType="solid">
          <bgColor theme="0" tint="-4.9989318521683403E-2"/>
        </patternFill>
      </fill>
    </dxf>
  </rfmt>
  <rfmt sheetId="1" sqref="X470" start="0" length="0">
    <dxf>
      <fill>
        <patternFill patternType="solid">
          <bgColor theme="0" tint="-4.9989318521683403E-2"/>
        </patternFill>
      </fill>
    </dxf>
  </rfmt>
  <rfmt sheetId="1" sqref="Y470" start="0" length="0">
    <dxf>
      <fill>
        <patternFill patternType="solid">
          <bgColor theme="0" tint="-4.9989318521683403E-2"/>
        </patternFill>
      </fill>
    </dxf>
  </rfmt>
  <rfmt sheetId="1" sqref="Z470" start="0" length="0">
    <dxf>
      <fill>
        <patternFill patternType="solid">
          <bgColor theme="0" tint="-4.9989318521683403E-2"/>
        </patternFill>
      </fill>
    </dxf>
  </rfmt>
  <rfmt sheetId="1" sqref="AA470" start="0" length="0">
    <dxf>
      <fill>
        <patternFill patternType="solid">
          <bgColor theme="0" tint="-4.9989318521683403E-2"/>
        </patternFill>
      </fill>
    </dxf>
  </rfmt>
  <rfmt sheetId="1" sqref="AB470" start="0" length="0">
    <dxf>
      <fill>
        <patternFill patternType="solid">
          <bgColor theme="0" tint="-4.9989318521683403E-2"/>
        </patternFill>
      </fill>
    </dxf>
  </rfmt>
  <rfmt sheetId="1" sqref="A470:XFD470" start="0" length="0">
    <dxf>
      <fill>
        <patternFill patternType="solid">
          <bgColor theme="0" tint="-4.9989318521683403E-2"/>
        </patternFill>
      </fill>
    </dxf>
  </rfmt>
  <rcc rId="5848" sId="1" odxf="1" dxf="1">
    <nc r="A471" t="inlineStr">
      <is>
        <t>Zone 3</t>
      </is>
    </nc>
    <odxf/>
    <ndxf/>
  </rcc>
  <rcc rId="5849" sId="1" odxf="1" dxf="1">
    <nc r="B471" t="inlineStr">
      <is>
        <t>Lopro QC Mac 3</t>
      </is>
    </nc>
    <odxf/>
    <ndxf/>
  </rcc>
  <rcc rId="5850" sId="1" odxf="1" dxf="1">
    <nc r="C471">
      <v>4</v>
    </nc>
    <odxf/>
    <ndxf/>
  </rcc>
  <rcc rId="5851" sId="1" odxf="1" dxf="1">
    <nc r="D471" t="inlineStr">
      <is>
        <t>20-032</t>
      </is>
    </nc>
    <odxf/>
    <ndxf/>
  </rcc>
  <rcc rId="5852" sId="1" odxf="1" dxf="1">
    <nc r="E471" t="inlineStr">
      <is>
        <t>W1030252/1</t>
      </is>
    </nc>
    <odxf/>
    <ndxf/>
  </rcc>
  <rcc rId="5853" sId="1" odxf="1" dxf="1">
    <nc r="F471" t="inlineStr">
      <is>
        <t>VER1/0270-1147</t>
      </is>
    </nc>
    <odxf/>
    <ndxf/>
  </rcc>
  <rcc rId="5854" sId="1" odxf="1" dxf="1">
    <nc r="G471" t="inlineStr">
      <is>
        <t>QC ECO ,MAC S3, NS, GS SPECTRUM BOX-10</t>
      </is>
    </nc>
    <odxf/>
    <ndxf/>
  </rcc>
  <rcc rId="5855" sId="1" odxf="1" dxf="1">
    <nc r="H471">
      <v>100</v>
    </nc>
    <odxf/>
    <ndxf/>
  </rcc>
  <rcc rId="5856" sId="1" odxf="1" dxf="1">
    <nc r="I471">
      <v>25</v>
    </nc>
    <odxf/>
    <ndxf/>
  </rcc>
  <rcc rId="5857" sId="1" odxf="1" dxf="1">
    <nc r="J471">
      <v>300</v>
    </nc>
    <odxf/>
    <ndxf/>
  </rcc>
  <rcc rId="5858" sId="1" odxf="1" dxf="1">
    <nc r="K471">
      <v>0</v>
    </nc>
    <odxf/>
    <ndxf/>
  </rcc>
  <rcc rId="5859" sId="1" odxf="1" dxf="1" numFmtId="19">
    <nc r="L471">
      <v>46224.583333333336</v>
    </nc>
    <odxf/>
    <ndxf/>
  </rcc>
  <rcc rId="5860" sId="1" odxf="1" dxf="1" numFmtId="19">
    <nc r="M471">
      <v>46225.638888888891</v>
    </nc>
    <odxf/>
    <ndxf/>
  </rcc>
  <rfmt sheetId="1" sqref="N471" start="0" length="0">
    <dxf/>
  </rfmt>
  <rfmt sheetId="1" sqref="O471" start="0" length="0">
    <dxf/>
  </rfmt>
  <rfmt sheetId="1" sqref="P471" start="0" length="0">
    <dxf/>
  </rfmt>
  <rfmt sheetId="1" sqref="Q471" start="0" length="0">
    <dxf/>
  </rfmt>
  <rfmt sheetId="1" sqref="R471" start="0" length="0">
    <dxf/>
  </rfmt>
  <rfmt sheetId="1" sqref="S471" start="0" length="0">
    <dxf/>
  </rfmt>
  <rfmt sheetId="1" sqref="T471" start="0" length="0">
    <dxf/>
  </rfmt>
  <rfmt sheetId="1" sqref="U471" start="0" length="0">
    <dxf/>
  </rfmt>
  <rfmt sheetId="1" sqref="V471" start="0" length="0">
    <dxf/>
  </rfmt>
  <rfmt sheetId="1" sqref="W471" start="0" length="0">
    <dxf/>
  </rfmt>
  <rfmt sheetId="1" sqref="X471" start="0" length="0">
    <dxf/>
  </rfmt>
  <rfmt sheetId="1" sqref="Y471" start="0" length="0">
    <dxf/>
  </rfmt>
  <rfmt sheetId="1" sqref="Z471" start="0" length="0">
    <dxf/>
  </rfmt>
  <rcc rId="5861" sId="1" odxf="1" dxf="1">
    <nc r="AA471" t="inlineStr">
      <is>
        <t>1</t>
      </is>
    </nc>
    <odxf/>
    <ndxf/>
  </rcc>
  <rcc rId="5862" sId="1" odxf="1" dxf="1">
    <nc r="AB471" t="inlineStr">
      <is>
        <t>0</t>
      </is>
    </nc>
    <odxf/>
    <ndxf/>
  </rcc>
  <rfmt sheetId="1" sqref="A471:XFD471" start="0" length="0">
    <dxf/>
  </rfmt>
  <rcc rId="5863" sId="1" odxf="1" dxf="1">
    <nc r="A472" t="inlineStr">
      <is>
        <t>Zone 3</t>
      </is>
    </nc>
    <odxf/>
    <ndxf/>
  </rcc>
  <rcc rId="5864" sId="1" odxf="1" dxf="1">
    <nc r="B472" t="inlineStr">
      <is>
        <t>Lopro QC Mac 3</t>
      </is>
    </nc>
    <odxf/>
    <ndxf/>
  </rcc>
  <rcc rId="5865" sId="1" odxf="1" dxf="1">
    <nc r="C472">
      <v>4</v>
    </nc>
    <odxf/>
    <ndxf/>
  </rcc>
  <rcc rId="5866" sId="1" odxf="1" dxf="1">
    <nc r="D472" t="inlineStr">
      <is>
        <t>20-032</t>
      </is>
    </nc>
    <odxf/>
    <ndxf/>
  </rcc>
  <rcc rId="5867" sId="1" odxf="1" dxf="1">
    <nc r="E472" t="inlineStr">
      <is>
        <t>W1026626/1</t>
      </is>
    </nc>
    <odxf/>
    <ndxf/>
  </rcc>
  <rcc rId="5868" sId="1" odxf="1" dxf="1">
    <nc r="F472" t="inlineStr">
      <is>
        <t>VER1/0270-1147</t>
      </is>
    </nc>
    <odxf/>
    <ndxf/>
  </rcc>
  <rcc rId="5869" sId="1" odxf="1" dxf="1">
    <nc r="G472" t="inlineStr">
      <is>
        <t>QC ECO ,MAC S3, NS, GS SPECTRUM BOX-10</t>
      </is>
    </nc>
    <odxf/>
    <ndxf/>
  </rcc>
  <rcc rId="5870" sId="1" odxf="1" dxf="1">
    <nc r="H472">
      <v>150</v>
    </nc>
    <odxf/>
    <ndxf/>
  </rcc>
  <rcc rId="5871" sId="1" odxf="1" dxf="1">
    <nc r="I472">
      <v>37.5</v>
    </nc>
    <odxf/>
    <ndxf/>
  </rcc>
  <rcc rId="5872" sId="1" odxf="1" dxf="1">
    <nc r="J472">
      <v>450</v>
    </nc>
    <odxf/>
    <ndxf/>
  </rcc>
  <rcc rId="5873" sId="1" odxf="1" dxf="1">
    <nc r="K472">
      <v>0</v>
    </nc>
    <odxf/>
    <ndxf/>
  </rcc>
  <rcc rId="5874" sId="1" odxf="1" dxf="1" numFmtId="19">
    <nc r="L472">
      <v>46226.125</v>
    </nc>
    <odxf/>
    <ndxf/>
  </rcc>
  <rcc rId="5875" sId="1" odxf="1" dxf="1" numFmtId="19">
    <nc r="M472">
      <v>46229.993055555555</v>
    </nc>
    <odxf/>
    <ndxf/>
  </rcc>
  <rfmt sheetId="1" sqref="N472" start="0" length="0">
    <dxf/>
  </rfmt>
  <rfmt sheetId="1" sqref="O472" start="0" length="0">
    <dxf/>
  </rfmt>
  <rfmt sheetId="1" sqref="P472" start="0" length="0">
    <dxf/>
  </rfmt>
  <rfmt sheetId="1" sqref="Q472" start="0" length="0">
    <dxf/>
  </rfmt>
  <rfmt sheetId="1" sqref="R472" start="0" length="0">
    <dxf/>
  </rfmt>
  <rfmt sheetId="1" sqref="S472" start="0" length="0">
    <dxf/>
  </rfmt>
  <rfmt sheetId="1" sqref="T472" start="0" length="0">
    <dxf/>
  </rfmt>
  <rfmt sheetId="1" sqref="U472" start="0" length="0">
    <dxf/>
  </rfmt>
  <rfmt sheetId="1" sqref="V472" start="0" length="0">
    <dxf/>
  </rfmt>
  <rfmt sheetId="1" sqref="W472" start="0" length="0">
    <dxf/>
  </rfmt>
  <rfmt sheetId="1" sqref="X472" start="0" length="0">
    <dxf/>
  </rfmt>
  <rfmt sheetId="1" sqref="Y472" start="0" length="0">
    <dxf/>
  </rfmt>
  <rfmt sheetId="1" sqref="Z472" start="0" length="0">
    <dxf/>
  </rfmt>
  <rcc rId="5876" sId="1" odxf="1" dxf="1">
    <nc r="AA472" t="inlineStr">
      <is>
        <t>1</t>
      </is>
    </nc>
    <odxf/>
    <ndxf/>
  </rcc>
  <rcc rId="5877" sId="1" odxf="1" dxf="1">
    <nc r="AB472" t="inlineStr">
      <is>
        <t>0</t>
      </is>
    </nc>
    <odxf/>
    <ndxf/>
  </rcc>
  <rfmt sheetId="1" sqref="A472:XFD472" start="0" length="0">
    <dxf/>
  </rfmt>
  <rfmt sheetId="1" sqref="A473" start="0" length="0">
    <dxf>
      <fill>
        <patternFill patternType="solid">
          <bgColor theme="0" tint="-4.9989318521683403E-2"/>
        </patternFill>
      </fill>
    </dxf>
  </rfmt>
  <rfmt sheetId="1" sqref="B473" start="0" length="0">
    <dxf>
      <fill>
        <patternFill patternType="solid">
          <bgColor theme="0" tint="-4.9989318521683403E-2"/>
        </patternFill>
      </fill>
    </dxf>
  </rfmt>
  <rfmt sheetId="1" sqref="C473" start="0" length="0">
    <dxf>
      <fill>
        <patternFill patternType="solid">
          <bgColor theme="0" tint="-4.9989318521683403E-2"/>
        </patternFill>
      </fill>
    </dxf>
  </rfmt>
  <rfmt sheetId="1" sqref="D473" start="0" length="0">
    <dxf>
      <fill>
        <patternFill patternType="solid">
          <bgColor theme="0" tint="-4.9989318521683403E-2"/>
        </patternFill>
      </fill>
    </dxf>
  </rfmt>
  <rfmt sheetId="1" sqref="E473" start="0" length="0">
    <dxf>
      <fill>
        <patternFill patternType="solid">
          <bgColor theme="0" tint="-4.9989318521683403E-2"/>
        </patternFill>
      </fill>
    </dxf>
  </rfmt>
  <rfmt sheetId="1" sqref="F473" start="0" length="0">
    <dxf>
      <fill>
        <patternFill patternType="solid">
          <bgColor theme="0" tint="-4.9989318521683403E-2"/>
        </patternFill>
      </fill>
    </dxf>
  </rfmt>
  <rfmt sheetId="1" sqref="G473" start="0" length="0">
    <dxf>
      <fill>
        <patternFill patternType="solid">
          <bgColor theme="0" tint="-4.9989318521683403E-2"/>
        </patternFill>
      </fill>
    </dxf>
  </rfmt>
  <rfmt sheetId="1" sqref="H473" start="0" length="0">
    <dxf>
      <fill>
        <patternFill patternType="solid">
          <bgColor theme="0" tint="-4.9989318521683403E-2"/>
        </patternFill>
      </fill>
    </dxf>
  </rfmt>
  <rfmt sheetId="1" sqref="I473" start="0" length="0">
    <dxf>
      <fill>
        <patternFill patternType="solid">
          <bgColor theme="0" tint="-4.9989318521683403E-2"/>
        </patternFill>
      </fill>
    </dxf>
  </rfmt>
  <rfmt sheetId="1" sqref="J473" start="0" length="0">
    <dxf>
      <fill>
        <patternFill patternType="solid">
          <bgColor theme="0" tint="-4.9989318521683403E-2"/>
        </patternFill>
      </fill>
    </dxf>
  </rfmt>
  <rfmt sheetId="1" sqref="K473" start="0" length="0">
    <dxf>
      <fill>
        <patternFill patternType="solid">
          <bgColor theme="0" tint="-4.9989318521683403E-2"/>
        </patternFill>
      </fill>
    </dxf>
  </rfmt>
  <rfmt sheetId="1" sqref="L473" start="0" length="0">
    <dxf>
      <fill>
        <patternFill patternType="solid">
          <bgColor theme="0" tint="-4.9989318521683403E-2"/>
        </patternFill>
      </fill>
    </dxf>
  </rfmt>
  <rfmt sheetId="1" sqref="M473" start="0" length="0">
    <dxf>
      <fill>
        <patternFill patternType="solid">
          <bgColor theme="0" tint="-4.9989318521683403E-2"/>
        </patternFill>
      </fill>
    </dxf>
  </rfmt>
  <rfmt sheetId="1" sqref="N473" start="0" length="0">
    <dxf>
      <fill>
        <patternFill patternType="solid">
          <bgColor theme="0" tint="-4.9989318521683403E-2"/>
        </patternFill>
      </fill>
    </dxf>
  </rfmt>
  <rfmt sheetId="1" sqref="O473" start="0" length="0">
    <dxf>
      <fill>
        <patternFill patternType="solid">
          <bgColor theme="0" tint="-4.9989318521683403E-2"/>
        </patternFill>
      </fill>
    </dxf>
  </rfmt>
  <rfmt sheetId="1" sqref="P473" start="0" length="0">
    <dxf>
      <fill>
        <patternFill patternType="solid">
          <bgColor theme="0" tint="-4.9989318521683403E-2"/>
        </patternFill>
      </fill>
    </dxf>
  </rfmt>
  <rfmt sheetId="1" sqref="Q473" start="0" length="0">
    <dxf>
      <fill>
        <patternFill patternType="solid">
          <bgColor theme="0" tint="-4.9989318521683403E-2"/>
        </patternFill>
      </fill>
    </dxf>
  </rfmt>
  <rfmt sheetId="1" sqref="R473" start="0" length="0">
    <dxf>
      <fill>
        <patternFill patternType="solid">
          <bgColor theme="0" tint="-4.9989318521683403E-2"/>
        </patternFill>
      </fill>
    </dxf>
  </rfmt>
  <rfmt sheetId="1" sqref="S473" start="0" length="0">
    <dxf>
      <fill>
        <patternFill patternType="solid">
          <bgColor theme="0" tint="-4.9989318521683403E-2"/>
        </patternFill>
      </fill>
    </dxf>
  </rfmt>
  <rfmt sheetId="1" sqref="T473" start="0" length="0">
    <dxf>
      <fill>
        <patternFill patternType="solid">
          <bgColor theme="0" tint="-4.9989318521683403E-2"/>
        </patternFill>
      </fill>
    </dxf>
  </rfmt>
  <rfmt sheetId="1" sqref="U473" start="0" length="0">
    <dxf>
      <fill>
        <patternFill patternType="solid">
          <bgColor theme="0" tint="-4.9989318521683403E-2"/>
        </patternFill>
      </fill>
    </dxf>
  </rfmt>
  <rfmt sheetId="1" sqref="V473" start="0" length="0">
    <dxf>
      <fill>
        <patternFill patternType="solid">
          <bgColor theme="0" tint="-4.9989318521683403E-2"/>
        </patternFill>
      </fill>
    </dxf>
  </rfmt>
  <rfmt sheetId="1" sqref="W473" start="0" length="0">
    <dxf>
      <fill>
        <patternFill patternType="solid">
          <bgColor theme="0" tint="-4.9989318521683403E-2"/>
        </patternFill>
      </fill>
    </dxf>
  </rfmt>
  <rfmt sheetId="1" sqref="X473" start="0" length="0">
    <dxf>
      <fill>
        <patternFill patternType="solid">
          <bgColor theme="0" tint="-4.9989318521683403E-2"/>
        </patternFill>
      </fill>
    </dxf>
  </rfmt>
  <rfmt sheetId="1" sqref="Y473" start="0" length="0">
    <dxf>
      <fill>
        <patternFill patternType="solid">
          <bgColor theme="0" tint="-4.9989318521683403E-2"/>
        </patternFill>
      </fill>
    </dxf>
  </rfmt>
  <rfmt sheetId="1" sqref="Z473" start="0" length="0">
    <dxf>
      <fill>
        <patternFill patternType="solid">
          <bgColor theme="0" tint="-4.9989318521683403E-2"/>
        </patternFill>
      </fill>
    </dxf>
  </rfmt>
  <rfmt sheetId="1" sqref="AA473" start="0" length="0">
    <dxf>
      <fill>
        <patternFill patternType="solid">
          <bgColor theme="0" tint="-4.9989318521683403E-2"/>
        </patternFill>
      </fill>
    </dxf>
  </rfmt>
  <rfmt sheetId="1" sqref="AB473" start="0" length="0">
    <dxf>
      <fill>
        <patternFill patternType="solid">
          <bgColor theme="0" tint="-4.9989318521683403E-2"/>
        </patternFill>
      </fill>
    </dxf>
  </rfmt>
  <rfmt sheetId="1" sqref="A473:XFD473" start="0" length="0">
    <dxf>
      <fill>
        <patternFill patternType="solid">
          <bgColor theme="0" tint="-4.9989318521683403E-2"/>
        </patternFill>
      </fill>
    </dxf>
  </rfmt>
  <rcc rId="5878" sId="1" odxf="1" dxf="1">
    <nc r="A474" t="inlineStr">
      <is>
        <t>Zone 3</t>
      </is>
    </nc>
    <odxf/>
    <ndxf/>
  </rcc>
  <rcc rId="5879" sId="1" odxf="1" dxf="1">
    <nc r="B474" t="inlineStr">
      <is>
        <t>Lopro QC Mac 3</t>
      </is>
    </nc>
    <odxf/>
    <ndxf/>
  </rcc>
  <rcc rId="5880" sId="1" odxf="1" dxf="1">
    <nc r="C474">
      <v>4</v>
    </nc>
    <odxf/>
    <ndxf/>
  </rcc>
  <rcc rId="5881" sId="1" odxf="1" dxf="1">
    <nc r="D474" t="inlineStr">
      <is>
        <t>20-032</t>
      </is>
    </nc>
    <odxf/>
    <ndxf/>
  </rcc>
  <rcc rId="5882" sId="1" odxf="1" dxf="1">
    <nc r="E474" t="inlineStr">
      <is>
        <t>W1030050/1</t>
      </is>
    </nc>
    <odxf/>
    <ndxf/>
  </rcc>
  <rcc rId="5883" sId="1" odxf="1" dxf="1">
    <nc r="F474" t="inlineStr">
      <is>
        <t>VER1/0270-1147</t>
      </is>
    </nc>
    <odxf/>
    <ndxf/>
  </rcc>
  <rcc rId="5884" sId="1" odxf="1" dxf="1">
    <nc r="G474" t="inlineStr">
      <is>
        <t>QC ECO ,MAC S3, NS, GS SPECTRUM BOX-10</t>
      </is>
    </nc>
    <odxf/>
    <ndxf/>
  </rcc>
  <rcc rId="5885" sId="1" odxf="1" dxf="1">
    <nc r="H474">
      <v>150</v>
    </nc>
    <odxf/>
    <ndxf/>
  </rcc>
  <rcc rId="5886" sId="1" odxf="1" dxf="1">
    <nc r="I474">
      <v>37.5</v>
    </nc>
    <odxf/>
    <ndxf/>
  </rcc>
  <rcc rId="5887" sId="1" odxf="1" dxf="1">
    <nc r="J474">
      <v>450</v>
    </nc>
    <odxf/>
    <ndxf/>
  </rcc>
  <rcc rId="5888" sId="1" odxf="1" dxf="1">
    <nc r="K474">
      <v>0</v>
    </nc>
    <odxf/>
    <ndxf/>
  </rcc>
  <rcc rId="5889" sId="1" odxf="1" dxf="1" numFmtId="19">
    <nc r="L474">
      <v>46237.958333333336</v>
    </nc>
    <odxf/>
    <ndxf/>
  </rcc>
  <rcc rId="5890" sId="1" odxf="1" dxf="1" numFmtId="19">
    <nc r="M474">
      <v>46239.534722222219</v>
    </nc>
    <odxf/>
    <ndxf/>
  </rcc>
  <rfmt sheetId="1" sqref="N474" start="0" length="0">
    <dxf/>
  </rfmt>
  <rfmt sheetId="1" sqref="O474" start="0" length="0">
    <dxf/>
  </rfmt>
  <rfmt sheetId="1" sqref="P474" start="0" length="0">
    <dxf/>
  </rfmt>
  <rfmt sheetId="1" sqref="Q474" start="0" length="0">
    <dxf/>
  </rfmt>
  <rfmt sheetId="1" sqref="R474" start="0" length="0">
    <dxf/>
  </rfmt>
  <rfmt sheetId="1" sqref="S474" start="0" length="0">
    <dxf/>
  </rfmt>
  <rfmt sheetId="1" sqref="T474" start="0" length="0">
    <dxf/>
  </rfmt>
  <rfmt sheetId="1" sqref="U474" start="0" length="0">
    <dxf/>
  </rfmt>
  <rfmt sheetId="1" sqref="V474" start="0" length="0">
    <dxf/>
  </rfmt>
  <rfmt sheetId="1" sqref="W474" start="0" length="0">
    <dxf/>
  </rfmt>
  <rfmt sheetId="1" sqref="X474" start="0" length="0">
    <dxf/>
  </rfmt>
  <rfmt sheetId="1" sqref="Y474" start="0" length="0">
    <dxf/>
  </rfmt>
  <rfmt sheetId="1" sqref="Z474" start="0" length="0">
    <dxf/>
  </rfmt>
  <rcc rId="5891" sId="1" odxf="1" dxf="1">
    <nc r="AA474" t="inlineStr">
      <is>
        <t>1</t>
      </is>
    </nc>
    <odxf/>
    <ndxf/>
  </rcc>
  <rcc rId="5892" sId="1" odxf="1" dxf="1">
    <nc r="AB474" t="inlineStr">
      <is>
        <t>0</t>
      </is>
    </nc>
    <odxf/>
    <ndxf/>
  </rcc>
  <rfmt sheetId="1" sqref="A474:XFD474" start="0" length="0">
    <dxf/>
  </rfmt>
  <rcc rId="5893" sId="1" odxf="1" dxf="1">
    <nc r="A475" t="inlineStr">
      <is>
        <t>Zone 3</t>
      </is>
    </nc>
    <odxf/>
    <ndxf/>
  </rcc>
  <rcc rId="5894" sId="1" odxf="1" dxf="1">
    <nc r="B475" t="inlineStr">
      <is>
        <t>Lopro QC Mac 3</t>
      </is>
    </nc>
    <odxf/>
    <ndxf/>
  </rcc>
  <rcc rId="5895" sId="1" odxf="1" dxf="1">
    <nc r="C475">
      <v>4</v>
    </nc>
    <odxf/>
    <ndxf/>
  </rcc>
  <rcc rId="5896" sId="1" odxf="1" dxf="1">
    <nc r="D475" t="inlineStr">
      <is>
        <t>20-032</t>
      </is>
    </nc>
    <odxf/>
    <ndxf/>
  </rcc>
  <rcc rId="5897" sId="1" odxf="1" dxf="1">
    <nc r="E475" t="inlineStr">
      <is>
        <t>W1030051/1</t>
      </is>
    </nc>
    <odxf/>
    <ndxf/>
  </rcc>
  <rcc rId="5898" sId="1" odxf="1" dxf="1">
    <nc r="F475" t="inlineStr">
      <is>
        <t>VER1/0270-1147</t>
      </is>
    </nc>
    <odxf/>
    <ndxf/>
  </rcc>
  <rcc rId="5899" sId="1" odxf="1" dxf="1">
    <nc r="G475" t="inlineStr">
      <is>
        <t>QC ECO ,MAC S3, NS, GS SPECTRUM BOX-10</t>
      </is>
    </nc>
    <odxf/>
    <ndxf/>
  </rcc>
  <rcc rId="5900" sId="1" odxf="1" dxf="1">
    <nc r="H475">
      <v>100</v>
    </nc>
    <odxf/>
    <ndxf/>
  </rcc>
  <rcc rId="5901" sId="1" odxf="1" dxf="1">
    <nc r="I475">
      <v>25</v>
    </nc>
    <odxf/>
    <ndxf/>
  </rcc>
  <rcc rId="5902" sId="1" odxf="1" dxf="1">
    <nc r="J475">
      <v>300</v>
    </nc>
    <odxf/>
    <ndxf/>
  </rcc>
  <rcc rId="5903" sId="1" odxf="1" dxf="1">
    <nc r="K475">
      <v>0</v>
    </nc>
    <odxf/>
    <ndxf/>
  </rcc>
  <rcc rId="5904" sId="1" odxf="1" dxf="1" numFmtId="19">
    <nc r="L475">
      <v>46239.541666666664</v>
    </nc>
    <odxf/>
    <ndxf/>
  </rcc>
  <rcc rId="5905" sId="1" odxf="1" dxf="1" numFmtId="19">
    <nc r="M475">
      <v>46240.597222222219</v>
    </nc>
    <odxf/>
    <ndxf/>
  </rcc>
  <rfmt sheetId="1" sqref="N475" start="0" length="0">
    <dxf/>
  </rfmt>
  <rfmt sheetId="1" sqref="O475" start="0" length="0">
    <dxf/>
  </rfmt>
  <rfmt sheetId="1" sqref="P475" start="0" length="0">
    <dxf/>
  </rfmt>
  <rfmt sheetId="1" sqref="Q475" start="0" length="0">
    <dxf/>
  </rfmt>
  <rfmt sheetId="1" sqref="R475" start="0" length="0">
    <dxf/>
  </rfmt>
  <rfmt sheetId="1" sqref="S475" start="0" length="0">
    <dxf/>
  </rfmt>
  <rfmt sheetId="1" sqref="T475" start="0" length="0">
    <dxf/>
  </rfmt>
  <rfmt sheetId="1" sqref="U475" start="0" length="0">
    <dxf/>
  </rfmt>
  <rfmt sheetId="1" sqref="V475" start="0" length="0">
    <dxf/>
  </rfmt>
  <rfmt sheetId="1" sqref="W475" start="0" length="0">
    <dxf/>
  </rfmt>
  <rfmt sheetId="1" sqref="X475" start="0" length="0">
    <dxf/>
  </rfmt>
  <rfmt sheetId="1" sqref="Y475" start="0" length="0">
    <dxf/>
  </rfmt>
  <rfmt sheetId="1" sqref="Z475" start="0" length="0">
    <dxf/>
  </rfmt>
  <rcc rId="5906" sId="1" odxf="1" dxf="1">
    <nc r="AA475" t="inlineStr">
      <is>
        <t>1</t>
      </is>
    </nc>
    <odxf/>
    <ndxf/>
  </rcc>
  <rcc rId="5907" sId="1" odxf="1" dxf="1">
    <nc r="AB475" t="inlineStr">
      <is>
        <t>0</t>
      </is>
    </nc>
    <odxf/>
    <ndxf/>
  </rcc>
  <rfmt sheetId="1" sqref="A475:XFD475" start="0" length="0">
    <dxf/>
  </rfmt>
  <rfmt sheetId="1" sqref="A476" start="0" length="0">
    <dxf>
      <fill>
        <patternFill patternType="solid">
          <bgColor theme="0" tint="-4.9989318521683403E-2"/>
        </patternFill>
      </fill>
    </dxf>
  </rfmt>
  <rfmt sheetId="1" sqref="B476" start="0" length="0">
    <dxf>
      <fill>
        <patternFill patternType="solid">
          <bgColor theme="0" tint="-4.9989318521683403E-2"/>
        </patternFill>
      </fill>
    </dxf>
  </rfmt>
  <rfmt sheetId="1" sqref="C476" start="0" length="0">
    <dxf>
      <fill>
        <patternFill patternType="solid">
          <bgColor theme="0" tint="-4.9989318521683403E-2"/>
        </patternFill>
      </fill>
    </dxf>
  </rfmt>
  <rfmt sheetId="1" sqref="D476" start="0" length="0">
    <dxf>
      <fill>
        <patternFill patternType="solid">
          <bgColor theme="0" tint="-4.9989318521683403E-2"/>
        </patternFill>
      </fill>
    </dxf>
  </rfmt>
  <rfmt sheetId="1" sqref="E476" start="0" length="0">
    <dxf>
      <fill>
        <patternFill patternType="solid">
          <bgColor theme="0" tint="-4.9989318521683403E-2"/>
        </patternFill>
      </fill>
    </dxf>
  </rfmt>
  <rfmt sheetId="1" sqref="F476" start="0" length="0">
    <dxf>
      <fill>
        <patternFill patternType="solid">
          <bgColor theme="0" tint="-4.9989318521683403E-2"/>
        </patternFill>
      </fill>
    </dxf>
  </rfmt>
  <rfmt sheetId="1" sqref="G476" start="0" length="0">
    <dxf>
      <fill>
        <patternFill patternType="solid">
          <bgColor theme="0" tint="-4.9989318521683403E-2"/>
        </patternFill>
      </fill>
    </dxf>
  </rfmt>
  <rfmt sheetId="1" sqref="H476" start="0" length="0">
    <dxf>
      <fill>
        <patternFill patternType="solid">
          <bgColor theme="0" tint="-4.9989318521683403E-2"/>
        </patternFill>
      </fill>
    </dxf>
  </rfmt>
  <rfmt sheetId="1" sqref="I476" start="0" length="0">
    <dxf>
      <fill>
        <patternFill patternType="solid">
          <bgColor theme="0" tint="-4.9989318521683403E-2"/>
        </patternFill>
      </fill>
    </dxf>
  </rfmt>
  <rfmt sheetId="1" sqref="J476" start="0" length="0">
    <dxf>
      <fill>
        <patternFill patternType="solid">
          <bgColor theme="0" tint="-4.9989318521683403E-2"/>
        </patternFill>
      </fill>
    </dxf>
  </rfmt>
  <rfmt sheetId="1" sqref="K476" start="0" length="0">
    <dxf>
      <fill>
        <patternFill patternType="solid">
          <bgColor theme="0" tint="-4.9989318521683403E-2"/>
        </patternFill>
      </fill>
    </dxf>
  </rfmt>
  <rfmt sheetId="1" sqref="L476" start="0" length="0">
    <dxf>
      <fill>
        <patternFill patternType="solid">
          <bgColor theme="0" tint="-4.9989318521683403E-2"/>
        </patternFill>
      </fill>
    </dxf>
  </rfmt>
  <rfmt sheetId="1" sqref="M476" start="0" length="0">
    <dxf>
      <fill>
        <patternFill patternType="solid">
          <bgColor theme="0" tint="-4.9989318521683403E-2"/>
        </patternFill>
      </fill>
    </dxf>
  </rfmt>
  <rfmt sheetId="1" sqref="N476" start="0" length="0">
    <dxf>
      <fill>
        <patternFill patternType="solid">
          <bgColor theme="0" tint="-4.9989318521683403E-2"/>
        </patternFill>
      </fill>
    </dxf>
  </rfmt>
  <rfmt sheetId="1" sqref="O476" start="0" length="0">
    <dxf>
      <fill>
        <patternFill patternType="solid">
          <bgColor theme="0" tint="-4.9989318521683403E-2"/>
        </patternFill>
      </fill>
    </dxf>
  </rfmt>
  <rfmt sheetId="1" sqref="P476" start="0" length="0">
    <dxf>
      <fill>
        <patternFill patternType="solid">
          <bgColor theme="0" tint="-4.9989318521683403E-2"/>
        </patternFill>
      </fill>
    </dxf>
  </rfmt>
  <rfmt sheetId="1" sqref="Q476" start="0" length="0">
    <dxf>
      <fill>
        <patternFill patternType="solid">
          <bgColor theme="0" tint="-4.9989318521683403E-2"/>
        </patternFill>
      </fill>
    </dxf>
  </rfmt>
  <rfmt sheetId="1" sqref="R476" start="0" length="0">
    <dxf>
      <fill>
        <patternFill patternType="solid">
          <bgColor theme="0" tint="-4.9989318521683403E-2"/>
        </patternFill>
      </fill>
    </dxf>
  </rfmt>
  <rfmt sheetId="1" sqref="S476" start="0" length="0">
    <dxf>
      <fill>
        <patternFill patternType="solid">
          <bgColor theme="0" tint="-4.9989318521683403E-2"/>
        </patternFill>
      </fill>
    </dxf>
  </rfmt>
  <rfmt sheetId="1" sqref="T476" start="0" length="0">
    <dxf>
      <fill>
        <patternFill patternType="solid">
          <bgColor theme="0" tint="-4.9989318521683403E-2"/>
        </patternFill>
      </fill>
    </dxf>
  </rfmt>
  <rfmt sheetId="1" sqref="U476" start="0" length="0">
    <dxf>
      <fill>
        <patternFill patternType="solid">
          <bgColor theme="0" tint="-4.9989318521683403E-2"/>
        </patternFill>
      </fill>
    </dxf>
  </rfmt>
  <rfmt sheetId="1" sqref="V476" start="0" length="0">
    <dxf>
      <fill>
        <patternFill patternType="solid">
          <bgColor theme="0" tint="-4.9989318521683403E-2"/>
        </patternFill>
      </fill>
    </dxf>
  </rfmt>
  <rfmt sheetId="1" sqref="W476" start="0" length="0">
    <dxf>
      <fill>
        <patternFill patternType="solid">
          <bgColor theme="0" tint="-4.9989318521683403E-2"/>
        </patternFill>
      </fill>
    </dxf>
  </rfmt>
  <rfmt sheetId="1" sqref="X476" start="0" length="0">
    <dxf>
      <fill>
        <patternFill patternType="solid">
          <bgColor theme="0" tint="-4.9989318521683403E-2"/>
        </patternFill>
      </fill>
    </dxf>
  </rfmt>
  <rfmt sheetId="1" sqref="Y476" start="0" length="0">
    <dxf>
      <fill>
        <patternFill patternType="solid">
          <bgColor theme="0" tint="-4.9989318521683403E-2"/>
        </patternFill>
      </fill>
    </dxf>
  </rfmt>
  <rfmt sheetId="1" sqref="Z476" start="0" length="0">
    <dxf>
      <fill>
        <patternFill patternType="solid">
          <bgColor theme="0" tint="-4.9989318521683403E-2"/>
        </patternFill>
      </fill>
    </dxf>
  </rfmt>
  <rfmt sheetId="1" sqref="AA476" start="0" length="0">
    <dxf>
      <fill>
        <patternFill patternType="solid">
          <bgColor theme="0" tint="-4.9989318521683403E-2"/>
        </patternFill>
      </fill>
    </dxf>
  </rfmt>
  <rfmt sheetId="1" sqref="AB476" start="0" length="0">
    <dxf>
      <fill>
        <patternFill patternType="solid">
          <bgColor theme="0" tint="-4.9989318521683403E-2"/>
        </patternFill>
      </fill>
    </dxf>
  </rfmt>
  <rfmt sheetId="1" sqref="A476:XFD476" start="0" length="0">
    <dxf>
      <fill>
        <patternFill patternType="solid">
          <bgColor theme="0" tint="-4.9989318521683403E-2"/>
        </patternFill>
      </fill>
    </dxf>
  </rfmt>
  <rcc rId="5908" sId="1" odxf="1" dxf="1">
    <nc r="A477" t="inlineStr">
      <is>
        <t>Zone 3</t>
      </is>
    </nc>
    <odxf/>
    <ndxf/>
  </rcc>
  <rcc rId="5909" sId="1" odxf="1" dxf="1">
    <nc r="B477" t="inlineStr">
      <is>
        <t>Lopro QC Mac 3</t>
      </is>
    </nc>
    <odxf/>
    <ndxf/>
  </rcc>
  <rcc rId="5910" sId="1" odxf="1" dxf="1">
    <nc r="C477">
      <v>4</v>
    </nc>
    <odxf/>
    <ndxf/>
  </rcc>
  <rcc rId="5911" sId="1" odxf="1" dxf="1">
    <nc r="D477" t="inlineStr">
      <is>
        <t>20-032</t>
      </is>
    </nc>
    <odxf/>
    <ndxf/>
  </rcc>
  <rcc rId="5912" sId="1" odxf="1" dxf="1">
    <nc r="E477" t="inlineStr">
      <is>
        <t>W1028587/1</t>
      </is>
    </nc>
    <odxf/>
    <ndxf/>
  </rcc>
  <rcc rId="5913" sId="1" odxf="1" dxf="1">
    <nc r="F477" t="inlineStr">
      <is>
        <t>VER1/0270-1085</t>
      </is>
    </nc>
    <odxf/>
    <ndxf/>
  </rcc>
  <rcc rId="5914" sId="1" odxf="1" dxf="1">
    <nc r="G477" t="inlineStr">
      <is>
        <t>Spectrum QC MACS3</t>
      </is>
    </nc>
    <odxf/>
    <ndxf/>
  </rcc>
  <rcc rId="5915" sId="1" odxf="1" dxf="1">
    <nc r="H477">
      <v>150</v>
    </nc>
    <odxf/>
    <ndxf/>
  </rcc>
  <rcc rId="5916" sId="1" odxf="1" dxf="1">
    <nc r="I477">
      <v>37.5</v>
    </nc>
    <odxf/>
    <ndxf/>
  </rcc>
  <rcc rId="5917" sId="1" odxf="1" dxf="1">
    <nc r="J477">
      <v>450</v>
    </nc>
    <odxf/>
    <ndxf/>
  </rcc>
  <rcc rId="5918" sId="1" odxf="1" dxf="1">
    <nc r="K477">
      <v>0</v>
    </nc>
    <odxf/>
    <ndxf/>
  </rcc>
  <rcc rId="5919" sId="1" odxf="1" dxf="1" numFmtId="19">
    <nc r="L477">
      <v>46244</v>
    </nc>
    <odxf/>
    <ndxf/>
  </rcc>
  <rcc rId="5920" sId="1" odxf="1" dxf="1" numFmtId="19">
    <nc r="M477">
      <v>46245.576388888891</v>
    </nc>
    <odxf/>
    <ndxf/>
  </rcc>
  <rfmt sheetId="1" sqref="N477" start="0" length="0">
    <dxf/>
  </rfmt>
  <rfmt sheetId="1" sqref="O477" start="0" length="0">
    <dxf/>
  </rfmt>
  <rfmt sheetId="1" sqref="P477" start="0" length="0">
    <dxf/>
  </rfmt>
  <rfmt sheetId="1" sqref="Q477" start="0" length="0">
    <dxf/>
  </rfmt>
  <rfmt sheetId="1" sqref="R477" start="0" length="0">
    <dxf/>
  </rfmt>
  <rfmt sheetId="1" sqref="S477" start="0" length="0">
    <dxf/>
  </rfmt>
  <rfmt sheetId="1" sqref="T477" start="0" length="0">
    <dxf/>
  </rfmt>
  <rfmt sheetId="1" sqref="U477" start="0" length="0">
    <dxf/>
  </rfmt>
  <rfmt sheetId="1" sqref="V477" start="0" length="0">
    <dxf/>
  </rfmt>
  <rfmt sheetId="1" sqref="W477" start="0" length="0">
    <dxf/>
  </rfmt>
  <rfmt sheetId="1" sqref="X477" start="0" length="0">
    <dxf/>
  </rfmt>
  <rfmt sheetId="1" sqref="Y477" start="0" length="0">
    <dxf/>
  </rfmt>
  <rfmt sheetId="1" sqref="Z477" start="0" length="0">
    <dxf/>
  </rfmt>
  <rcc rId="5921" sId="1" odxf="1" dxf="1">
    <nc r="AA477" t="inlineStr">
      <is>
        <t>1</t>
      </is>
    </nc>
    <odxf/>
    <ndxf/>
  </rcc>
  <rcc rId="5922" sId="1" odxf="1" dxf="1">
    <nc r="AB477" t="inlineStr">
      <is>
        <t>0</t>
      </is>
    </nc>
    <odxf/>
    <ndxf/>
  </rcc>
  <rfmt sheetId="1" sqref="A477:XFD477" start="0" length="0">
    <dxf/>
  </rfmt>
  <rcc rId="5923" sId="1" odxf="1" dxf="1">
    <nc r="A478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924" sId="1" odxf="1" dxf="1">
    <nc r="B478" t="inlineStr">
      <is>
        <t>Lopro QC Mac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925" sId="1" odxf="1" dxf="1">
    <nc r="C478">
      <v>4</v>
    </nc>
    <odxf>
      <border outline="0">
        <bottom/>
      </border>
    </odxf>
    <ndxf>
      <border outline="0">
        <bottom style="medium">
          <color indexed="64"/>
        </bottom>
      </border>
    </ndxf>
  </rcc>
  <rcc rId="5926" sId="1" odxf="1" dxf="1">
    <nc r="D478" t="inlineStr">
      <is>
        <t>20-032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927" sId="1" odxf="1" dxf="1">
    <nc r="E478" t="inlineStr">
      <is>
        <t>W1028588/1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928" sId="1" odxf="1" dxf="1">
    <nc r="F478" t="inlineStr">
      <is>
        <t>VER1/0270-1085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929" sId="1" odxf="1" dxf="1">
    <nc r="G478" t="inlineStr">
      <is>
        <t>Spectrum QC MACS3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930" sId="1" odxf="1" dxf="1">
    <nc r="H478">
      <v>100</v>
    </nc>
    <odxf>
      <border outline="0">
        <bottom/>
      </border>
    </odxf>
    <ndxf>
      <border outline="0">
        <bottom style="medium">
          <color indexed="64"/>
        </bottom>
      </border>
    </ndxf>
  </rcc>
  <rcc rId="5931" sId="1" odxf="1" dxf="1">
    <nc r="I478">
      <v>25</v>
    </nc>
    <odxf>
      <border outline="0">
        <bottom/>
      </border>
    </odxf>
    <ndxf>
      <border outline="0">
        <bottom style="medium">
          <color indexed="64"/>
        </bottom>
      </border>
    </ndxf>
  </rcc>
  <rcc rId="5932" sId="1" odxf="1" dxf="1">
    <nc r="J478">
      <v>300</v>
    </nc>
    <odxf>
      <border outline="0">
        <bottom/>
      </border>
    </odxf>
    <ndxf>
      <border outline="0">
        <bottom style="medium">
          <color indexed="64"/>
        </bottom>
      </border>
    </ndxf>
  </rcc>
  <rcc rId="5933" sId="1" odxf="1" dxf="1">
    <nc r="K478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5934" sId="1" odxf="1" dxf="1" numFmtId="19">
    <nc r="L478">
      <v>46245.583333333336</v>
    </nc>
    <odxf>
      <border outline="0">
        <bottom/>
      </border>
    </odxf>
    <ndxf>
      <border outline="0">
        <bottom style="medium">
          <color indexed="64"/>
        </bottom>
      </border>
    </ndxf>
  </rcc>
  <rcc rId="5935" sId="1" odxf="1" dxf="1" numFmtId="19">
    <nc r="M478">
      <v>46246.638888888891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478" start="0" length="0">
    <dxf>
      <border outline="0">
        <bottom style="medium">
          <color indexed="64"/>
        </bottom>
      </border>
    </dxf>
  </rfmt>
  <rfmt sheetId="1" sqref="O478" start="0" length="0">
    <dxf>
      <border outline="0">
        <bottom style="medium">
          <color indexed="64"/>
        </bottom>
      </border>
    </dxf>
  </rfmt>
  <rfmt sheetId="1" sqref="P478" start="0" length="0">
    <dxf>
      <border outline="0">
        <bottom style="medium">
          <color indexed="64"/>
        </bottom>
      </border>
    </dxf>
  </rfmt>
  <rfmt sheetId="1" sqref="Q478" start="0" length="0">
    <dxf>
      <border outline="0">
        <bottom style="medium">
          <color indexed="64"/>
        </bottom>
      </border>
    </dxf>
  </rfmt>
  <rfmt sheetId="1" sqref="R478" start="0" length="0">
    <dxf>
      <border outline="0">
        <bottom style="medium">
          <color indexed="64"/>
        </bottom>
      </border>
    </dxf>
  </rfmt>
  <rfmt sheetId="1" sqref="S478" start="0" length="0">
    <dxf>
      <border outline="0">
        <bottom style="medium">
          <color indexed="64"/>
        </bottom>
      </border>
    </dxf>
  </rfmt>
  <rfmt sheetId="1" sqref="T478" start="0" length="0">
    <dxf>
      <border outline="0">
        <bottom style="medium">
          <color indexed="64"/>
        </bottom>
      </border>
    </dxf>
  </rfmt>
  <rfmt sheetId="1" sqref="U478" start="0" length="0">
    <dxf>
      <border outline="0">
        <bottom style="medium">
          <color indexed="64"/>
        </bottom>
      </border>
    </dxf>
  </rfmt>
  <rfmt sheetId="1" sqref="V478" start="0" length="0">
    <dxf>
      <border outline="0">
        <bottom style="medium">
          <color indexed="64"/>
        </bottom>
      </border>
    </dxf>
  </rfmt>
  <rfmt sheetId="1" sqref="W478" start="0" length="0">
    <dxf>
      <border outline="0">
        <bottom style="medium">
          <color indexed="64"/>
        </bottom>
      </border>
    </dxf>
  </rfmt>
  <rfmt sheetId="1" sqref="X478" start="0" length="0">
    <dxf>
      <border outline="0">
        <bottom style="medium">
          <color indexed="64"/>
        </bottom>
      </border>
    </dxf>
  </rfmt>
  <rfmt sheetId="1" sqref="Y478" start="0" length="0">
    <dxf>
      <border outline="0">
        <bottom style="medium">
          <color indexed="64"/>
        </bottom>
      </border>
    </dxf>
  </rfmt>
  <rfmt sheetId="1" sqref="Z478" start="0" length="0">
    <dxf>
      <border outline="0">
        <bottom style="medium">
          <color indexed="64"/>
        </bottom>
      </border>
    </dxf>
  </rfmt>
  <rcc rId="5936" sId="1" odxf="1" dxf="1">
    <nc r="AA478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5937" sId="1" odxf="1" dxf="1">
    <nc r="AB478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478:XFD478" start="0" length="0">
    <dxf>
      <border outline="0">
        <bottom style="medium">
          <color indexed="64"/>
        </bottom>
      </border>
    </dxf>
  </rfmt>
  <rcc rId="5938" sId="1" odxf="1" dxf="1">
    <nc r="A479" t="inlineStr">
      <is>
        <t>Zone 4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39" sId="1" odxf="1" dxf="1">
    <nc r="B479">
      <v>25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40" sId="1" odxf="1" dxf="1">
    <nc r="C479">
      <v>1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41" sId="1" odxf="1" dxf="1">
    <nc r="D479" t="inlineStr">
      <is>
        <t>23-043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42" sId="1" odxf="1" dxf="1">
    <nc r="E479" t="inlineStr">
      <is>
        <t>W1030241/1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43" sId="1" odxf="1" dxf="1">
    <nc r="F479" t="inlineStr">
      <is>
        <t>VER3/0122-1298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44" sId="1" odxf="1" dxf="1">
    <nc r="G479" t="inlineStr">
      <is>
        <t>Mac S1 Left Shell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45" sId="1" odxf="1" dxf="1">
    <nc r="H479">
      <v>15.87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46" sId="1" odxf="1" dxf="1">
    <nc r="I479">
      <v>15.87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47" sId="1" odxf="1" dxf="1">
    <nc r="J479">
      <v>2000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48" sId="1" odxf="1" dxf="1">
    <nc r="K479">
      <v>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49" sId="1" odxf="1" dxf="1" numFmtId="19">
    <nc r="L479">
      <v>46209.416666666664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50" sId="1" odxf="1" dxf="1" numFmtId="19">
    <nc r="M479">
      <v>46210.409722222219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N479" start="0" length="0">
    <dxf>
      <fill>
        <patternFill patternType="solid">
          <bgColor theme="8" tint="0.39997558519241921"/>
        </patternFill>
      </fill>
    </dxf>
  </rfmt>
  <rfmt sheetId="1" sqref="O479" start="0" length="0">
    <dxf>
      <fill>
        <patternFill patternType="solid">
          <bgColor theme="8" tint="0.39997558519241921"/>
        </patternFill>
      </fill>
    </dxf>
  </rfmt>
  <rfmt sheetId="1" sqref="P479" start="0" length="0">
    <dxf>
      <fill>
        <patternFill patternType="solid">
          <bgColor theme="8" tint="0.39997558519241921"/>
        </patternFill>
      </fill>
    </dxf>
  </rfmt>
  <rfmt sheetId="1" sqref="Q479" start="0" length="0">
    <dxf>
      <fill>
        <patternFill patternType="solid">
          <bgColor theme="8" tint="0.39997558519241921"/>
        </patternFill>
      </fill>
    </dxf>
  </rfmt>
  <rfmt sheetId="1" sqref="R479" start="0" length="0">
    <dxf>
      <fill>
        <patternFill patternType="solid">
          <bgColor theme="8" tint="0.39997558519241921"/>
        </patternFill>
      </fill>
    </dxf>
  </rfmt>
  <rfmt sheetId="1" sqref="S479" start="0" length="0">
    <dxf>
      <fill>
        <patternFill patternType="solid">
          <bgColor theme="8" tint="0.39997558519241921"/>
        </patternFill>
      </fill>
    </dxf>
  </rfmt>
  <rfmt sheetId="1" sqref="T479" start="0" length="0">
    <dxf>
      <fill>
        <patternFill patternType="solid">
          <bgColor theme="8" tint="0.39997558519241921"/>
        </patternFill>
      </fill>
    </dxf>
  </rfmt>
  <rfmt sheetId="1" sqref="U479" start="0" length="0">
    <dxf>
      <fill>
        <patternFill patternType="solid">
          <bgColor theme="8" tint="0.39997558519241921"/>
        </patternFill>
      </fill>
    </dxf>
  </rfmt>
  <rfmt sheetId="1" sqref="V479" start="0" length="0">
    <dxf>
      <fill>
        <patternFill patternType="solid">
          <bgColor theme="8" tint="0.39997558519241921"/>
        </patternFill>
      </fill>
    </dxf>
  </rfmt>
  <rfmt sheetId="1" sqref="W479" start="0" length="0">
    <dxf>
      <fill>
        <patternFill patternType="solid">
          <bgColor theme="8" tint="0.39997558519241921"/>
        </patternFill>
      </fill>
    </dxf>
  </rfmt>
  <rfmt sheetId="1" sqref="X479" start="0" length="0">
    <dxf>
      <fill>
        <patternFill patternType="solid">
          <bgColor theme="8" tint="0.39997558519241921"/>
        </patternFill>
      </fill>
    </dxf>
  </rfmt>
  <rfmt sheetId="1" sqref="Y479" start="0" length="0">
    <dxf>
      <fill>
        <patternFill patternType="solid">
          <bgColor theme="8" tint="0.39997558519241921"/>
        </patternFill>
      </fill>
    </dxf>
  </rfmt>
  <rfmt sheetId="1" sqref="Z479" start="0" length="0">
    <dxf>
      <fill>
        <patternFill patternType="solid">
          <bgColor theme="8" tint="0.39997558519241921"/>
        </patternFill>
      </fill>
    </dxf>
  </rfmt>
  <rcc rId="5951" sId="1" odxf="1" dxf="1">
    <nc r="AA479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5952" sId="1" odxf="1" dxf="1">
    <nc r="AB479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A479:XFD479" start="0" length="0">
    <dxf>
      <fill>
        <patternFill patternType="solid">
          <bgColor theme="8" tint="0.39997558519241921"/>
        </patternFill>
      </fill>
    </dxf>
  </rfmt>
  <rcc rId="5953" sId="1" odxf="1" dxf="1">
    <nc r="A480" t="inlineStr">
      <is>
        <t>Zone 3</t>
      </is>
    </nc>
    <odxf/>
    <ndxf/>
  </rcc>
  <rcc rId="5954" sId="1" odxf="1" dxf="1">
    <nc r="B480" t="inlineStr">
      <is>
        <t>Lopro QC Mac 4</t>
      </is>
    </nc>
    <odxf/>
    <ndxf/>
  </rcc>
  <rcc rId="5955" sId="1" odxf="1" dxf="1">
    <nc r="C480">
      <v>4</v>
    </nc>
    <odxf/>
    <ndxf/>
  </rcc>
  <rcc rId="5956" sId="1" odxf="1" dxf="1">
    <nc r="D480" t="inlineStr">
      <is>
        <t>20-033</t>
      </is>
    </nc>
    <odxf/>
    <ndxf/>
  </rcc>
  <rcc rId="5957" sId="1" odxf="1" dxf="1">
    <nc r="E480" t="inlineStr">
      <is>
        <t>W1029033/1</t>
      </is>
    </nc>
    <odxf/>
    <ndxf/>
  </rcc>
  <rcc rId="5958" sId="1" odxf="1" dxf="1">
    <nc r="F480" t="inlineStr">
      <is>
        <t>VER1/0270-1148</t>
      </is>
    </nc>
    <odxf/>
    <ndxf/>
  </rcc>
  <rcc rId="5959" sId="1" odxf="1" dxf="1">
    <nc r="G480" t="inlineStr">
      <is>
        <t>QC ECO ,MAC S4, NS, GS SPECTRUM BOX-10</t>
      </is>
    </nc>
    <odxf/>
    <ndxf/>
  </rcc>
  <rcc rId="5960" sId="1" odxf="1" dxf="1">
    <nc r="H480">
      <v>138.47999999999999</v>
    </nc>
    <odxf/>
    <ndxf/>
  </rcc>
  <rcc rId="5961" sId="1" odxf="1" dxf="1">
    <nc r="I480">
      <v>34.619999999999997</v>
    </nc>
    <odxf/>
    <ndxf/>
  </rcc>
  <rcc rId="5962" sId="1" odxf="1" dxf="1">
    <nc r="J480">
      <v>450</v>
    </nc>
    <odxf/>
    <ndxf/>
  </rcc>
  <rcc rId="5963" sId="1" odxf="1" dxf="1">
    <nc r="K480">
      <v>0</v>
    </nc>
    <odxf/>
    <ndxf/>
  </rcc>
  <rcc rId="5964" sId="1" odxf="1" dxf="1" numFmtId="19">
    <nc r="L480">
      <v>46209</v>
    </nc>
    <odxf/>
    <ndxf/>
  </rcc>
  <rcc rId="5965" sId="1" odxf="1" dxf="1" numFmtId="19">
    <nc r="M480">
      <v>46210.458333333336</v>
    </nc>
    <odxf/>
    <ndxf/>
  </rcc>
  <rfmt sheetId="1" sqref="N480" start="0" length="0">
    <dxf/>
  </rfmt>
  <rcc rId="5966" sId="1" odxf="1" dxf="1">
    <nc r="O480" t="inlineStr">
      <is>
        <t>P</t>
      </is>
    </nc>
    <odxf/>
    <ndxf/>
  </rcc>
  <rfmt sheetId="1" sqref="P480" start="0" length="0">
    <dxf/>
  </rfmt>
  <rfmt sheetId="1" sqref="Q480" start="0" length="0">
    <dxf/>
  </rfmt>
  <rfmt sheetId="1" sqref="R480" start="0" length="0">
    <dxf/>
  </rfmt>
  <rfmt sheetId="1" sqref="S480" start="0" length="0">
    <dxf/>
  </rfmt>
  <rfmt sheetId="1" sqref="T480" start="0" length="0">
    <dxf/>
  </rfmt>
  <rfmt sheetId="1" sqref="U480" start="0" length="0">
    <dxf/>
  </rfmt>
  <rfmt sheetId="1" sqref="V480" start="0" length="0">
    <dxf/>
  </rfmt>
  <rfmt sheetId="1" sqref="W480" start="0" length="0">
    <dxf/>
  </rfmt>
  <rfmt sheetId="1" sqref="X480" start="0" length="0">
    <dxf/>
  </rfmt>
  <rfmt sheetId="1" sqref="Y480" start="0" length="0">
    <dxf/>
  </rfmt>
  <rfmt sheetId="1" sqref="Z480" start="0" length="0">
    <dxf/>
  </rfmt>
  <rcc rId="5967" sId="1" odxf="1" dxf="1">
    <nc r="AA480" t="inlineStr">
      <is>
        <t>1</t>
      </is>
    </nc>
    <odxf/>
    <ndxf/>
  </rcc>
  <rcc rId="5968" sId="1" odxf="1" dxf="1">
    <nc r="AB480" t="inlineStr">
      <is>
        <t>0</t>
      </is>
    </nc>
    <odxf/>
    <ndxf/>
  </rcc>
  <rfmt sheetId="1" sqref="A480:XFD480" start="0" length="0">
    <dxf/>
  </rfmt>
  <rcc rId="5969" sId="1" odxf="1" dxf="1">
    <nc r="A481" t="inlineStr">
      <is>
        <t>Zone 3</t>
      </is>
    </nc>
    <odxf/>
    <ndxf/>
  </rcc>
  <rcc rId="5970" sId="1" odxf="1" dxf="1">
    <nc r="B481" t="inlineStr">
      <is>
        <t>Lopro QC Mac 4</t>
      </is>
    </nc>
    <odxf/>
    <ndxf/>
  </rcc>
  <rcc rId="5971" sId="1" odxf="1" dxf="1">
    <nc r="C481">
      <v>4</v>
    </nc>
    <odxf/>
    <ndxf/>
  </rcc>
  <rcc rId="5972" sId="1" odxf="1" dxf="1">
    <nc r="D481" t="inlineStr">
      <is>
        <t>20-033</t>
      </is>
    </nc>
    <odxf/>
    <ndxf/>
  </rcc>
  <rcc rId="5973" sId="1" odxf="1" dxf="1">
    <nc r="E481" t="inlineStr">
      <is>
        <t>W1027575/1</t>
      </is>
    </nc>
    <odxf/>
    <ndxf/>
  </rcc>
  <rcc rId="5974" sId="1" odxf="1" dxf="1">
    <nc r="F481" t="inlineStr">
      <is>
        <t>VER1/0270-1086</t>
      </is>
    </nc>
    <odxf/>
    <ndxf/>
  </rcc>
  <rcc rId="5975" sId="1" odxf="1" dxf="1">
    <nc r="G481" t="inlineStr">
      <is>
        <t>Spectrum QC MAC S4</t>
      </is>
    </nc>
    <odxf/>
    <ndxf/>
  </rcc>
  <rcc rId="5976" sId="1" odxf="1" dxf="1">
    <nc r="H481">
      <v>92.32</v>
    </nc>
    <odxf/>
    <ndxf/>
  </rcc>
  <rcc rId="5977" sId="1" odxf="1" dxf="1">
    <nc r="I481">
      <v>23.08</v>
    </nc>
    <odxf/>
    <ndxf/>
  </rcc>
  <rcc rId="5978" sId="1" odxf="1" dxf="1">
    <nc r="J481">
      <v>300</v>
    </nc>
    <odxf/>
    <ndxf/>
  </rcc>
  <rcc rId="5979" sId="1" odxf="1" dxf="1">
    <nc r="K481">
      <v>0</v>
    </nc>
    <odxf/>
    <ndxf/>
  </rcc>
  <rcc rId="5980" sId="1" odxf="1" dxf="1" numFmtId="19">
    <nc r="L481">
      <v>46210.465277777781</v>
    </nc>
    <odxf/>
    <ndxf/>
  </rcc>
  <rcc rId="5981" sId="1" odxf="1" dxf="1" numFmtId="19">
    <nc r="M481">
      <v>46211.444444444445</v>
    </nc>
    <odxf/>
    <ndxf/>
  </rcc>
  <rfmt sheetId="1" sqref="N481" start="0" length="0">
    <dxf/>
  </rfmt>
  <rcc rId="5982" sId="1" odxf="1" dxf="1">
    <nc r="O481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fmt sheetId="1" sqref="P481" start="0" length="0">
    <dxf/>
  </rfmt>
  <rfmt sheetId="1" sqref="Q481" start="0" length="0">
    <dxf/>
  </rfmt>
  <rfmt sheetId="1" sqref="R481" start="0" length="0">
    <dxf/>
  </rfmt>
  <rfmt sheetId="1" sqref="S481" start="0" length="0">
    <dxf/>
  </rfmt>
  <rfmt sheetId="1" sqref="T481" start="0" length="0">
    <dxf/>
  </rfmt>
  <rfmt sheetId="1" sqref="U481" start="0" length="0">
    <dxf/>
  </rfmt>
  <rfmt sheetId="1" sqref="V481" start="0" length="0">
    <dxf/>
  </rfmt>
  <rfmt sheetId="1" sqref="W481" start="0" length="0">
    <dxf/>
  </rfmt>
  <rfmt sheetId="1" sqref="X481" start="0" length="0">
    <dxf/>
  </rfmt>
  <rfmt sheetId="1" sqref="Y481" start="0" length="0">
    <dxf/>
  </rfmt>
  <rfmt sheetId="1" sqref="Z481" start="0" length="0">
    <dxf/>
  </rfmt>
  <rcc rId="5983" sId="1" odxf="1" dxf="1">
    <nc r="AA481" t="inlineStr">
      <is>
        <t>1</t>
      </is>
    </nc>
    <odxf/>
    <ndxf/>
  </rcc>
  <rcc rId="5984" sId="1" odxf="1" dxf="1">
    <nc r="AB481" t="inlineStr">
      <is>
        <t>0</t>
      </is>
    </nc>
    <odxf/>
    <ndxf/>
  </rcc>
  <rfmt sheetId="1" sqref="A481:XFD481" start="0" length="0">
    <dxf/>
  </rfmt>
  <rcc rId="5985" sId="1" odxf="1" dxf="1">
    <nc r="A482" t="inlineStr">
      <is>
        <t>Zone 3</t>
      </is>
    </nc>
    <odxf/>
    <ndxf/>
  </rcc>
  <rcc rId="5986" sId="1" odxf="1" dxf="1">
    <nc r="B482" t="inlineStr">
      <is>
        <t>Lopro QC Mac 4</t>
      </is>
    </nc>
    <odxf/>
    <ndxf/>
  </rcc>
  <rcc rId="5987" sId="1" odxf="1" dxf="1">
    <nc r="C482">
      <v>4</v>
    </nc>
    <odxf/>
    <ndxf/>
  </rcc>
  <rcc rId="5988" sId="1" odxf="1" dxf="1">
    <nc r="D482" t="inlineStr">
      <is>
        <t>20-033</t>
      </is>
    </nc>
    <odxf/>
    <ndxf/>
  </rcc>
  <rcc rId="5989" sId="1" odxf="1" dxf="1">
    <nc r="E482" t="inlineStr">
      <is>
        <t>W1030250/1</t>
      </is>
    </nc>
    <odxf/>
    <ndxf/>
  </rcc>
  <rcc rId="5990" sId="1" odxf="1" dxf="1">
    <nc r="F482" t="inlineStr">
      <is>
        <t>VER1/0270-1086</t>
      </is>
    </nc>
    <odxf/>
    <ndxf/>
  </rcc>
  <rcc rId="5991" sId="1" odxf="1" dxf="1">
    <nc r="G482" t="inlineStr">
      <is>
        <t>Spectrum QC MAC S4</t>
      </is>
    </nc>
    <odxf/>
    <ndxf/>
  </rcc>
  <rcc rId="5992" sId="1" odxf="1" dxf="1">
    <nc r="H482">
      <v>46.16</v>
    </nc>
    <odxf/>
    <ndxf/>
  </rcc>
  <rcc rId="5993" sId="1" odxf="1" dxf="1">
    <nc r="I482">
      <v>11.54</v>
    </nc>
    <odxf/>
    <ndxf/>
  </rcc>
  <rcc rId="5994" sId="1" odxf="1" dxf="1">
    <nc r="J482">
      <v>150</v>
    </nc>
    <odxf/>
    <ndxf/>
  </rcc>
  <rcc rId="5995" sId="1" odxf="1" dxf="1">
    <nc r="K482">
      <v>0</v>
    </nc>
    <odxf/>
    <ndxf/>
  </rcc>
  <rcc rId="5996" sId="1" odxf="1" dxf="1" numFmtId="19">
    <nc r="L482">
      <v>46211.451388888891</v>
    </nc>
    <odxf/>
    <ndxf/>
  </rcc>
  <rcc rId="5997" sId="1" odxf="1" dxf="1" numFmtId="19">
    <nc r="M482">
      <v>46211.951388888891</v>
    </nc>
    <odxf/>
    <ndxf/>
  </rcc>
  <rfmt sheetId="1" sqref="N482" start="0" length="0">
    <dxf/>
  </rfmt>
  <rfmt sheetId="1" sqref="O482" start="0" length="0">
    <dxf/>
  </rfmt>
  <rfmt sheetId="1" sqref="P482" start="0" length="0">
    <dxf/>
  </rfmt>
  <rfmt sheetId="1" sqref="Q482" start="0" length="0">
    <dxf/>
  </rfmt>
  <rfmt sheetId="1" sqref="R482" start="0" length="0">
    <dxf/>
  </rfmt>
  <rfmt sheetId="1" sqref="S482" start="0" length="0">
    <dxf/>
  </rfmt>
  <rfmt sheetId="1" sqref="T482" start="0" length="0">
    <dxf/>
  </rfmt>
  <rfmt sheetId="1" sqref="U482" start="0" length="0">
    <dxf/>
  </rfmt>
  <rfmt sheetId="1" sqref="V482" start="0" length="0">
    <dxf/>
  </rfmt>
  <rfmt sheetId="1" sqref="W482" start="0" length="0">
    <dxf/>
  </rfmt>
  <rfmt sheetId="1" sqref="X482" start="0" length="0">
    <dxf/>
  </rfmt>
  <rfmt sheetId="1" sqref="Y482" start="0" length="0">
    <dxf/>
  </rfmt>
  <rfmt sheetId="1" sqref="Z482" start="0" length="0">
    <dxf/>
  </rfmt>
  <rcc rId="5998" sId="1" odxf="1" dxf="1">
    <nc r="AA482" t="inlineStr">
      <is>
        <t>1</t>
      </is>
    </nc>
    <odxf/>
    <ndxf/>
  </rcc>
  <rcc rId="5999" sId="1" odxf="1" dxf="1">
    <nc r="AB482" t="inlineStr">
      <is>
        <t>0</t>
      </is>
    </nc>
    <odxf/>
    <ndxf/>
  </rcc>
  <rfmt sheetId="1" sqref="A482:XFD482" start="0" length="0">
    <dxf/>
  </rfmt>
  <rfmt sheetId="1" sqref="A483" start="0" length="0">
    <dxf>
      <fill>
        <patternFill patternType="solid">
          <bgColor theme="0" tint="-4.9989318521683403E-2"/>
        </patternFill>
      </fill>
    </dxf>
  </rfmt>
  <rfmt sheetId="1" sqref="B483" start="0" length="0">
    <dxf>
      <fill>
        <patternFill patternType="solid">
          <bgColor theme="0" tint="-4.9989318521683403E-2"/>
        </patternFill>
      </fill>
    </dxf>
  </rfmt>
  <rfmt sheetId="1" sqref="C483" start="0" length="0">
    <dxf>
      <fill>
        <patternFill patternType="solid">
          <bgColor theme="0" tint="-4.9989318521683403E-2"/>
        </patternFill>
      </fill>
    </dxf>
  </rfmt>
  <rfmt sheetId="1" sqref="D483" start="0" length="0">
    <dxf>
      <fill>
        <patternFill patternType="solid">
          <bgColor theme="0" tint="-4.9989318521683403E-2"/>
        </patternFill>
      </fill>
    </dxf>
  </rfmt>
  <rfmt sheetId="1" sqref="E483" start="0" length="0">
    <dxf>
      <fill>
        <patternFill patternType="solid">
          <bgColor theme="0" tint="-4.9989318521683403E-2"/>
        </patternFill>
      </fill>
    </dxf>
  </rfmt>
  <rfmt sheetId="1" sqref="F483" start="0" length="0">
    <dxf>
      <fill>
        <patternFill patternType="solid">
          <bgColor theme="0" tint="-4.9989318521683403E-2"/>
        </patternFill>
      </fill>
    </dxf>
  </rfmt>
  <rfmt sheetId="1" sqref="G483" start="0" length="0">
    <dxf>
      <fill>
        <patternFill patternType="solid">
          <bgColor theme="0" tint="-4.9989318521683403E-2"/>
        </patternFill>
      </fill>
    </dxf>
  </rfmt>
  <rfmt sheetId="1" sqref="H483" start="0" length="0">
    <dxf>
      <fill>
        <patternFill patternType="solid">
          <bgColor theme="0" tint="-4.9989318521683403E-2"/>
        </patternFill>
      </fill>
    </dxf>
  </rfmt>
  <rfmt sheetId="1" sqref="I483" start="0" length="0">
    <dxf>
      <fill>
        <patternFill patternType="solid">
          <bgColor theme="0" tint="-4.9989318521683403E-2"/>
        </patternFill>
      </fill>
    </dxf>
  </rfmt>
  <rfmt sheetId="1" sqref="J483" start="0" length="0">
    <dxf>
      <fill>
        <patternFill patternType="solid">
          <bgColor theme="0" tint="-4.9989318521683403E-2"/>
        </patternFill>
      </fill>
    </dxf>
  </rfmt>
  <rfmt sheetId="1" sqref="K483" start="0" length="0">
    <dxf>
      <fill>
        <patternFill patternType="solid">
          <bgColor theme="0" tint="-4.9989318521683403E-2"/>
        </patternFill>
      </fill>
    </dxf>
  </rfmt>
  <rfmt sheetId="1" sqref="L483" start="0" length="0">
    <dxf>
      <fill>
        <patternFill patternType="solid">
          <bgColor theme="0" tint="-4.9989318521683403E-2"/>
        </patternFill>
      </fill>
    </dxf>
  </rfmt>
  <rfmt sheetId="1" sqref="M483" start="0" length="0">
    <dxf>
      <fill>
        <patternFill patternType="solid">
          <bgColor theme="0" tint="-4.9989318521683403E-2"/>
        </patternFill>
      </fill>
    </dxf>
  </rfmt>
  <rfmt sheetId="1" sqref="N483" start="0" length="0">
    <dxf>
      <fill>
        <patternFill patternType="solid">
          <bgColor theme="0" tint="-4.9989318521683403E-2"/>
        </patternFill>
      </fill>
    </dxf>
  </rfmt>
  <rfmt sheetId="1" sqref="O483" start="0" length="0">
    <dxf>
      <fill>
        <patternFill patternType="solid">
          <bgColor theme="0" tint="-4.9989318521683403E-2"/>
        </patternFill>
      </fill>
    </dxf>
  </rfmt>
  <rfmt sheetId="1" sqref="P483" start="0" length="0">
    <dxf>
      <fill>
        <patternFill patternType="solid">
          <bgColor theme="0" tint="-4.9989318521683403E-2"/>
        </patternFill>
      </fill>
    </dxf>
  </rfmt>
  <rfmt sheetId="1" sqref="Q483" start="0" length="0">
    <dxf>
      <fill>
        <patternFill patternType="solid">
          <bgColor theme="0" tint="-4.9989318521683403E-2"/>
        </patternFill>
      </fill>
    </dxf>
  </rfmt>
  <rfmt sheetId="1" sqref="R483" start="0" length="0">
    <dxf>
      <fill>
        <patternFill patternType="solid">
          <bgColor theme="0" tint="-4.9989318521683403E-2"/>
        </patternFill>
      </fill>
    </dxf>
  </rfmt>
  <rfmt sheetId="1" sqref="S483" start="0" length="0">
    <dxf>
      <fill>
        <patternFill patternType="solid">
          <bgColor theme="0" tint="-4.9989318521683403E-2"/>
        </patternFill>
      </fill>
    </dxf>
  </rfmt>
  <rfmt sheetId="1" sqref="T483" start="0" length="0">
    <dxf>
      <fill>
        <patternFill patternType="solid">
          <bgColor theme="0" tint="-4.9989318521683403E-2"/>
        </patternFill>
      </fill>
    </dxf>
  </rfmt>
  <rfmt sheetId="1" sqref="U483" start="0" length="0">
    <dxf>
      <fill>
        <patternFill patternType="solid">
          <bgColor theme="0" tint="-4.9989318521683403E-2"/>
        </patternFill>
      </fill>
    </dxf>
  </rfmt>
  <rfmt sheetId="1" sqref="V483" start="0" length="0">
    <dxf>
      <fill>
        <patternFill patternType="solid">
          <bgColor theme="0" tint="-4.9989318521683403E-2"/>
        </patternFill>
      </fill>
    </dxf>
  </rfmt>
  <rfmt sheetId="1" sqref="W483" start="0" length="0">
    <dxf>
      <fill>
        <patternFill patternType="solid">
          <bgColor theme="0" tint="-4.9989318521683403E-2"/>
        </patternFill>
      </fill>
    </dxf>
  </rfmt>
  <rfmt sheetId="1" sqref="X483" start="0" length="0">
    <dxf>
      <fill>
        <patternFill patternType="solid">
          <bgColor theme="0" tint="-4.9989318521683403E-2"/>
        </patternFill>
      </fill>
    </dxf>
  </rfmt>
  <rfmt sheetId="1" sqref="Y483" start="0" length="0">
    <dxf>
      <fill>
        <patternFill patternType="solid">
          <bgColor theme="0" tint="-4.9989318521683403E-2"/>
        </patternFill>
      </fill>
    </dxf>
  </rfmt>
  <rfmt sheetId="1" sqref="Z483" start="0" length="0">
    <dxf>
      <fill>
        <patternFill patternType="solid">
          <bgColor theme="0" tint="-4.9989318521683403E-2"/>
        </patternFill>
      </fill>
    </dxf>
  </rfmt>
  <rfmt sheetId="1" sqref="AA483" start="0" length="0">
    <dxf>
      <fill>
        <patternFill patternType="solid">
          <bgColor theme="0" tint="-4.9989318521683403E-2"/>
        </patternFill>
      </fill>
    </dxf>
  </rfmt>
  <rfmt sheetId="1" sqref="AB483" start="0" length="0">
    <dxf>
      <fill>
        <patternFill patternType="solid">
          <bgColor theme="0" tint="-4.9989318521683403E-2"/>
        </patternFill>
      </fill>
    </dxf>
  </rfmt>
  <rfmt sheetId="1" sqref="A483:XFD483" start="0" length="0">
    <dxf>
      <fill>
        <patternFill patternType="solid">
          <bgColor theme="0" tint="-4.9989318521683403E-2"/>
        </patternFill>
      </fill>
    </dxf>
  </rfmt>
  <rcc rId="6000" sId="1" odxf="1" dxf="1">
    <nc r="A484" t="inlineStr">
      <is>
        <t>Zone 3</t>
      </is>
    </nc>
    <odxf/>
    <ndxf/>
  </rcc>
  <rcc rId="6001" sId="1" odxf="1" dxf="1">
    <nc r="B484" t="inlineStr">
      <is>
        <t>Lopro QC Mac 4</t>
      </is>
    </nc>
    <odxf/>
    <ndxf/>
  </rcc>
  <rcc rId="6002" sId="1" odxf="1" dxf="1">
    <nc r="C484">
      <v>4</v>
    </nc>
    <odxf/>
    <ndxf/>
  </rcc>
  <rcc rId="6003" sId="1" odxf="1" dxf="1">
    <nc r="D484" t="inlineStr">
      <is>
        <t>20-033</t>
      </is>
    </nc>
    <odxf/>
    <ndxf/>
  </rcc>
  <rcc rId="6004" sId="1" odxf="1" dxf="1">
    <nc r="E484" t="inlineStr">
      <is>
        <t>W1026197/1</t>
      </is>
    </nc>
    <odxf/>
    <ndxf/>
  </rcc>
  <rcc rId="6005" sId="1" odxf="1" dxf="1">
    <nc r="F484" t="inlineStr">
      <is>
        <t>VER1/0270-1148</t>
      </is>
    </nc>
    <odxf/>
    <ndxf/>
  </rcc>
  <rcc rId="6006" sId="1" odxf="1" dxf="1">
    <nc r="G484" t="inlineStr">
      <is>
        <t>QC ECO ,MAC S4, NS, GS SPECTRUM BOX-10</t>
      </is>
    </nc>
    <odxf/>
    <ndxf/>
  </rcc>
  <rcc rId="6007" sId="1" odxf="1" dxf="1">
    <nc r="H484">
      <v>138.47999999999999</v>
    </nc>
    <odxf/>
    <ndxf/>
  </rcc>
  <rcc rId="6008" sId="1" odxf="1" dxf="1">
    <nc r="I484">
      <v>34.619999999999997</v>
    </nc>
    <odxf/>
    <ndxf/>
  </rcc>
  <rcc rId="6009" sId="1" odxf="1" dxf="1">
    <nc r="J484">
      <v>450</v>
    </nc>
    <odxf/>
    <ndxf/>
  </rcc>
  <rcc rId="6010" sId="1" odxf="1" dxf="1">
    <nc r="K484">
      <v>0</v>
    </nc>
    <odxf/>
    <ndxf/>
  </rcc>
  <rcc rId="6011" sId="1" odxf="1" dxf="1" numFmtId="19">
    <nc r="L484">
      <v>46216.986111111109</v>
    </nc>
    <odxf/>
    <ndxf/>
  </rcc>
  <rcc rId="6012" sId="1" odxf="1" dxf="1" numFmtId="19">
    <nc r="M484">
      <v>46218.444444444445</v>
    </nc>
    <odxf/>
    <ndxf/>
  </rcc>
  <rfmt sheetId="1" sqref="N484" start="0" length="0">
    <dxf/>
  </rfmt>
  <rfmt sheetId="1" sqref="O484" start="0" length="0">
    <dxf/>
  </rfmt>
  <rfmt sheetId="1" sqref="P484" start="0" length="0">
    <dxf/>
  </rfmt>
  <rfmt sheetId="1" sqref="Q484" start="0" length="0">
    <dxf/>
  </rfmt>
  <rfmt sheetId="1" sqref="R484" start="0" length="0">
    <dxf/>
  </rfmt>
  <rfmt sheetId="1" sqref="S484" start="0" length="0">
    <dxf/>
  </rfmt>
  <rfmt sheetId="1" sqref="T484" start="0" length="0">
    <dxf/>
  </rfmt>
  <rfmt sheetId="1" sqref="U484" start="0" length="0">
    <dxf/>
  </rfmt>
  <rfmt sheetId="1" sqref="V484" start="0" length="0">
    <dxf/>
  </rfmt>
  <rfmt sheetId="1" sqref="W484" start="0" length="0">
    <dxf/>
  </rfmt>
  <rfmt sheetId="1" sqref="X484" start="0" length="0">
    <dxf/>
  </rfmt>
  <rfmt sheetId="1" sqref="Y484" start="0" length="0">
    <dxf/>
  </rfmt>
  <rfmt sheetId="1" sqref="Z484" start="0" length="0">
    <dxf/>
  </rfmt>
  <rcc rId="6013" sId="1" odxf="1" dxf="1">
    <nc r="AA484" t="inlineStr">
      <is>
        <t>1</t>
      </is>
    </nc>
    <odxf/>
    <ndxf/>
  </rcc>
  <rcc rId="6014" sId="1" odxf="1" dxf="1">
    <nc r="AB484" t="inlineStr">
      <is>
        <t>0</t>
      </is>
    </nc>
    <odxf/>
    <ndxf/>
  </rcc>
  <rfmt sheetId="1" sqref="A484:XFD484" start="0" length="0">
    <dxf/>
  </rfmt>
  <rcc rId="6015" sId="1" odxf="1" dxf="1">
    <nc r="A485" t="inlineStr">
      <is>
        <t>Zone 3</t>
      </is>
    </nc>
    <odxf/>
    <ndxf/>
  </rcc>
  <rcc rId="6016" sId="1" odxf="1" dxf="1">
    <nc r="B485" t="inlineStr">
      <is>
        <t>Lopro QC Mac 4</t>
      </is>
    </nc>
    <odxf/>
    <ndxf/>
  </rcc>
  <rcc rId="6017" sId="1" odxf="1" dxf="1">
    <nc r="C485">
      <v>4</v>
    </nc>
    <odxf/>
    <ndxf/>
  </rcc>
  <rcc rId="6018" sId="1" odxf="1" dxf="1">
    <nc r="D485" t="inlineStr">
      <is>
        <t>20-033</t>
      </is>
    </nc>
    <odxf/>
    <ndxf/>
  </rcc>
  <rcc rId="6019" sId="1" odxf="1" dxf="1">
    <nc r="E485" t="inlineStr">
      <is>
        <t>W1030251/1</t>
      </is>
    </nc>
    <odxf/>
    <ndxf/>
  </rcc>
  <rcc rId="6020" sId="1" odxf="1" dxf="1">
    <nc r="F485" t="inlineStr">
      <is>
        <t>VER1/0270-1148</t>
      </is>
    </nc>
    <odxf/>
    <ndxf/>
  </rcc>
  <rcc rId="6021" sId="1" odxf="1" dxf="1">
    <nc r="G485" t="inlineStr">
      <is>
        <t>QC ECO ,MAC S4, NS, GS SPECTRUM BOX-10</t>
      </is>
    </nc>
    <odxf/>
    <ndxf/>
  </rcc>
  <rcc rId="6022" sId="1" odxf="1" dxf="1">
    <nc r="H485">
      <v>46.16</v>
    </nc>
    <odxf/>
    <ndxf/>
  </rcc>
  <rcc rId="6023" sId="1" odxf="1" dxf="1">
    <nc r="I485">
      <v>11.54</v>
    </nc>
    <odxf/>
    <ndxf/>
  </rcc>
  <rcc rId="6024" sId="1" odxf="1" dxf="1">
    <nc r="J485">
      <v>150</v>
    </nc>
    <odxf/>
    <ndxf/>
  </rcc>
  <rcc rId="6025" sId="1" odxf="1" dxf="1">
    <nc r="K485">
      <v>0</v>
    </nc>
    <odxf/>
    <ndxf/>
  </rcc>
  <rcc rId="6026" sId="1" odxf="1" dxf="1" numFmtId="19">
    <nc r="L485">
      <v>46218.451388888891</v>
    </nc>
    <odxf/>
    <ndxf/>
  </rcc>
  <rcc rId="6027" sId="1" odxf="1" dxf="1" numFmtId="19">
    <nc r="M485">
      <v>46218.951388888891</v>
    </nc>
    <odxf/>
    <ndxf/>
  </rcc>
  <rfmt sheetId="1" sqref="N485" start="0" length="0">
    <dxf/>
  </rfmt>
  <rfmt sheetId="1" sqref="O485" start="0" length="0">
    <dxf/>
  </rfmt>
  <rfmt sheetId="1" sqref="P485" start="0" length="0">
    <dxf/>
  </rfmt>
  <rfmt sheetId="1" sqref="Q485" start="0" length="0">
    <dxf/>
  </rfmt>
  <rfmt sheetId="1" sqref="R485" start="0" length="0">
    <dxf/>
  </rfmt>
  <rfmt sheetId="1" sqref="S485" start="0" length="0">
    <dxf/>
  </rfmt>
  <rfmt sheetId="1" sqref="T485" start="0" length="0">
    <dxf/>
  </rfmt>
  <rfmt sheetId="1" sqref="U485" start="0" length="0">
    <dxf/>
  </rfmt>
  <rfmt sheetId="1" sqref="V485" start="0" length="0">
    <dxf/>
  </rfmt>
  <rfmt sheetId="1" sqref="W485" start="0" length="0">
    <dxf/>
  </rfmt>
  <rfmt sheetId="1" sqref="X485" start="0" length="0">
    <dxf/>
  </rfmt>
  <rfmt sheetId="1" sqref="Y485" start="0" length="0">
    <dxf/>
  </rfmt>
  <rfmt sheetId="1" sqref="Z485" start="0" length="0">
    <dxf/>
  </rfmt>
  <rcc rId="6028" sId="1" odxf="1" dxf="1">
    <nc r="AA485" t="inlineStr">
      <is>
        <t>1</t>
      </is>
    </nc>
    <odxf/>
    <ndxf/>
  </rcc>
  <rcc rId="6029" sId="1" odxf="1" dxf="1">
    <nc r="AB485" t="inlineStr">
      <is>
        <t>0</t>
      </is>
    </nc>
    <odxf/>
    <ndxf/>
  </rcc>
  <rfmt sheetId="1" sqref="A485:XFD485" start="0" length="0">
    <dxf/>
  </rfmt>
  <rcc rId="6030" sId="1" odxf="1" dxf="1">
    <nc r="A486" t="inlineStr">
      <is>
        <t>Zone 3</t>
      </is>
    </nc>
    <odxf/>
    <ndxf/>
  </rcc>
  <rcc rId="6031" sId="1" odxf="1" dxf="1">
    <nc r="B486" t="inlineStr">
      <is>
        <t>Lopro QC Mac 4</t>
      </is>
    </nc>
    <odxf/>
    <ndxf/>
  </rcc>
  <rcc rId="6032" sId="1" odxf="1" dxf="1">
    <nc r="C486">
      <v>4</v>
    </nc>
    <odxf/>
    <ndxf/>
  </rcc>
  <rcc rId="6033" sId="1" odxf="1" dxf="1">
    <nc r="D486" t="inlineStr">
      <is>
        <t>20-033</t>
      </is>
    </nc>
    <odxf/>
    <ndxf/>
  </rcc>
  <rcc rId="6034" sId="1" odxf="1" dxf="1">
    <nc r="E486" t="inlineStr">
      <is>
        <t>W1029653/1</t>
      </is>
    </nc>
    <odxf/>
    <ndxf/>
  </rcc>
  <rcc rId="6035" sId="1" odxf="1" dxf="1">
    <nc r="F486" t="inlineStr">
      <is>
        <t>VER1/0270-1086</t>
      </is>
    </nc>
    <odxf/>
    <ndxf/>
  </rcc>
  <rcc rId="6036" sId="1" odxf="1" dxf="1">
    <nc r="G486" t="inlineStr">
      <is>
        <t>Spectrum QC MAC S4</t>
      </is>
    </nc>
    <odxf/>
    <ndxf/>
  </rcc>
  <rcc rId="6037" sId="1" odxf="1" dxf="1">
    <nc r="H486">
      <v>92.32</v>
    </nc>
    <odxf/>
    <ndxf/>
  </rcc>
  <rcc rId="6038" sId="1" odxf="1" dxf="1">
    <nc r="I486">
      <v>23.08</v>
    </nc>
    <odxf/>
    <ndxf/>
  </rcc>
  <rcc rId="6039" sId="1" odxf="1" dxf="1">
    <nc r="J486">
      <v>300</v>
    </nc>
    <odxf/>
    <ndxf/>
  </rcc>
  <rcc rId="6040" sId="1" odxf="1" dxf="1">
    <nc r="K486">
      <v>0</v>
    </nc>
    <odxf/>
    <ndxf/>
  </rcc>
  <rcc rId="6041" sId="1" odxf="1" dxf="1" numFmtId="19">
    <nc r="L486">
      <v>46216</v>
    </nc>
    <odxf/>
    <ndxf/>
  </rcc>
  <rcc rId="6042" sId="1" odxf="1" dxf="1" numFmtId="19">
    <nc r="M486">
      <v>46216.979166666664</v>
    </nc>
    <odxf/>
    <ndxf/>
  </rcc>
  <rfmt sheetId="1" sqref="N486" start="0" length="0">
    <dxf/>
  </rfmt>
  <rfmt sheetId="1" sqref="O486" start="0" length="0">
    <dxf/>
  </rfmt>
  <rfmt sheetId="1" sqref="P486" start="0" length="0">
    <dxf/>
  </rfmt>
  <rfmt sheetId="1" sqref="Q486" start="0" length="0">
    <dxf/>
  </rfmt>
  <rfmt sheetId="1" sqref="R486" start="0" length="0">
    <dxf/>
  </rfmt>
  <rfmt sheetId="1" sqref="S486" start="0" length="0">
    <dxf/>
  </rfmt>
  <rfmt sheetId="1" sqref="T486" start="0" length="0">
    <dxf/>
  </rfmt>
  <rfmt sheetId="1" sqref="U486" start="0" length="0">
    <dxf/>
  </rfmt>
  <rfmt sheetId="1" sqref="V486" start="0" length="0">
    <dxf/>
  </rfmt>
  <rfmt sheetId="1" sqref="W486" start="0" length="0">
    <dxf/>
  </rfmt>
  <rfmt sheetId="1" sqref="X486" start="0" length="0">
    <dxf/>
  </rfmt>
  <rfmt sheetId="1" sqref="Y486" start="0" length="0">
    <dxf/>
  </rfmt>
  <rfmt sheetId="1" sqref="Z486" start="0" length="0">
    <dxf/>
  </rfmt>
  <rcc rId="6043" sId="1" odxf="1" dxf="1">
    <nc r="AA486" t="inlineStr">
      <is>
        <t>1</t>
      </is>
    </nc>
    <odxf/>
    <ndxf/>
  </rcc>
  <rcc rId="6044" sId="1" odxf="1" dxf="1">
    <nc r="AB486" t="inlineStr">
      <is>
        <t>0</t>
      </is>
    </nc>
    <odxf/>
    <ndxf/>
  </rcc>
  <rfmt sheetId="1" sqref="A486:XFD486" start="0" length="0">
    <dxf/>
  </rfmt>
  <rfmt sheetId="1" sqref="A487" start="0" length="0">
    <dxf>
      <fill>
        <patternFill patternType="solid">
          <bgColor theme="0" tint="-4.9989318521683403E-2"/>
        </patternFill>
      </fill>
    </dxf>
  </rfmt>
  <rfmt sheetId="1" sqref="B487" start="0" length="0">
    <dxf>
      <fill>
        <patternFill patternType="solid">
          <bgColor theme="0" tint="-4.9989318521683403E-2"/>
        </patternFill>
      </fill>
    </dxf>
  </rfmt>
  <rfmt sheetId="1" sqref="C487" start="0" length="0">
    <dxf>
      <fill>
        <patternFill patternType="solid">
          <bgColor theme="0" tint="-4.9989318521683403E-2"/>
        </patternFill>
      </fill>
    </dxf>
  </rfmt>
  <rfmt sheetId="1" sqref="D487" start="0" length="0">
    <dxf>
      <fill>
        <patternFill patternType="solid">
          <bgColor theme="0" tint="-4.9989318521683403E-2"/>
        </patternFill>
      </fill>
    </dxf>
  </rfmt>
  <rfmt sheetId="1" sqref="E487" start="0" length="0">
    <dxf>
      <fill>
        <patternFill patternType="solid">
          <bgColor theme="0" tint="-4.9989318521683403E-2"/>
        </patternFill>
      </fill>
    </dxf>
  </rfmt>
  <rfmt sheetId="1" sqref="F487" start="0" length="0">
    <dxf>
      <fill>
        <patternFill patternType="solid">
          <bgColor theme="0" tint="-4.9989318521683403E-2"/>
        </patternFill>
      </fill>
    </dxf>
  </rfmt>
  <rfmt sheetId="1" sqref="G487" start="0" length="0">
    <dxf>
      <fill>
        <patternFill patternType="solid">
          <bgColor theme="0" tint="-4.9989318521683403E-2"/>
        </patternFill>
      </fill>
    </dxf>
  </rfmt>
  <rfmt sheetId="1" sqref="H487" start="0" length="0">
    <dxf>
      <fill>
        <patternFill patternType="solid">
          <bgColor theme="0" tint="-4.9989318521683403E-2"/>
        </patternFill>
      </fill>
    </dxf>
  </rfmt>
  <rfmt sheetId="1" sqref="I487" start="0" length="0">
    <dxf>
      <fill>
        <patternFill patternType="solid">
          <bgColor theme="0" tint="-4.9989318521683403E-2"/>
        </patternFill>
      </fill>
    </dxf>
  </rfmt>
  <rfmt sheetId="1" sqref="J487" start="0" length="0">
    <dxf>
      <fill>
        <patternFill patternType="solid">
          <bgColor theme="0" tint="-4.9989318521683403E-2"/>
        </patternFill>
      </fill>
    </dxf>
  </rfmt>
  <rfmt sheetId="1" sqref="K487" start="0" length="0">
    <dxf>
      <fill>
        <patternFill patternType="solid">
          <bgColor theme="0" tint="-4.9989318521683403E-2"/>
        </patternFill>
      </fill>
    </dxf>
  </rfmt>
  <rfmt sheetId="1" sqref="L487" start="0" length="0">
    <dxf>
      <fill>
        <patternFill patternType="solid">
          <bgColor theme="0" tint="-4.9989318521683403E-2"/>
        </patternFill>
      </fill>
    </dxf>
  </rfmt>
  <rfmt sheetId="1" sqref="M487" start="0" length="0">
    <dxf>
      <fill>
        <patternFill patternType="solid">
          <bgColor theme="0" tint="-4.9989318521683403E-2"/>
        </patternFill>
      </fill>
    </dxf>
  </rfmt>
  <rfmt sheetId="1" sqref="N487" start="0" length="0">
    <dxf>
      <fill>
        <patternFill patternType="solid">
          <bgColor theme="0" tint="-4.9989318521683403E-2"/>
        </patternFill>
      </fill>
    </dxf>
  </rfmt>
  <rfmt sheetId="1" sqref="O487" start="0" length="0">
    <dxf>
      <fill>
        <patternFill patternType="solid">
          <bgColor theme="0" tint="-4.9989318521683403E-2"/>
        </patternFill>
      </fill>
    </dxf>
  </rfmt>
  <rfmt sheetId="1" sqref="P487" start="0" length="0">
    <dxf>
      <fill>
        <patternFill patternType="solid">
          <bgColor theme="0" tint="-4.9989318521683403E-2"/>
        </patternFill>
      </fill>
    </dxf>
  </rfmt>
  <rfmt sheetId="1" sqref="Q487" start="0" length="0">
    <dxf>
      <fill>
        <patternFill patternType="solid">
          <bgColor theme="0" tint="-4.9989318521683403E-2"/>
        </patternFill>
      </fill>
    </dxf>
  </rfmt>
  <rfmt sheetId="1" sqref="R487" start="0" length="0">
    <dxf>
      <fill>
        <patternFill patternType="solid">
          <bgColor theme="0" tint="-4.9989318521683403E-2"/>
        </patternFill>
      </fill>
    </dxf>
  </rfmt>
  <rfmt sheetId="1" sqref="S487" start="0" length="0">
    <dxf>
      <fill>
        <patternFill patternType="solid">
          <bgColor theme="0" tint="-4.9989318521683403E-2"/>
        </patternFill>
      </fill>
    </dxf>
  </rfmt>
  <rfmt sheetId="1" sqref="T487" start="0" length="0">
    <dxf>
      <fill>
        <patternFill patternType="solid">
          <bgColor theme="0" tint="-4.9989318521683403E-2"/>
        </patternFill>
      </fill>
    </dxf>
  </rfmt>
  <rfmt sheetId="1" sqref="U487" start="0" length="0">
    <dxf>
      <fill>
        <patternFill patternType="solid">
          <bgColor theme="0" tint="-4.9989318521683403E-2"/>
        </patternFill>
      </fill>
    </dxf>
  </rfmt>
  <rfmt sheetId="1" sqref="V487" start="0" length="0">
    <dxf>
      <fill>
        <patternFill patternType="solid">
          <bgColor theme="0" tint="-4.9989318521683403E-2"/>
        </patternFill>
      </fill>
    </dxf>
  </rfmt>
  <rfmt sheetId="1" sqref="W487" start="0" length="0">
    <dxf>
      <fill>
        <patternFill patternType="solid">
          <bgColor theme="0" tint="-4.9989318521683403E-2"/>
        </patternFill>
      </fill>
    </dxf>
  </rfmt>
  <rfmt sheetId="1" sqref="X487" start="0" length="0">
    <dxf>
      <fill>
        <patternFill patternType="solid">
          <bgColor theme="0" tint="-4.9989318521683403E-2"/>
        </patternFill>
      </fill>
    </dxf>
  </rfmt>
  <rfmt sheetId="1" sqref="Y487" start="0" length="0">
    <dxf>
      <fill>
        <patternFill patternType="solid">
          <bgColor theme="0" tint="-4.9989318521683403E-2"/>
        </patternFill>
      </fill>
    </dxf>
  </rfmt>
  <rfmt sheetId="1" sqref="Z487" start="0" length="0">
    <dxf>
      <fill>
        <patternFill patternType="solid">
          <bgColor theme="0" tint="-4.9989318521683403E-2"/>
        </patternFill>
      </fill>
    </dxf>
  </rfmt>
  <rfmt sheetId="1" sqref="AA487" start="0" length="0">
    <dxf>
      <fill>
        <patternFill patternType="solid">
          <bgColor theme="0" tint="-4.9989318521683403E-2"/>
        </patternFill>
      </fill>
    </dxf>
  </rfmt>
  <rfmt sheetId="1" sqref="AB487" start="0" length="0">
    <dxf>
      <fill>
        <patternFill patternType="solid">
          <bgColor theme="0" tint="-4.9989318521683403E-2"/>
        </patternFill>
      </fill>
    </dxf>
  </rfmt>
  <rfmt sheetId="1" sqref="A487:XFD487" start="0" length="0">
    <dxf>
      <fill>
        <patternFill patternType="solid">
          <bgColor theme="0" tint="-4.9989318521683403E-2"/>
        </patternFill>
      </fill>
    </dxf>
  </rfmt>
  <rcc rId="6045" sId="1" odxf="1" dxf="1">
    <nc r="A488" t="inlineStr">
      <is>
        <t>Zone 3</t>
      </is>
    </nc>
    <odxf/>
    <ndxf/>
  </rcc>
  <rcc rId="6046" sId="1" odxf="1" dxf="1">
    <nc r="B488" t="inlineStr">
      <is>
        <t>Lopro QC Mac 4</t>
      </is>
    </nc>
    <odxf/>
    <ndxf/>
  </rcc>
  <rcc rId="6047" sId="1" odxf="1" dxf="1">
    <nc r="C488">
      <v>4</v>
    </nc>
    <odxf/>
    <ndxf/>
  </rcc>
  <rcc rId="6048" sId="1" odxf="1" dxf="1">
    <nc r="D488" t="inlineStr">
      <is>
        <t>20-033</t>
      </is>
    </nc>
    <odxf/>
    <ndxf/>
  </rcc>
  <rcc rId="6049" sId="1" odxf="1" dxf="1">
    <nc r="E488" t="inlineStr">
      <is>
        <t>W1027193/1</t>
      </is>
    </nc>
    <odxf/>
    <ndxf/>
  </rcc>
  <rcc rId="6050" sId="1" odxf="1" dxf="1">
    <nc r="F488" t="inlineStr">
      <is>
        <t>VER1/0270-1148</t>
      </is>
    </nc>
    <odxf/>
    <ndxf/>
  </rcc>
  <rcc rId="6051" sId="1" odxf="1" dxf="1">
    <nc r="G488" t="inlineStr">
      <is>
        <t>QC ECO ,MAC S4, NS, GS SPECTRUM BOX-10</t>
      </is>
    </nc>
    <odxf/>
    <ndxf/>
  </rcc>
  <rcc rId="6052" sId="1" odxf="1" dxf="1">
    <nc r="H488">
      <v>138.47999999999999</v>
    </nc>
    <odxf/>
    <ndxf/>
  </rcc>
  <rcc rId="6053" sId="1" odxf="1" dxf="1">
    <nc r="I488">
      <v>34.619999999999997</v>
    </nc>
    <odxf/>
    <ndxf/>
  </rcc>
  <rcc rId="6054" sId="1" odxf="1" dxf="1">
    <nc r="J488">
      <v>450</v>
    </nc>
    <odxf/>
    <ndxf/>
  </rcc>
  <rcc rId="6055" sId="1" odxf="1" dxf="1">
    <nc r="K488">
      <v>0</v>
    </nc>
    <odxf/>
    <ndxf/>
  </rcc>
  <rcc rId="6056" sId="1" odxf="1" dxf="1" numFmtId="19">
    <nc r="L488">
      <v>46223</v>
    </nc>
    <odxf/>
    <ndxf/>
  </rcc>
  <rcc rId="6057" sId="1" odxf="1" dxf="1" numFmtId="19">
    <nc r="M488">
      <v>46224.458333333336</v>
    </nc>
    <odxf/>
    <ndxf/>
  </rcc>
  <rfmt sheetId="1" sqref="N488" start="0" length="0">
    <dxf/>
  </rfmt>
  <rfmt sheetId="1" sqref="O488" start="0" length="0">
    <dxf/>
  </rfmt>
  <rfmt sheetId="1" sqref="P488" start="0" length="0">
    <dxf/>
  </rfmt>
  <rfmt sheetId="1" sqref="Q488" start="0" length="0">
    <dxf/>
  </rfmt>
  <rfmt sheetId="1" sqref="R488" start="0" length="0">
    <dxf/>
  </rfmt>
  <rfmt sheetId="1" sqref="S488" start="0" length="0">
    <dxf/>
  </rfmt>
  <rfmt sheetId="1" sqref="T488" start="0" length="0">
    <dxf/>
  </rfmt>
  <rfmt sheetId="1" sqref="U488" start="0" length="0">
    <dxf/>
  </rfmt>
  <rfmt sheetId="1" sqref="V488" start="0" length="0">
    <dxf/>
  </rfmt>
  <rfmt sheetId="1" sqref="W488" start="0" length="0">
    <dxf/>
  </rfmt>
  <rfmt sheetId="1" sqref="X488" start="0" length="0">
    <dxf/>
  </rfmt>
  <rfmt sheetId="1" sqref="Y488" start="0" length="0">
    <dxf/>
  </rfmt>
  <rfmt sheetId="1" sqref="Z488" start="0" length="0">
    <dxf/>
  </rfmt>
  <rcc rId="6058" sId="1" odxf="1" dxf="1">
    <nc r="AA488" t="inlineStr">
      <is>
        <t>1</t>
      </is>
    </nc>
    <odxf/>
    <ndxf/>
  </rcc>
  <rcc rId="6059" sId="1" odxf="1" dxf="1">
    <nc r="AB488" t="inlineStr">
      <is>
        <t>0</t>
      </is>
    </nc>
    <odxf/>
    <ndxf/>
  </rcc>
  <rfmt sheetId="1" sqref="A488:XFD488" start="0" length="0">
    <dxf/>
  </rfmt>
  <rcc rId="6060" sId="1" odxf="1" dxf="1">
    <nc r="A489" t="inlineStr">
      <is>
        <t>Zone 3</t>
      </is>
    </nc>
    <odxf/>
    <ndxf/>
  </rcc>
  <rcc rId="6061" sId="1" odxf="1" dxf="1">
    <nc r="B489" t="inlineStr">
      <is>
        <t>Lopro QC Mac 4</t>
      </is>
    </nc>
    <odxf/>
    <ndxf/>
  </rcc>
  <rcc rId="6062" sId="1" odxf="1" dxf="1">
    <nc r="C489">
      <v>4</v>
    </nc>
    <odxf/>
    <ndxf/>
  </rcc>
  <rcc rId="6063" sId="1" odxf="1" dxf="1">
    <nc r="D489" t="inlineStr">
      <is>
        <t>20-033</t>
      </is>
    </nc>
    <odxf/>
    <ndxf/>
  </rcc>
  <rcc rId="6064" sId="1" odxf="1" dxf="1">
    <nc r="E489" t="inlineStr">
      <is>
        <t>W1027568/1</t>
      </is>
    </nc>
    <odxf/>
    <ndxf/>
  </rcc>
  <rcc rId="6065" sId="1" odxf="1" dxf="1">
    <nc r="F489" t="inlineStr">
      <is>
        <t>VER1/0270-1148</t>
      </is>
    </nc>
    <odxf/>
    <ndxf/>
  </rcc>
  <rcc rId="6066" sId="1" odxf="1" dxf="1">
    <nc r="G489" t="inlineStr">
      <is>
        <t>QC ECO ,MAC S4, NS, GS SPECTRUM BOX-10</t>
      </is>
    </nc>
    <odxf/>
    <ndxf/>
  </rcc>
  <rcc rId="6067" sId="1" odxf="1" dxf="1">
    <nc r="H489">
      <v>138.47999999999999</v>
    </nc>
    <odxf/>
    <ndxf/>
  </rcc>
  <rcc rId="6068" sId="1" odxf="1" dxf="1">
    <nc r="I489">
      <v>34.619999999999997</v>
    </nc>
    <odxf/>
    <ndxf/>
  </rcc>
  <rcc rId="6069" sId="1" odxf="1" dxf="1">
    <nc r="J489">
      <v>450</v>
    </nc>
    <odxf/>
    <ndxf/>
  </rcc>
  <rcc rId="6070" sId="1" odxf="1" dxf="1">
    <nc r="K489">
      <v>0</v>
    </nc>
    <odxf/>
    <ndxf/>
  </rcc>
  <rcc rId="6071" sId="1" odxf="1" dxf="1" numFmtId="19">
    <nc r="L489">
      <v>46224.465277777781</v>
    </nc>
    <odxf/>
    <ndxf/>
  </rcc>
  <rcc rId="6072" sId="1" odxf="1" dxf="1" numFmtId="19">
    <nc r="M489">
      <v>46225.923611111109</v>
    </nc>
    <odxf/>
    <ndxf/>
  </rcc>
  <rfmt sheetId="1" sqref="N489" start="0" length="0">
    <dxf/>
  </rfmt>
  <rfmt sheetId="1" sqref="O489" start="0" length="0">
    <dxf/>
  </rfmt>
  <rfmt sheetId="1" sqref="P489" start="0" length="0">
    <dxf/>
  </rfmt>
  <rfmt sheetId="1" sqref="Q489" start="0" length="0">
    <dxf/>
  </rfmt>
  <rfmt sheetId="1" sqref="R489" start="0" length="0">
    <dxf/>
  </rfmt>
  <rfmt sheetId="1" sqref="S489" start="0" length="0">
    <dxf/>
  </rfmt>
  <rfmt sheetId="1" sqref="T489" start="0" length="0">
    <dxf/>
  </rfmt>
  <rfmt sheetId="1" sqref="U489" start="0" length="0">
    <dxf/>
  </rfmt>
  <rfmt sheetId="1" sqref="V489" start="0" length="0">
    <dxf/>
  </rfmt>
  <rfmt sheetId="1" sqref="W489" start="0" length="0">
    <dxf/>
  </rfmt>
  <rfmt sheetId="1" sqref="X489" start="0" length="0">
    <dxf/>
  </rfmt>
  <rfmt sheetId="1" sqref="Y489" start="0" length="0">
    <dxf/>
  </rfmt>
  <rfmt sheetId="1" sqref="Z489" start="0" length="0">
    <dxf/>
  </rfmt>
  <rcc rId="6073" sId="1" odxf="1" dxf="1">
    <nc r="AA489" t="inlineStr">
      <is>
        <t>1</t>
      </is>
    </nc>
    <odxf/>
    <ndxf/>
  </rcc>
  <rcc rId="6074" sId="1" odxf="1" dxf="1">
    <nc r="AB489" t="inlineStr">
      <is>
        <t>0</t>
      </is>
    </nc>
    <odxf/>
    <ndxf/>
  </rcc>
  <rfmt sheetId="1" sqref="A489:XFD489" start="0" length="0">
    <dxf/>
  </rfmt>
  <rfmt sheetId="1" sqref="A490" start="0" length="0">
    <dxf>
      <fill>
        <patternFill patternType="solid">
          <bgColor theme="0" tint="-4.9989318521683403E-2"/>
        </patternFill>
      </fill>
    </dxf>
  </rfmt>
  <rfmt sheetId="1" sqref="B490" start="0" length="0">
    <dxf>
      <fill>
        <patternFill patternType="solid">
          <bgColor theme="0" tint="-4.9989318521683403E-2"/>
        </patternFill>
      </fill>
    </dxf>
  </rfmt>
  <rfmt sheetId="1" sqref="C490" start="0" length="0">
    <dxf>
      <fill>
        <patternFill patternType="solid">
          <bgColor theme="0" tint="-4.9989318521683403E-2"/>
        </patternFill>
      </fill>
    </dxf>
  </rfmt>
  <rfmt sheetId="1" sqref="D490" start="0" length="0">
    <dxf>
      <fill>
        <patternFill patternType="solid">
          <bgColor theme="0" tint="-4.9989318521683403E-2"/>
        </patternFill>
      </fill>
    </dxf>
  </rfmt>
  <rfmt sheetId="1" sqref="E490" start="0" length="0">
    <dxf>
      <fill>
        <patternFill patternType="solid">
          <bgColor theme="0" tint="-4.9989318521683403E-2"/>
        </patternFill>
      </fill>
    </dxf>
  </rfmt>
  <rfmt sheetId="1" sqref="F490" start="0" length="0">
    <dxf>
      <fill>
        <patternFill patternType="solid">
          <bgColor theme="0" tint="-4.9989318521683403E-2"/>
        </patternFill>
      </fill>
    </dxf>
  </rfmt>
  <rfmt sheetId="1" sqref="G490" start="0" length="0">
    <dxf>
      <fill>
        <patternFill patternType="solid">
          <bgColor theme="0" tint="-4.9989318521683403E-2"/>
        </patternFill>
      </fill>
    </dxf>
  </rfmt>
  <rfmt sheetId="1" sqref="H490" start="0" length="0">
    <dxf>
      <fill>
        <patternFill patternType="solid">
          <bgColor theme="0" tint="-4.9989318521683403E-2"/>
        </patternFill>
      </fill>
    </dxf>
  </rfmt>
  <rfmt sheetId="1" sqref="I490" start="0" length="0">
    <dxf>
      <fill>
        <patternFill patternType="solid">
          <bgColor theme="0" tint="-4.9989318521683403E-2"/>
        </patternFill>
      </fill>
    </dxf>
  </rfmt>
  <rfmt sheetId="1" sqref="J490" start="0" length="0">
    <dxf>
      <fill>
        <patternFill patternType="solid">
          <bgColor theme="0" tint="-4.9989318521683403E-2"/>
        </patternFill>
      </fill>
    </dxf>
  </rfmt>
  <rfmt sheetId="1" sqref="K490" start="0" length="0">
    <dxf>
      <fill>
        <patternFill patternType="solid">
          <bgColor theme="0" tint="-4.9989318521683403E-2"/>
        </patternFill>
      </fill>
    </dxf>
  </rfmt>
  <rfmt sheetId="1" sqref="L490" start="0" length="0">
    <dxf>
      <fill>
        <patternFill patternType="solid">
          <bgColor theme="0" tint="-4.9989318521683403E-2"/>
        </patternFill>
      </fill>
    </dxf>
  </rfmt>
  <rfmt sheetId="1" sqref="M490" start="0" length="0">
    <dxf>
      <fill>
        <patternFill patternType="solid">
          <bgColor theme="0" tint="-4.9989318521683403E-2"/>
        </patternFill>
      </fill>
    </dxf>
  </rfmt>
  <rfmt sheetId="1" sqref="N490" start="0" length="0">
    <dxf>
      <fill>
        <patternFill patternType="solid">
          <bgColor theme="0" tint="-4.9989318521683403E-2"/>
        </patternFill>
      </fill>
    </dxf>
  </rfmt>
  <rfmt sheetId="1" sqref="O490" start="0" length="0">
    <dxf>
      <fill>
        <patternFill patternType="solid">
          <bgColor theme="0" tint="-4.9989318521683403E-2"/>
        </patternFill>
      </fill>
    </dxf>
  </rfmt>
  <rfmt sheetId="1" sqref="P490" start="0" length="0">
    <dxf>
      <fill>
        <patternFill patternType="solid">
          <bgColor theme="0" tint="-4.9989318521683403E-2"/>
        </patternFill>
      </fill>
    </dxf>
  </rfmt>
  <rfmt sheetId="1" sqref="Q490" start="0" length="0">
    <dxf>
      <fill>
        <patternFill patternType="solid">
          <bgColor theme="0" tint="-4.9989318521683403E-2"/>
        </patternFill>
      </fill>
    </dxf>
  </rfmt>
  <rfmt sheetId="1" sqref="R490" start="0" length="0">
    <dxf>
      <fill>
        <patternFill patternType="solid">
          <bgColor theme="0" tint="-4.9989318521683403E-2"/>
        </patternFill>
      </fill>
    </dxf>
  </rfmt>
  <rfmt sheetId="1" sqref="S490" start="0" length="0">
    <dxf>
      <fill>
        <patternFill patternType="solid">
          <bgColor theme="0" tint="-4.9989318521683403E-2"/>
        </patternFill>
      </fill>
    </dxf>
  </rfmt>
  <rfmt sheetId="1" sqref="T490" start="0" length="0">
    <dxf>
      <fill>
        <patternFill patternType="solid">
          <bgColor theme="0" tint="-4.9989318521683403E-2"/>
        </patternFill>
      </fill>
    </dxf>
  </rfmt>
  <rfmt sheetId="1" sqref="U490" start="0" length="0">
    <dxf>
      <fill>
        <patternFill patternType="solid">
          <bgColor theme="0" tint="-4.9989318521683403E-2"/>
        </patternFill>
      </fill>
    </dxf>
  </rfmt>
  <rfmt sheetId="1" sqref="V490" start="0" length="0">
    <dxf>
      <fill>
        <patternFill patternType="solid">
          <bgColor theme="0" tint="-4.9989318521683403E-2"/>
        </patternFill>
      </fill>
    </dxf>
  </rfmt>
  <rfmt sheetId="1" sqref="W490" start="0" length="0">
    <dxf>
      <fill>
        <patternFill patternType="solid">
          <bgColor theme="0" tint="-4.9989318521683403E-2"/>
        </patternFill>
      </fill>
    </dxf>
  </rfmt>
  <rfmt sheetId="1" sqref="X490" start="0" length="0">
    <dxf>
      <fill>
        <patternFill patternType="solid">
          <bgColor theme="0" tint="-4.9989318521683403E-2"/>
        </patternFill>
      </fill>
    </dxf>
  </rfmt>
  <rfmt sheetId="1" sqref="Y490" start="0" length="0">
    <dxf>
      <fill>
        <patternFill patternType="solid">
          <bgColor theme="0" tint="-4.9989318521683403E-2"/>
        </patternFill>
      </fill>
    </dxf>
  </rfmt>
  <rfmt sheetId="1" sqref="Z490" start="0" length="0">
    <dxf>
      <fill>
        <patternFill patternType="solid">
          <bgColor theme="0" tint="-4.9989318521683403E-2"/>
        </patternFill>
      </fill>
    </dxf>
  </rfmt>
  <rfmt sheetId="1" sqref="AA490" start="0" length="0">
    <dxf>
      <fill>
        <patternFill patternType="solid">
          <bgColor theme="0" tint="-4.9989318521683403E-2"/>
        </patternFill>
      </fill>
    </dxf>
  </rfmt>
  <rfmt sheetId="1" sqref="AB490" start="0" length="0">
    <dxf>
      <fill>
        <patternFill patternType="solid">
          <bgColor theme="0" tint="-4.9989318521683403E-2"/>
        </patternFill>
      </fill>
    </dxf>
  </rfmt>
  <rfmt sheetId="1" sqref="A490:XFD490" start="0" length="0">
    <dxf>
      <fill>
        <patternFill patternType="solid">
          <bgColor theme="0" tint="-4.9989318521683403E-2"/>
        </patternFill>
      </fill>
    </dxf>
  </rfmt>
  <rcc rId="6075" sId="1" odxf="1" dxf="1">
    <nc r="A491" t="inlineStr">
      <is>
        <t>Zone 3</t>
      </is>
    </nc>
    <odxf/>
    <ndxf/>
  </rcc>
  <rcc rId="6076" sId="1" odxf="1" dxf="1">
    <nc r="B491" t="inlineStr">
      <is>
        <t>Lopro QC Mac 4</t>
      </is>
    </nc>
    <odxf/>
    <ndxf/>
  </rcc>
  <rcc rId="6077" sId="1" odxf="1" dxf="1">
    <nc r="C491">
      <v>4</v>
    </nc>
    <odxf/>
    <ndxf/>
  </rcc>
  <rcc rId="6078" sId="1" odxf="1" dxf="1">
    <nc r="D491" t="inlineStr">
      <is>
        <t>20-033</t>
      </is>
    </nc>
    <odxf/>
    <ndxf/>
  </rcc>
  <rcc rId="6079" sId="1" odxf="1" dxf="1">
    <nc r="E491" t="inlineStr">
      <is>
        <t>W1027569/1</t>
      </is>
    </nc>
    <odxf/>
    <ndxf/>
  </rcc>
  <rcc rId="6080" sId="1" odxf="1" dxf="1">
    <nc r="F491" t="inlineStr">
      <is>
        <t>VER1/0270-1148</t>
      </is>
    </nc>
    <odxf/>
    <ndxf/>
  </rcc>
  <rcc rId="6081" sId="1" odxf="1" dxf="1">
    <nc r="G491" t="inlineStr">
      <is>
        <t>QC ECO ,MAC S4, NS, GS SPECTRUM BOX-10</t>
      </is>
    </nc>
    <odxf/>
    <ndxf/>
  </rcc>
  <rcc rId="6082" sId="1" odxf="1" dxf="1">
    <nc r="H491">
      <v>92.32</v>
    </nc>
    <odxf/>
    <ndxf/>
  </rcc>
  <rcc rId="6083" sId="1" odxf="1" dxf="1">
    <nc r="I491">
      <v>23.08</v>
    </nc>
    <odxf/>
    <ndxf/>
  </rcc>
  <rcc rId="6084" sId="1" odxf="1" dxf="1">
    <nc r="J491">
      <v>300</v>
    </nc>
    <odxf/>
    <ndxf/>
  </rcc>
  <rcc rId="6085" sId="1" odxf="1" dxf="1">
    <nc r="K491">
      <v>0</v>
    </nc>
    <odxf/>
    <ndxf/>
  </rcc>
  <rcc rId="6086" sId="1" odxf="1" dxf="1" numFmtId="19">
    <nc r="L491">
      <v>46230</v>
    </nc>
    <odxf/>
    <ndxf/>
  </rcc>
  <rcc rId="6087" sId="1" odxf="1" dxf="1" numFmtId="19">
    <nc r="M491">
      <v>46230.979166666664</v>
    </nc>
    <odxf/>
    <ndxf/>
  </rcc>
  <rfmt sheetId="1" sqref="N491" start="0" length="0">
    <dxf/>
  </rfmt>
  <rfmt sheetId="1" sqref="O491" start="0" length="0">
    <dxf/>
  </rfmt>
  <rfmt sheetId="1" sqref="P491" start="0" length="0">
    <dxf/>
  </rfmt>
  <rfmt sheetId="1" sqref="Q491" start="0" length="0">
    <dxf/>
  </rfmt>
  <rfmt sheetId="1" sqref="R491" start="0" length="0">
    <dxf/>
  </rfmt>
  <rfmt sheetId="1" sqref="S491" start="0" length="0">
    <dxf/>
  </rfmt>
  <rfmt sheetId="1" sqref="T491" start="0" length="0">
    <dxf/>
  </rfmt>
  <rfmt sheetId="1" sqref="U491" start="0" length="0">
    <dxf/>
  </rfmt>
  <rfmt sheetId="1" sqref="V491" start="0" length="0">
    <dxf/>
  </rfmt>
  <rfmt sheetId="1" sqref="W491" start="0" length="0">
    <dxf/>
  </rfmt>
  <rfmt sheetId="1" sqref="X491" start="0" length="0">
    <dxf/>
  </rfmt>
  <rfmt sheetId="1" sqref="Y491" start="0" length="0">
    <dxf/>
  </rfmt>
  <rfmt sheetId="1" sqref="Z491" start="0" length="0">
    <dxf/>
  </rfmt>
  <rcc rId="6088" sId="1" odxf="1" dxf="1">
    <nc r="AA491" t="inlineStr">
      <is>
        <t>1</t>
      </is>
    </nc>
    <odxf/>
    <ndxf/>
  </rcc>
  <rcc rId="6089" sId="1" odxf="1" dxf="1">
    <nc r="AB491" t="inlineStr">
      <is>
        <t>0</t>
      </is>
    </nc>
    <odxf/>
    <ndxf/>
  </rcc>
  <rfmt sheetId="1" sqref="A491:XFD491" start="0" length="0">
    <dxf/>
  </rfmt>
  <rcc rId="6090" sId="1" odxf="1" dxf="1">
    <nc r="A492" t="inlineStr">
      <is>
        <t>Zone 3</t>
      </is>
    </nc>
    <odxf/>
    <ndxf/>
  </rcc>
  <rcc rId="6091" sId="1" odxf="1" dxf="1">
    <nc r="B492" t="inlineStr">
      <is>
        <t>Lopro QC Mac 4</t>
      </is>
    </nc>
    <odxf/>
    <ndxf/>
  </rcc>
  <rcc rId="6092" sId="1" odxf="1" dxf="1">
    <nc r="C492">
      <v>4</v>
    </nc>
    <odxf/>
    <ndxf/>
  </rcc>
  <rcc rId="6093" sId="1" odxf="1" dxf="1">
    <nc r="D492" t="inlineStr">
      <is>
        <t>20-033</t>
      </is>
    </nc>
    <odxf/>
    <ndxf/>
  </rcc>
  <rcc rId="6094" sId="1" odxf="1" dxf="1">
    <nc r="E492" t="inlineStr">
      <is>
        <t>W1028628/1</t>
      </is>
    </nc>
    <odxf/>
    <ndxf/>
  </rcc>
  <rcc rId="6095" sId="1" odxf="1" dxf="1">
    <nc r="F492" t="inlineStr">
      <is>
        <t>VER1/0270-1148</t>
      </is>
    </nc>
    <odxf/>
    <ndxf/>
  </rcc>
  <rcc rId="6096" sId="1" odxf="1" dxf="1">
    <nc r="G492" t="inlineStr">
      <is>
        <t>QC ECO ,MAC S4, NS, GS SPECTRUM BOX-10</t>
      </is>
    </nc>
    <odxf/>
    <ndxf/>
  </rcc>
  <rcc rId="6097" sId="1" odxf="1" dxf="1">
    <nc r="H492">
      <v>138.47999999999999</v>
    </nc>
    <odxf/>
    <ndxf/>
  </rcc>
  <rcc rId="6098" sId="1" odxf="1" dxf="1">
    <nc r="I492">
      <v>34.619999999999997</v>
    </nc>
    <odxf/>
    <ndxf/>
  </rcc>
  <rcc rId="6099" sId="1" odxf="1" dxf="1">
    <nc r="J492">
      <v>450</v>
    </nc>
    <odxf/>
    <ndxf/>
  </rcc>
  <rcc rId="6100" sId="1" odxf="1" dxf="1">
    <nc r="K492">
      <v>0</v>
    </nc>
    <odxf/>
    <ndxf/>
  </rcc>
  <rcc rId="6101" sId="1" odxf="1" dxf="1" numFmtId="19">
    <nc r="L492">
      <v>46230.986111111109</v>
    </nc>
    <odxf/>
    <ndxf/>
  </rcc>
  <rcc rId="6102" sId="1" odxf="1" dxf="1" numFmtId="19">
    <nc r="M492">
      <v>46232.444444444445</v>
    </nc>
    <odxf/>
    <ndxf/>
  </rcc>
  <rfmt sheetId="1" sqref="N492" start="0" length="0">
    <dxf/>
  </rfmt>
  <rfmt sheetId="1" sqref="O492" start="0" length="0">
    <dxf/>
  </rfmt>
  <rfmt sheetId="1" sqref="P492" start="0" length="0">
    <dxf/>
  </rfmt>
  <rfmt sheetId="1" sqref="Q492" start="0" length="0">
    <dxf/>
  </rfmt>
  <rfmt sheetId="1" sqref="R492" start="0" length="0">
    <dxf/>
  </rfmt>
  <rfmt sheetId="1" sqref="S492" start="0" length="0">
    <dxf/>
  </rfmt>
  <rfmt sheetId="1" sqref="T492" start="0" length="0">
    <dxf/>
  </rfmt>
  <rfmt sheetId="1" sqref="U492" start="0" length="0">
    <dxf/>
  </rfmt>
  <rfmt sheetId="1" sqref="V492" start="0" length="0">
    <dxf/>
  </rfmt>
  <rfmt sheetId="1" sqref="W492" start="0" length="0">
    <dxf/>
  </rfmt>
  <rfmt sheetId="1" sqref="X492" start="0" length="0">
    <dxf/>
  </rfmt>
  <rfmt sheetId="1" sqref="Y492" start="0" length="0">
    <dxf/>
  </rfmt>
  <rfmt sheetId="1" sqref="Z492" start="0" length="0">
    <dxf/>
  </rfmt>
  <rcc rId="6103" sId="1" odxf="1" dxf="1">
    <nc r="AA492" t="inlineStr">
      <is>
        <t>1</t>
      </is>
    </nc>
    <odxf/>
    <ndxf/>
  </rcc>
  <rcc rId="6104" sId="1" odxf="1" dxf="1">
    <nc r="AB492" t="inlineStr">
      <is>
        <t>0</t>
      </is>
    </nc>
    <odxf/>
    <ndxf/>
  </rcc>
  <rfmt sheetId="1" sqref="A492:XFD492" start="0" length="0">
    <dxf/>
  </rfmt>
  <rfmt sheetId="1" sqref="A493" start="0" length="0">
    <dxf>
      <fill>
        <patternFill patternType="solid">
          <bgColor theme="0" tint="-4.9989318521683403E-2"/>
        </patternFill>
      </fill>
    </dxf>
  </rfmt>
  <rfmt sheetId="1" sqref="B493" start="0" length="0">
    <dxf>
      <fill>
        <patternFill patternType="solid">
          <bgColor theme="0" tint="-4.9989318521683403E-2"/>
        </patternFill>
      </fill>
    </dxf>
  </rfmt>
  <rfmt sheetId="1" sqref="C493" start="0" length="0">
    <dxf>
      <fill>
        <patternFill patternType="solid">
          <bgColor theme="0" tint="-4.9989318521683403E-2"/>
        </patternFill>
      </fill>
    </dxf>
  </rfmt>
  <rfmt sheetId="1" sqref="D493" start="0" length="0">
    <dxf>
      <fill>
        <patternFill patternType="solid">
          <bgColor theme="0" tint="-4.9989318521683403E-2"/>
        </patternFill>
      </fill>
    </dxf>
  </rfmt>
  <rfmt sheetId="1" sqref="E493" start="0" length="0">
    <dxf>
      <fill>
        <patternFill patternType="solid">
          <bgColor theme="0" tint="-4.9989318521683403E-2"/>
        </patternFill>
      </fill>
    </dxf>
  </rfmt>
  <rfmt sheetId="1" sqref="F493" start="0" length="0">
    <dxf>
      <fill>
        <patternFill patternType="solid">
          <bgColor theme="0" tint="-4.9989318521683403E-2"/>
        </patternFill>
      </fill>
    </dxf>
  </rfmt>
  <rfmt sheetId="1" sqref="G493" start="0" length="0">
    <dxf>
      <fill>
        <patternFill patternType="solid">
          <bgColor theme="0" tint="-4.9989318521683403E-2"/>
        </patternFill>
      </fill>
    </dxf>
  </rfmt>
  <rfmt sheetId="1" sqref="H493" start="0" length="0">
    <dxf>
      <fill>
        <patternFill patternType="solid">
          <bgColor theme="0" tint="-4.9989318521683403E-2"/>
        </patternFill>
      </fill>
    </dxf>
  </rfmt>
  <rfmt sheetId="1" sqref="I493" start="0" length="0">
    <dxf>
      <fill>
        <patternFill patternType="solid">
          <bgColor theme="0" tint="-4.9989318521683403E-2"/>
        </patternFill>
      </fill>
    </dxf>
  </rfmt>
  <rfmt sheetId="1" sqref="J493" start="0" length="0">
    <dxf>
      <fill>
        <patternFill patternType="solid">
          <bgColor theme="0" tint="-4.9989318521683403E-2"/>
        </patternFill>
      </fill>
    </dxf>
  </rfmt>
  <rfmt sheetId="1" sqref="K493" start="0" length="0">
    <dxf>
      <fill>
        <patternFill patternType="solid">
          <bgColor theme="0" tint="-4.9989318521683403E-2"/>
        </patternFill>
      </fill>
    </dxf>
  </rfmt>
  <rfmt sheetId="1" sqref="L493" start="0" length="0">
    <dxf>
      <fill>
        <patternFill patternType="solid">
          <bgColor theme="0" tint="-4.9989318521683403E-2"/>
        </patternFill>
      </fill>
    </dxf>
  </rfmt>
  <rfmt sheetId="1" sqref="M493" start="0" length="0">
    <dxf>
      <fill>
        <patternFill patternType="solid">
          <bgColor theme="0" tint="-4.9989318521683403E-2"/>
        </patternFill>
      </fill>
    </dxf>
  </rfmt>
  <rfmt sheetId="1" sqref="N493" start="0" length="0">
    <dxf>
      <fill>
        <patternFill patternType="solid">
          <bgColor theme="0" tint="-4.9989318521683403E-2"/>
        </patternFill>
      </fill>
    </dxf>
  </rfmt>
  <rfmt sheetId="1" sqref="O493" start="0" length="0">
    <dxf>
      <fill>
        <patternFill patternType="solid">
          <bgColor theme="0" tint="-4.9989318521683403E-2"/>
        </patternFill>
      </fill>
    </dxf>
  </rfmt>
  <rfmt sheetId="1" sqref="P493" start="0" length="0">
    <dxf>
      <fill>
        <patternFill patternType="solid">
          <bgColor theme="0" tint="-4.9989318521683403E-2"/>
        </patternFill>
      </fill>
    </dxf>
  </rfmt>
  <rfmt sheetId="1" sqref="Q493" start="0" length="0">
    <dxf>
      <fill>
        <patternFill patternType="solid">
          <bgColor theme="0" tint="-4.9989318521683403E-2"/>
        </patternFill>
      </fill>
    </dxf>
  </rfmt>
  <rfmt sheetId="1" sqref="R493" start="0" length="0">
    <dxf>
      <fill>
        <patternFill patternType="solid">
          <bgColor theme="0" tint="-4.9989318521683403E-2"/>
        </patternFill>
      </fill>
    </dxf>
  </rfmt>
  <rfmt sheetId="1" sqref="S493" start="0" length="0">
    <dxf>
      <fill>
        <patternFill patternType="solid">
          <bgColor theme="0" tint="-4.9989318521683403E-2"/>
        </patternFill>
      </fill>
    </dxf>
  </rfmt>
  <rfmt sheetId="1" sqref="T493" start="0" length="0">
    <dxf>
      <fill>
        <patternFill patternType="solid">
          <bgColor theme="0" tint="-4.9989318521683403E-2"/>
        </patternFill>
      </fill>
    </dxf>
  </rfmt>
  <rfmt sheetId="1" sqref="U493" start="0" length="0">
    <dxf>
      <fill>
        <patternFill patternType="solid">
          <bgColor theme="0" tint="-4.9989318521683403E-2"/>
        </patternFill>
      </fill>
    </dxf>
  </rfmt>
  <rfmt sheetId="1" sqref="V493" start="0" length="0">
    <dxf>
      <fill>
        <patternFill patternType="solid">
          <bgColor theme="0" tint="-4.9989318521683403E-2"/>
        </patternFill>
      </fill>
    </dxf>
  </rfmt>
  <rfmt sheetId="1" sqref="W493" start="0" length="0">
    <dxf>
      <fill>
        <patternFill patternType="solid">
          <bgColor theme="0" tint="-4.9989318521683403E-2"/>
        </patternFill>
      </fill>
    </dxf>
  </rfmt>
  <rfmt sheetId="1" sqref="X493" start="0" length="0">
    <dxf>
      <fill>
        <patternFill patternType="solid">
          <bgColor theme="0" tint="-4.9989318521683403E-2"/>
        </patternFill>
      </fill>
    </dxf>
  </rfmt>
  <rfmt sheetId="1" sqref="Y493" start="0" length="0">
    <dxf>
      <fill>
        <patternFill patternType="solid">
          <bgColor theme="0" tint="-4.9989318521683403E-2"/>
        </patternFill>
      </fill>
    </dxf>
  </rfmt>
  <rfmt sheetId="1" sqref="Z493" start="0" length="0">
    <dxf>
      <fill>
        <patternFill patternType="solid">
          <bgColor theme="0" tint="-4.9989318521683403E-2"/>
        </patternFill>
      </fill>
    </dxf>
  </rfmt>
  <rfmt sheetId="1" sqref="AA493" start="0" length="0">
    <dxf>
      <fill>
        <patternFill patternType="solid">
          <bgColor theme="0" tint="-4.9989318521683403E-2"/>
        </patternFill>
      </fill>
    </dxf>
  </rfmt>
  <rfmt sheetId="1" sqref="AB493" start="0" length="0">
    <dxf>
      <fill>
        <patternFill patternType="solid">
          <bgColor theme="0" tint="-4.9989318521683403E-2"/>
        </patternFill>
      </fill>
    </dxf>
  </rfmt>
  <rfmt sheetId="1" sqref="A493:XFD493" start="0" length="0">
    <dxf>
      <fill>
        <patternFill patternType="solid">
          <bgColor theme="0" tint="-4.9989318521683403E-2"/>
        </patternFill>
      </fill>
    </dxf>
  </rfmt>
  <rcc rId="6105" sId="1" odxf="1" dxf="1">
    <nc r="A494" t="inlineStr">
      <is>
        <t>Zone 3</t>
      </is>
    </nc>
    <odxf/>
    <ndxf/>
  </rcc>
  <rcc rId="6106" sId="1" odxf="1" dxf="1">
    <nc r="B494" t="inlineStr">
      <is>
        <t>Lopro QC Mac 4</t>
      </is>
    </nc>
    <odxf/>
    <ndxf/>
  </rcc>
  <rcc rId="6107" sId="1" odxf="1" dxf="1">
    <nc r="C494">
      <v>4</v>
    </nc>
    <odxf/>
    <ndxf/>
  </rcc>
  <rcc rId="6108" sId="1" odxf="1" dxf="1">
    <nc r="D494" t="inlineStr">
      <is>
        <t>20-033</t>
      </is>
    </nc>
    <odxf/>
    <ndxf/>
  </rcc>
  <rcc rId="6109" sId="1" odxf="1" dxf="1">
    <nc r="E494" t="inlineStr">
      <is>
        <t>W1027577/1</t>
      </is>
    </nc>
    <odxf/>
    <ndxf/>
  </rcc>
  <rcc rId="6110" sId="1" odxf="1" dxf="1">
    <nc r="F494" t="inlineStr">
      <is>
        <t>VER1/0270-1086</t>
      </is>
    </nc>
    <odxf/>
    <ndxf/>
  </rcc>
  <rcc rId="6111" sId="1" odxf="1" dxf="1">
    <nc r="G494" t="inlineStr">
      <is>
        <t>Spectrum QC MAC S4</t>
      </is>
    </nc>
    <odxf/>
    <ndxf/>
  </rcc>
  <rcc rId="6112" sId="1" odxf="1" dxf="1">
    <nc r="H494">
      <v>138.47999999999999</v>
    </nc>
    <odxf/>
    <ndxf/>
  </rcc>
  <rcc rId="6113" sId="1" odxf="1" dxf="1">
    <nc r="I494">
      <v>34.619999999999997</v>
    </nc>
    <odxf/>
    <ndxf/>
  </rcc>
  <rcc rId="6114" sId="1" odxf="1" dxf="1">
    <nc r="J494">
      <v>450</v>
    </nc>
    <odxf/>
    <ndxf/>
  </rcc>
  <rcc rId="6115" sId="1" odxf="1" dxf="1">
    <nc r="K494">
      <v>0</v>
    </nc>
    <odxf/>
    <ndxf/>
  </rcc>
  <rcc rId="6116" sId="1" odxf="1" dxf="1" numFmtId="19">
    <nc r="L494">
      <v>46212.243055555555</v>
    </nc>
    <odxf/>
    <ndxf/>
  </rcc>
  <rcc rId="6117" sId="1" odxf="1" dxf="1" numFmtId="19">
    <nc r="M494">
      <v>46215.993055555555</v>
    </nc>
    <odxf/>
    <ndxf/>
  </rcc>
  <rfmt sheetId="1" sqref="N494" start="0" length="0">
    <dxf/>
  </rfmt>
  <rfmt sheetId="1" sqref="O494" start="0" length="0">
    <dxf/>
  </rfmt>
  <rfmt sheetId="1" sqref="P494" start="0" length="0">
    <dxf/>
  </rfmt>
  <rfmt sheetId="1" sqref="Q494" start="0" length="0">
    <dxf/>
  </rfmt>
  <rfmt sheetId="1" sqref="R494" start="0" length="0">
    <dxf/>
  </rfmt>
  <rfmt sheetId="1" sqref="S494" start="0" length="0">
    <dxf/>
  </rfmt>
  <rfmt sheetId="1" sqref="T494" start="0" length="0">
    <dxf/>
  </rfmt>
  <rfmt sheetId="1" sqref="U494" start="0" length="0">
    <dxf/>
  </rfmt>
  <rfmt sheetId="1" sqref="V494" start="0" length="0">
    <dxf/>
  </rfmt>
  <rfmt sheetId="1" sqref="W494" start="0" length="0">
    <dxf/>
  </rfmt>
  <rfmt sheetId="1" sqref="X494" start="0" length="0">
    <dxf/>
  </rfmt>
  <rfmt sheetId="1" sqref="Y494" start="0" length="0">
    <dxf/>
  </rfmt>
  <rfmt sheetId="1" sqref="Z494" start="0" length="0">
    <dxf/>
  </rfmt>
  <rcc rId="6118" sId="1" odxf="1" dxf="1">
    <nc r="AA494" t="inlineStr">
      <is>
        <t>1</t>
      </is>
    </nc>
    <odxf/>
    <ndxf/>
  </rcc>
  <rcc rId="6119" sId="1" odxf="1" dxf="1">
    <nc r="AB494" t="inlineStr">
      <is>
        <t>0</t>
      </is>
    </nc>
    <odxf/>
    <ndxf/>
  </rcc>
  <rfmt sheetId="1" sqref="A494:XFD494" start="0" length="0">
    <dxf/>
  </rfmt>
  <rcc rId="6120" sId="1" odxf="1" dxf="1">
    <nc r="A495" t="inlineStr">
      <is>
        <t>Zone 3</t>
      </is>
    </nc>
    <odxf/>
    <ndxf/>
  </rcc>
  <rcc rId="6121" sId="1" odxf="1" dxf="1">
    <nc r="B495" t="inlineStr">
      <is>
        <t>Lopro QC Mac 4</t>
      </is>
    </nc>
    <odxf/>
    <ndxf/>
  </rcc>
  <rcc rId="6122" sId="1" odxf="1" dxf="1">
    <nc r="C495">
      <v>4</v>
    </nc>
    <odxf/>
    <ndxf/>
  </rcc>
  <rcc rId="6123" sId="1" odxf="1" dxf="1">
    <nc r="D495" t="inlineStr">
      <is>
        <t>20-033</t>
      </is>
    </nc>
    <odxf/>
    <ndxf/>
  </rcc>
  <rcc rId="6124" sId="1" odxf="1" dxf="1">
    <nc r="E495" t="inlineStr">
      <is>
        <t>W1028578/1</t>
      </is>
    </nc>
    <odxf/>
    <ndxf/>
  </rcc>
  <rcc rId="6125" sId="1" odxf="1" dxf="1">
    <nc r="F495" t="inlineStr">
      <is>
        <t>VER1/0270-1086</t>
      </is>
    </nc>
    <odxf/>
    <ndxf/>
  </rcc>
  <rcc rId="6126" sId="1" odxf="1" dxf="1">
    <nc r="G495" t="inlineStr">
      <is>
        <t>Spectrum QC MAC S4</t>
      </is>
    </nc>
    <odxf/>
    <ndxf/>
  </rcc>
  <rcc rId="6127" sId="1" odxf="1" dxf="1">
    <nc r="H495">
      <v>92.32</v>
    </nc>
    <odxf/>
    <ndxf/>
  </rcc>
  <rcc rId="6128" sId="1" odxf="1" dxf="1">
    <nc r="I495">
      <v>23.08</v>
    </nc>
    <odxf/>
    <ndxf/>
  </rcc>
  <rcc rId="6129" sId="1" odxf="1" dxf="1">
    <nc r="J495">
      <v>300</v>
    </nc>
    <odxf/>
    <ndxf/>
  </rcc>
  <rcc rId="6130" sId="1" odxf="1" dxf="1">
    <nc r="K495">
      <v>0</v>
    </nc>
    <odxf/>
    <ndxf/>
  </rcc>
  <rcc rId="6131" sId="1" odxf="1" dxf="1" numFmtId="19">
    <nc r="L495">
      <v>46237.958333333336</v>
    </nc>
    <odxf/>
    <ndxf/>
  </rcc>
  <rcc rId="6132" sId="1" odxf="1" dxf="1" numFmtId="19">
    <nc r="M495">
      <v>46238.9375</v>
    </nc>
    <odxf/>
    <ndxf/>
  </rcc>
  <rfmt sheetId="1" sqref="N495" start="0" length="0">
    <dxf/>
  </rfmt>
  <rfmt sheetId="1" sqref="O495" start="0" length="0">
    <dxf/>
  </rfmt>
  <rfmt sheetId="1" sqref="P495" start="0" length="0">
    <dxf/>
  </rfmt>
  <rfmt sheetId="1" sqref="Q495" start="0" length="0">
    <dxf/>
  </rfmt>
  <rfmt sheetId="1" sqref="R495" start="0" length="0">
    <dxf/>
  </rfmt>
  <rfmt sheetId="1" sqref="S495" start="0" length="0">
    <dxf/>
  </rfmt>
  <rfmt sheetId="1" sqref="T495" start="0" length="0">
    <dxf/>
  </rfmt>
  <rfmt sheetId="1" sqref="U495" start="0" length="0">
    <dxf/>
  </rfmt>
  <rfmt sheetId="1" sqref="V495" start="0" length="0">
    <dxf/>
  </rfmt>
  <rfmt sheetId="1" sqref="W495" start="0" length="0">
    <dxf/>
  </rfmt>
  <rfmt sheetId="1" sqref="X495" start="0" length="0">
    <dxf/>
  </rfmt>
  <rfmt sheetId="1" sqref="Y495" start="0" length="0">
    <dxf/>
  </rfmt>
  <rfmt sheetId="1" sqref="Z495" start="0" length="0">
    <dxf/>
  </rfmt>
  <rcc rId="6133" sId="1" odxf="1" dxf="1">
    <nc r="AA495" t="inlineStr">
      <is>
        <t>1</t>
      </is>
    </nc>
    <odxf/>
    <ndxf/>
  </rcc>
  <rcc rId="6134" sId="1" odxf="1" dxf="1">
    <nc r="AB495" t="inlineStr">
      <is>
        <t>0</t>
      </is>
    </nc>
    <odxf/>
    <ndxf/>
  </rcc>
  <rfmt sheetId="1" sqref="A495:XFD495" start="0" length="0">
    <dxf/>
  </rfmt>
  <rfmt sheetId="1" sqref="A496" start="0" length="0">
    <dxf>
      <fill>
        <patternFill patternType="solid">
          <bgColor theme="0" tint="-4.9989318521683403E-2"/>
        </patternFill>
      </fill>
    </dxf>
  </rfmt>
  <rfmt sheetId="1" sqref="B496" start="0" length="0">
    <dxf>
      <fill>
        <patternFill patternType="solid">
          <bgColor theme="0" tint="-4.9989318521683403E-2"/>
        </patternFill>
      </fill>
    </dxf>
  </rfmt>
  <rfmt sheetId="1" sqref="C496" start="0" length="0">
    <dxf>
      <fill>
        <patternFill patternType="solid">
          <bgColor theme="0" tint="-4.9989318521683403E-2"/>
        </patternFill>
      </fill>
    </dxf>
  </rfmt>
  <rfmt sheetId="1" sqref="D496" start="0" length="0">
    <dxf>
      <fill>
        <patternFill patternType="solid">
          <bgColor theme="0" tint="-4.9989318521683403E-2"/>
        </patternFill>
      </fill>
    </dxf>
  </rfmt>
  <rfmt sheetId="1" sqref="E496" start="0" length="0">
    <dxf>
      <fill>
        <patternFill patternType="solid">
          <bgColor theme="0" tint="-4.9989318521683403E-2"/>
        </patternFill>
      </fill>
    </dxf>
  </rfmt>
  <rfmt sheetId="1" sqref="F496" start="0" length="0">
    <dxf>
      <fill>
        <patternFill patternType="solid">
          <bgColor theme="0" tint="-4.9989318521683403E-2"/>
        </patternFill>
      </fill>
    </dxf>
  </rfmt>
  <rfmt sheetId="1" sqref="G496" start="0" length="0">
    <dxf>
      <fill>
        <patternFill patternType="solid">
          <bgColor theme="0" tint="-4.9989318521683403E-2"/>
        </patternFill>
      </fill>
    </dxf>
  </rfmt>
  <rfmt sheetId="1" sqref="H496" start="0" length="0">
    <dxf>
      <fill>
        <patternFill patternType="solid">
          <bgColor theme="0" tint="-4.9989318521683403E-2"/>
        </patternFill>
      </fill>
    </dxf>
  </rfmt>
  <rfmt sheetId="1" sqref="I496" start="0" length="0">
    <dxf>
      <fill>
        <patternFill patternType="solid">
          <bgColor theme="0" tint="-4.9989318521683403E-2"/>
        </patternFill>
      </fill>
    </dxf>
  </rfmt>
  <rfmt sheetId="1" sqref="J496" start="0" length="0">
    <dxf>
      <fill>
        <patternFill patternType="solid">
          <bgColor theme="0" tint="-4.9989318521683403E-2"/>
        </patternFill>
      </fill>
    </dxf>
  </rfmt>
  <rfmt sheetId="1" sqref="K496" start="0" length="0">
    <dxf>
      <fill>
        <patternFill patternType="solid">
          <bgColor theme="0" tint="-4.9989318521683403E-2"/>
        </patternFill>
      </fill>
    </dxf>
  </rfmt>
  <rfmt sheetId="1" sqref="L496" start="0" length="0">
    <dxf>
      <fill>
        <patternFill patternType="solid">
          <bgColor theme="0" tint="-4.9989318521683403E-2"/>
        </patternFill>
      </fill>
    </dxf>
  </rfmt>
  <rfmt sheetId="1" sqref="M496" start="0" length="0">
    <dxf>
      <fill>
        <patternFill patternType="solid">
          <bgColor theme="0" tint="-4.9989318521683403E-2"/>
        </patternFill>
      </fill>
    </dxf>
  </rfmt>
  <rfmt sheetId="1" sqref="N496" start="0" length="0">
    <dxf>
      <fill>
        <patternFill patternType="solid">
          <bgColor theme="0" tint="-4.9989318521683403E-2"/>
        </patternFill>
      </fill>
    </dxf>
  </rfmt>
  <rfmt sheetId="1" sqref="O496" start="0" length="0">
    <dxf>
      <fill>
        <patternFill patternType="solid">
          <bgColor theme="0" tint="-4.9989318521683403E-2"/>
        </patternFill>
      </fill>
    </dxf>
  </rfmt>
  <rfmt sheetId="1" sqref="P496" start="0" length="0">
    <dxf>
      <fill>
        <patternFill patternType="solid">
          <bgColor theme="0" tint="-4.9989318521683403E-2"/>
        </patternFill>
      </fill>
    </dxf>
  </rfmt>
  <rfmt sheetId="1" sqref="Q496" start="0" length="0">
    <dxf>
      <fill>
        <patternFill patternType="solid">
          <bgColor theme="0" tint="-4.9989318521683403E-2"/>
        </patternFill>
      </fill>
    </dxf>
  </rfmt>
  <rfmt sheetId="1" sqref="R496" start="0" length="0">
    <dxf>
      <fill>
        <patternFill patternType="solid">
          <bgColor theme="0" tint="-4.9989318521683403E-2"/>
        </patternFill>
      </fill>
    </dxf>
  </rfmt>
  <rfmt sheetId="1" sqref="S496" start="0" length="0">
    <dxf>
      <fill>
        <patternFill patternType="solid">
          <bgColor theme="0" tint="-4.9989318521683403E-2"/>
        </patternFill>
      </fill>
    </dxf>
  </rfmt>
  <rfmt sheetId="1" sqref="T496" start="0" length="0">
    <dxf>
      <fill>
        <patternFill patternType="solid">
          <bgColor theme="0" tint="-4.9989318521683403E-2"/>
        </patternFill>
      </fill>
    </dxf>
  </rfmt>
  <rfmt sheetId="1" sqref="U496" start="0" length="0">
    <dxf>
      <fill>
        <patternFill patternType="solid">
          <bgColor theme="0" tint="-4.9989318521683403E-2"/>
        </patternFill>
      </fill>
    </dxf>
  </rfmt>
  <rfmt sheetId="1" sqref="V496" start="0" length="0">
    <dxf>
      <fill>
        <patternFill patternType="solid">
          <bgColor theme="0" tint="-4.9989318521683403E-2"/>
        </patternFill>
      </fill>
    </dxf>
  </rfmt>
  <rfmt sheetId="1" sqref="W496" start="0" length="0">
    <dxf>
      <fill>
        <patternFill patternType="solid">
          <bgColor theme="0" tint="-4.9989318521683403E-2"/>
        </patternFill>
      </fill>
    </dxf>
  </rfmt>
  <rfmt sheetId="1" sqref="X496" start="0" length="0">
    <dxf>
      <fill>
        <patternFill patternType="solid">
          <bgColor theme="0" tint="-4.9989318521683403E-2"/>
        </patternFill>
      </fill>
    </dxf>
  </rfmt>
  <rfmt sheetId="1" sqref="Y496" start="0" length="0">
    <dxf>
      <fill>
        <patternFill patternType="solid">
          <bgColor theme="0" tint="-4.9989318521683403E-2"/>
        </patternFill>
      </fill>
    </dxf>
  </rfmt>
  <rfmt sheetId="1" sqref="Z496" start="0" length="0">
    <dxf>
      <fill>
        <patternFill patternType="solid">
          <bgColor theme="0" tint="-4.9989318521683403E-2"/>
        </patternFill>
      </fill>
    </dxf>
  </rfmt>
  <rfmt sheetId="1" sqref="AA496" start="0" length="0">
    <dxf>
      <fill>
        <patternFill patternType="solid">
          <bgColor theme="0" tint="-4.9989318521683403E-2"/>
        </patternFill>
      </fill>
    </dxf>
  </rfmt>
  <rfmt sheetId="1" sqref="AB496" start="0" length="0">
    <dxf>
      <fill>
        <patternFill patternType="solid">
          <bgColor theme="0" tint="-4.9989318521683403E-2"/>
        </patternFill>
      </fill>
    </dxf>
  </rfmt>
  <rfmt sheetId="1" sqref="A496:XFD496" start="0" length="0">
    <dxf>
      <fill>
        <patternFill patternType="solid">
          <bgColor theme="0" tint="-4.9989318521683403E-2"/>
        </patternFill>
      </fill>
    </dxf>
  </rfmt>
  <rcc rId="6135" sId="1" odxf="1" dxf="1">
    <nc r="A497" t="inlineStr">
      <is>
        <t>Zone 3</t>
      </is>
    </nc>
    <odxf/>
    <ndxf/>
  </rcc>
  <rcc rId="6136" sId="1" odxf="1" dxf="1">
    <nc r="B497" t="inlineStr">
      <is>
        <t>Lopro QC Mac 4</t>
      </is>
    </nc>
    <odxf/>
    <ndxf/>
  </rcc>
  <rcc rId="6137" sId="1" odxf="1" dxf="1">
    <nc r="C497">
      <v>4</v>
    </nc>
    <odxf/>
    <ndxf/>
  </rcc>
  <rcc rId="6138" sId="1" odxf="1" dxf="1">
    <nc r="D497" t="inlineStr">
      <is>
        <t>20-033</t>
      </is>
    </nc>
    <odxf/>
    <ndxf/>
  </rcc>
  <rcc rId="6139" sId="1" odxf="1" dxf="1">
    <nc r="E497" t="inlineStr">
      <is>
        <t>W1029223/1</t>
      </is>
    </nc>
    <odxf/>
    <ndxf/>
  </rcc>
  <rcc rId="6140" sId="1" odxf="1" dxf="1">
    <nc r="F497" t="inlineStr">
      <is>
        <t>VER1/0270-1086</t>
      </is>
    </nc>
    <odxf/>
    <ndxf/>
  </rcc>
  <rcc rId="6141" sId="1" odxf="1" dxf="1">
    <nc r="G497" t="inlineStr">
      <is>
        <t>Spectrum QC MAC S4</t>
      </is>
    </nc>
    <odxf/>
    <ndxf/>
  </rcc>
  <rcc rId="6142" sId="1" odxf="1" dxf="1">
    <nc r="H497">
      <v>138.47999999999999</v>
    </nc>
    <odxf/>
    <ndxf/>
  </rcc>
  <rcc rId="6143" sId="1" odxf="1" dxf="1">
    <nc r="I497">
      <v>34.619999999999997</v>
    </nc>
    <odxf/>
    <ndxf/>
  </rcc>
  <rcc rId="6144" sId="1" odxf="1" dxf="1">
    <nc r="J497">
      <v>450</v>
    </nc>
    <odxf/>
    <ndxf/>
  </rcc>
  <rcc rId="6145" sId="1" odxf="1" dxf="1">
    <nc r="K497">
      <v>0</v>
    </nc>
    <odxf/>
    <ndxf/>
  </rcc>
  <rcc rId="6146" sId="1" odxf="1" dxf="1" numFmtId="19">
    <nc r="L497">
      <v>46244</v>
    </nc>
    <odxf/>
    <ndxf/>
  </rcc>
  <rcc rId="6147" sId="1" odxf="1" dxf="1" numFmtId="19">
    <nc r="M497">
      <v>46245.458333333336</v>
    </nc>
    <odxf/>
    <ndxf/>
  </rcc>
  <rfmt sheetId="1" sqref="N497" start="0" length="0">
    <dxf/>
  </rfmt>
  <rfmt sheetId="1" sqref="O497" start="0" length="0">
    <dxf/>
  </rfmt>
  <rfmt sheetId="1" sqref="P497" start="0" length="0">
    <dxf/>
  </rfmt>
  <rfmt sheetId="1" sqref="Q497" start="0" length="0">
    <dxf/>
  </rfmt>
  <rfmt sheetId="1" sqref="R497" start="0" length="0">
    <dxf/>
  </rfmt>
  <rfmt sheetId="1" sqref="S497" start="0" length="0">
    <dxf/>
  </rfmt>
  <rfmt sheetId="1" sqref="T497" start="0" length="0">
    <dxf/>
  </rfmt>
  <rfmt sheetId="1" sqref="U497" start="0" length="0">
    <dxf/>
  </rfmt>
  <rfmt sheetId="1" sqref="V497" start="0" length="0">
    <dxf/>
  </rfmt>
  <rfmt sheetId="1" sqref="W497" start="0" length="0">
    <dxf/>
  </rfmt>
  <rfmt sheetId="1" sqref="X497" start="0" length="0">
    <dxf/>
  </rfmt>
  <rfmt sheetId="1" sqref="Y497" start="0" length="0">
    <dxf/>
  </rfmt>
  <rfmt sheetId="1" sqref="Z497" start="0" length="0">
    <dxf/>
  </rfmt>
  <rcc rId="6148" sId="1" odxf="1" dxf="1">
    <nc r="AA497" t="inlineStr">
      <is>
        <t>1</t>
      </is>
    </nc>
    <odxf/>
    <ndxf/>
  </rcc>
  <rcc rId="6149" sId="1" odxf="1" dxf="1">
    <nc r="AB497" t="inlineStr">
      <is>
        <t>0</t>
      </is>
    </nc>
    <odxf/>
    <ndxf/>
  </rcc>
  <rfmt sheetId="1" sqref="A497:XFD497" start="0" length="0">
    <dxf/>
  </rfmt>
  <rcc rId="6150" sId="1" odxf="1" dxf="1">
    <nc r="A498" t="inlineStr">
      <is>
        <t>Zone 3</t>
      </is>
    </nc>
    <odxf/>
    <ndxf/>
  </rcc>
  <rcc rId="6151" sId="1" odxf="1" dxf="1">
    <nc r="B498" t="inlineStr">
      <is>
        <t>Lopro QC Mac 4</t>
      </is>
    </nc>
    <odxf/>
    <ndxf/>
  </rcc>
  <rcc rId="6152" sId="1" odxf="1" dxf="1">
    <nc r="C498">
      <v>4</v>
    </nc>
    <odxf/>
    <ndxf/>
  </rcc>
  <rcc rId="6153" sId="1" odxf="1" dxf="1">
    <nc r="D498" t="inlineStr">
      <is>
        <t>20-033</t>
      </is>
    </nc>
    <odxf/>
    <ndxf/>
  </rcc>
  <rcc rId="6154" sId="1" odxf="1" dxf="1">
    <nc r="E498" t="inlineStr">
      <is>
        <t>W1030163/1</t>
      </is>
    </nc>
    <odxf/>
    <ndxf/>
  </rcc>
  <rcc rId="6155" sId="1" odxf="1" dxf="1">
    <nc r="F498" t="inlineStr">
      <is>
        <t>VER1/0270-1086</t>
      </is>
    </nc>
    <odxf/>
    <ndxf/>
  </rcc>
  <rcc rId="6156" sId="1" odxf="1" dxf="1">
    <nc r="G498" t="inlineStr">
      <is>
        <t>Spectrum QC MAC S4</t>
      </is>
    </nc>
    <odxf/>
    <ndxf/>
  </rcc>
  <rcc rId="6157" sId="1" odxf="1" dxf="1">
    <nc r="H498">
      <v>92.32</v>
    </nc>
    <odxf/>
    <ndxf/>
  </rcc>
  <rcc rId="6158" sId="1" odxf="1" dxf="1">
    <nc r="I498">
      <v>23.08</v>
    </nc>
    <odxf/>
    <ndxf/>
  </rcc>
  <rcc rId="6159" sId="1" odxf="1" dxf="1">
    <nc r="J498">
      <v>300</v>
    </nc>
    <odxf/>
    <ndxf/>
  </rcc>
  <rcc rId="6160" sId="1" odxf="1" dxf="1">
    <nc r="K498">
      <v>0</v>
    </nc>
    <odxf/>
    <ndxf/>
  </rcc>
  <rcc rId="6161" sId="1" odxf="1" dxf="1" numFmtId="19">
    <nc r="L498">
      <v>46245.465277777781</v>
    </nc>
    <odxf/>
    <ndxf/>
  </rcc>
  <rcc rId="6162" sId="1" odxf="1" dxf="1" numFmtId="19">
    <nc r="M498">
      <v>46246.444444444445</v>
    </nc>
    <odxf/>
    <ndxf/>
  </rcc>
  <rfmt sheetId="1" sqref="N498" start="0" length="0">
    <dxf/>
  </rfmt>
  <rfmt sheetId="1" sqref="O498" start="0" length="0">
    <dxf/>
  </rfmt>
  <rfmt sheetId="1" sqref="P498" start="0" length="0">
    <dxf/>
  </rfmt>
  <rfmt sheetId="1" sqref="Q498" start="0" length="0">
    <dxf/>
  </rfmt>
  <rfmt sheetId="1" sqref="R498" start="0" length="0">
    <dxf/>
  </rfmt>
  <rfmt sheetId="1" sqref="S498" start="0" length="0">
    <dxf/>
  </rfmt>
  <rfmt sheetId="1" sqref="T498" start="0" length="0">
    <dxf/>
  </rfmt>
  <rfmt sheetId="1" sqref="U498" start="0" length="0">
    <dxf/>
  </rfmt>
  <rfmt sheetId="1" sqref="V498" start="0" length="0">
    <dxf/>
  </rfmt>
  <rfmt sheetId="1" sqref="W498" start="0" length="0">
    <dxf/>
  </rfmt>
  <rfmt sheetId="1" sqref="X498" start="0" length="0">
    <dxf/>
  </rfmt>
  <rfmt sheetId="1" sqref="Y498" start="0" length="0">
    <dxf/>
  </rfmt>
  <rfmt sheetId="1" sqref="Z498" start="0" length="0">
    <dxf/>
  </rfmt>
  <rcc rId="6163" sId="1" odxf="1" dxf="1">
    <nc r="AA498" t="inlineStr">
      <is>
        <t>1</t>
      </is>
    </nc>
    <odxf/>
    <ndxf/>
  </rcc>
  <rcc rId="6164" sId="1" odxf="1" dxf="1">
    <nc r="AB498" t="inlineStr">
      <is>
        <t>0</t>
      </is>
    </nc>
    <odxf/>
    <ndxf/>
  </rcc>
  <rfmt sheetId="1" sqref="A498:XFD498" start="0" length="0">
    <dxf/>
  </rfmt>
  <rfmt sheetId="1" sqref="A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B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C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D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E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F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G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H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I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J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K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L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M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N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O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P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Q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R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S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T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U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V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W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X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Y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Z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AA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AB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fmt sheetId="1" sqref="A499:XFD499" start="0" length="0">
    <dxf>
      <fill>
        <patternFill patternType="solid">
          <bgColor theme="0" tint="-4.9989318521683403E-2"/>
        </patternFill>
      </fill>
      <border outline="0">
        <bottom style="medium">
          <color indexed="64"/>
        </bottom>
      </border>
    </dxf>
  </rfmt>
  <rcc rId="6165" sId="1" odxf="1" dxf="1">
    <nc r="A500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166" sId="1" odxf="1" dxf="1">
    <nc r="B500" t="inlineStr">
      <is>
        <t>Lopro QC Mix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167" sId="1" odxf="1" dxf="1">
    <nc r="C500">
      <v>4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D500" start="0" length="0">
    <dxf>
      <fill>
        <patternFill patternType="solid">
          <bgColor theme="8" tint="0.39997558519241921"/>
        </patternFill>
      </fill>
    </dxf>
  </rfmt>
  <rcc rId="6168" sId="1" odxf="1" dxf="1">
    <nc r="E500" t="inlineStr">
      <is>
        <t>W1030106/1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169" sId="1" odxf="1" dxf="1">
    <nc r="F500" t="inlineStr">
      <is>
        <t>VER1/0270-1143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170" sId="1" odxf="1" dxf="1">
    <nc r="G500" t="inlineStr">
      <is>
        <t>QC ECO ,HA S2, NS, GS SPECTRUM BOX-10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171" sId="1" odxf="1" dxf="1">
    <nc r="H500">
      <v>50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172" sId="1" odxf="1" dxf="1">
    <nc r="I500">
      <v>12.5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173" sId="1" odxf="1" dxf="1">
    <nc r="J500">
      <v>150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174" sId="1" odxf="1" dxf="1">
    <nc r="K500">
      <v>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175" sId="1" odxf="1" dxf="1" numFmtId="19">
    <nc r="L500">
      <v>46209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176" sId="1" odxf="1" dxf="1" numFmtId="19">
    <nc r="M500">
      <v>46209.534722222219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N500" start="0" length="0">
    <dxf>
      <fill>
        <patternFill patternType="solid">
          <bgColor theme="8" tint="0.39997558519241921"/>
        </patternFill>
      </fill>
    </dxf>
  </rfmt>
  <rcc rId="6177" sId="1" odxf="1" dxf="1">
    <nc r="O500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P500" start="0" length="0">
    <dxf>
      <fill>
        <patternFill patternType="solid">
          <bgColor theme="8" tint="0.39997558519241921"/>
        </patternFill>
      </fill>
    </dxf>
  </rfmt>
  <rfmt sheetId="1" sqref="Q500" start="0" length="0">
    <dxf>
      <fill>
        <patternFill patternType="solid">
          <bgColor theme="8" tint="0.39997558519241921"/>
        </patternFill>
      </fill>
    </dxf>
  </rfmt>
  <rfmt sheetId="1" sqref="R500" start="0" length="0">
    <dxf>
      <fill>
        <patternFill patternType="solid">
          <bgColor theme="8" tint="0.39997558519241921"/>
        </patternFill>
      </fill>
    </dxf>
  </rfmt>
  <rfmt sheetId="1" sqref="S500" start="0" length="0">
    <dxf>
      <fill>
        <patternFill patternType="solid">
          <bgColor theme="8" tint="0.39997558519241921"/>
        </patternFill>
      </fill>
    </dxf>
  </rfmt>
  <rfmt sheetId="1" sqref="T500" start="0" length="0">
    <dxf>
      <fill>
        <patternFill patternType="solid">
          <bgColor theme="8" tint="0.39997558519241921"/>
        </patternFill>
      </fill>
    </dxf>
  </rfmt>
  <rfmt sheetId="1" sqref="U500" start="0" length="0">
    <dxf>
      <fill>
        <patternFill patternType="solid">
          <bgColor theme="8" tint="0.39997558519241921"/>
        </patternFill>
      </fill>
    </dxf>
  </rfmt>
  <rfmt sheetId="1" sqref="V500" start="0" length="0">
    <dxf>
      <fill>
        <patternFill patternType="solid">
          <bgColor theme="8" tint="0.39997558519241921"/>
        </patternFill>
      </fill>
    </dxf>
  </rfmt>
  <rfmt sheetId="1" sqref="W500" start="0" length="0">
    <dxf>
      <fill>
        <patternFill patternType="solid">
          <bgColor theme="8" tint="0.39997558519241921"/>
        </patternFill>
      </fill>
    </dxf>
  </rfmt>
  <rfmt sheetId="1" sqref="X500" start="0" length="0">
    <dxf>
      <fill>
        <patternFill patternType="solid">
          <bgColor theme="8" tint="0.39997558519241921"/>
        </patternFill>
      </fill>
    </dxf>
  </rfmt>
  <rfmt sheetId="1" sqref="Y500" start="0" length="0">
    <dxf>
      <fill>
        <patternFill patternType="solid">
          <bgColor theme="8" tint="0.39997558519241921"/>
        </patternFill>
      </fill>
    </dxf>
  </rfmt>
  <rfmt sheetId="1" sqref="Z500" start="0" length="0">
    <dxf>
      <fill>
        <patternFill patternType="solid">
          <bgColor theme="8" tint="0.39997558519241921"/>
        </patternFill>
      </fill>
    </dxf>
  </rfmt>
  <rcc rId="6178" sId="1" odxf="1" dxf="1">
    <nc r="AA500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179" sId="1" odxf="1" dxf="1">
    <nc r="AB500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A500:XFD500" start="0" length="0">
    <dxf>
      <fill>
        <patternFill patternType="solid">
          <bgColor theme="8" tint="0.39997558519241921"/>
        </patternFill>
      </fill>
    </dxf>
  </rfmt>
  <rcc rId="6180" sId="1" odxf="1" dxf="1">
    <nc r="A501" t="inlineStr">
      <is>
        <t>Zone 3</t>
      </is>
    </nc>
    <odxf/>
    <ndxf/>
  </rcc>
  <rcc rId="6181" sId="1" odxf="1" dxf="1">
    <nc r="B501" t="inlineStr">
      <is>
        <t>Lopro QC Mix</t>
      </is>
    </nc>
    <odxf/>
    <ndxf/>
  </rcc>
  <rcc rId="6182" sId="1" odxf="1" dxf="1">
    <nc r="C501">
      <v>4</v>
    </nc>
    <odxf/>
    <ndxf/>
  </rcc>
  <rfmt sheetId="1" sqref="D501" start="0" length="0">
    <dxf/>
  </rfmt>
  <rcc rId="6183" sId="1" odxf="1" dxf="1">
    <nc r="E501" t="inlineStr">
      <is>
        <t>W1022240/1</t>
      </is>
    </nc>
    <odxf/>
    <ndxf/>
  </rcc>
  <rcc rId="6184" sId="1" odxf="1" dxf="1">
    <nc r="F501" t="inlineStr">
      <is>
        <t>VER1/0270-1143</t>
      </is>
    </nc>
    <odxf/>
    <ndxf/>
  </rcc>
  <rcc rId="6185" sId="1" odxf="1" dxf="1">
    <nc r="G501" t="inlineStr">
      <is>
        <t>QC ECO ,HA S2, NS, GS SPECTRUM BOX-10</t>
      </is>
    </nc>
    <odxf/>
    <ndxf/>
  </rcc>
  <rcc rId="6186" sId="1" odxf="1" dxf="1">
    <nc r="H501">
      <v>100</v>
    </nc>
    <odxf/>
    <ndxf/>
  </rcc>
  <rcc rId="6187" sId="1" odxf="1" dxf="1">
    <nc r="I501">
      <v>25</v>
    </nc>
    <odxf/>
    <ndxf/>
  </rcc>
  <rcc rId="6188" sId="1" odxf="1" dxf="1">
    <nc r="J501">
      <v>300</v>
    </nc>
    <odxf/>
    <ndxf/>
  </rcc>
  <rcc rId="6189" sId="1" odxf="1" dxf="1">
    <nc r="K501">
      <v>0</v>
    </nc>
    <odxf/>
    <ndxf/>
  </rcc>
  <rcc rId="6190" sId="1" odxf="1" dxf="1" numFmtId="19">
    <nc r="L501">
      <v>46209.541666666664</v>
    </nc>
    <odxf/>
    <ndxf/>
  </rcc>
  <rcc rId="6191" sId="1" odxf="1" dxf="1" numFmtId="19">
    <nc r="M501">
      <v>46210.597222222219</v>
    </nc>
    <odxf/>
    <ndxf/>
  </rcc>
  <rfmt sheetId="1" sqref="N501" start="0" length="0">
    <dxf/>
  </rfmt>
  <rfmt sheetId="1" sqref="O501" start="0" length="0">
    <dxf/>
  </rfmt>
  <rfmt sheetId="1" sqref="P501" start="0" length="0">
    <dxf/>
  </rfmt>
  <rfmt sheetId="1" sqref="Q501" start="0" length="0">
    <dxf/>
  </rfmt>
  <rfmt sheetId="1" sqref="R501" start="0" length="0">
    <dxf/>
  </rfmt>
  <rfmt sheetId="1" sqref="S501" start="0" length="0">
    <dxf/>
  </rfmt>
  <rfmt sheetId="1" sqref="T501" start="0" length="0">
    <dxf/>
  </rfmt>
  <rfmt sheetId="1" sqref="U501" start="0" length="0">
    <dxf/>
  </rfmt>
  <rfmt sheetId="1" sqref="V501" start="0" length="0">
    <dxf/>
  </rfmt>
  <rfmt sheetId="1" sqref="W501" start="0" length="0">
    <dxf/>
  </rfmt>
  <rfmt sheetId="1" sqref="X501" start="0" length="0">
    <dxf/>
  </rfmt>
  <rfmt sheetId="1" sqref="Y501" start="0" length="0">
    <dxf/>
  </rfmt>
  <rfmt sheetId="1" sqref="Z501" start="0" length="0">
    <dxf/>
  </rfmt>
  <rcc rId="6192" sId="1" odxf="1" dxf="1">
    <nc r="AA501" t="inlineStr">
      <is>
        <t>1</t>
      </is>
    </nc>
    <odxf/>
    <ndxf/>
  </rcc>
  <rcc rId="6193" sId="1" odxf="1" dxf="1">
    <nc r="AB501" t="inlineStr">
      <is>
        <t>0</t>
      </is>
    </nc>
    <odxf/>
    <ndxf/>
  </rcc>
  <rfmt sheetId="1" sqref="A501:XFD501" start="0" length="0">
    <dxf/>
  </rfmt>
  <rcc rId="6194" sId="1" odxf="1" dxf="1">
    <nc r="A502" t="inlineStr">
      <is>
        <t>Zone 3</t>
      </is>
    </nc>
    <odxf/>
    <ndxf/>
  </rcc>
  <rcc rId="6195" sId="1" odxf="1" dxf="1">
    <nc r="B502" t="inlineStr">
      <is>
        <t>Lopro QC Mix</t>
      </is>
    </nc>
    <odxf/>
    <ndxf/>
  </rcc>
  <rcc rId="6196" sId="1" odxf="1" dxf="1">
    <nc r="C502">
      <v>4</v>
    </nc>
    <odxf/>
    <ndxf/>
  </rcc>
  <rcc rId="6197" sId="1" odxf="1" dxf="1">
    <nc r="D502" t="inlineStr">
      <is>
        <t>20-030</t>
      </is>
    </nc>
    <odxf/>
    <ndxf/>
  </rcc>
  <rcc rId="6198" sId="1" odxf="1" dxf="1">
    <nc r="E502" t="inlineStr">
      <is>
        <t>W1028038/1</t>
      </is>
    </nc>
    <odxf/>
    <ndxf/>
  </rcc>
  <rcc rId="6199" sId="1" odxf="1" dxf="1">
    <nc r="F502" t="inlineStr">
      <is>
        <t>VER1/0270-1087</t>
      </is>
    </nc>
    <odxf/>
    <ndxf/>
  </rcc>
  <rcc rId="6200" sId="1" odxf="1" dxf="1">
    <nc r="G502" t="inlineStr">
      <is>
        <t>Spectrum QC Miller S0</t>
      </is>
    </nc>
    <odxf/>
    <ndxf/>
  </rcc>
  <rcc rId="6201" sId="1" odxf="1" dxf="1">
    <nc r="H502">
      <v>150</v>
    </nc>
    <odxf/>
    <ndxf/>
  </rcc>
  <rcc rId="6202" sId="1" odxf="1" dxf="1">
    <nc r="I502">
      <v>37.5</v>
    </nc>
    <odxf/>
    <ndxf/>
  </rcc>
  <rcc rId="6203" sId="1" odxf="1" dxf="1">
    <nc r="J502">
      <v>450</v>
    </nc>
    <odxf/>
    <ndxf/>
  </rcc>
  <rcc rId="6204" sId="1" odxf="1" dxf="1">
    <nc r="K502">
      <v>0</v>
    </nc>
    <odxf/>
    <ndxf/>
  </rcc>
  <rcc rId="6205" sId="1" odxf="1" dxf="1" numFmtId="19">
    <nc r="L502">
      <v>46210.604166666664</v>
    </nc>
    <odxf/>
    <ndxf/>
  </rcc>
  <rcc rId="6206" sId="1" odxf="1" dxf="1" numFmtId="19">
    <nc r="M502">
      <v>46212.180555555555</v>
    </nc>
    <odxf/>
    <ndxf/>
  </rcc>
  <rfmt sheetId="1" sqref="N502" start="0" length="0">
    <dxf/>
  </rfmt>
  <rfmt sheetId="1" sqref="O502" start="0" length="0">
    <dxf/>
  </rfmt>
  <rfmt sheetId="1" sqref="P502" start="0" length="0">
    <dxf/>
  </rfmt>
  <rfmt sheetId="1" sqref="Q502" start="0" length="0">
    <dxf/>
  </rfmt>
  <rfmt sheetId="1" sqref="R502" start="0" length="0">
    <dxf/>
  </rfmt>
  <rfmt sheetId="1" sqref="S502" start="0" length="0">
    <dxf/>
  </rfmt>
  <rfmt sheetId="1" sqref="T502" start="0" length="0">
    <dxf/>
  </rfmt>
  <rfmt sheetId="1" sqref="U502" start="0" length="0">
    <dxf/>
  </rfmt>
  <rfmt sheetId="1" sqref="V502" start="0" length="0">
    <dxf/>
  </rfmt>
  <rfmt sheetId="1" sqref="W502" start="0" length="0">
    <dxf/>
  </rfmt>
  <rfmt sheetId="1" sqref="X502" start="0" length="0">
    <dxf/>
  </rfmt>
  <rfmt sheetId="1" sqref="Y502" start="0" length="0">
    <dxf/>
  </rfmt>
  <rfmt sheetId="1" sqref="Z502" start="0" length="0">
    <dxf/>
  </rfmt>
  <rcc rId="6207" sId="1" odxf="1" dxf="1">
    <nc r="AA502" t="inlineStr">
      <is>
        <t>1</t>
      </is>
    </nc>
    <odxf/>
    <ndxf/>
  </rcc>
  <rcc rId="6208" sId="1" odxf="1" dxf="1">
    <nc r="AB502" t="inlineStr">
      <is>
        <t>0</t>
      </is>
    </nc>
    <odxf/>
    <ndxf/>
  </rcc>
  <rfmt sheetId="1" sqref="A502:XFD502" start="0" length="0">
    <dxf/>
  </rfmt>
  <rfmt sheetId="1" sqref="A503" start="0" length="0">
    <dxf>
      <fill>
        <patternFill patternType="solid">
          <bgColor theme="0" tint="-4.9989318521683403E-2"/>
        </patternFill>
      </fill>
    </dxf>
  </rfmt>
  <rfmt sheetId="1" sqref="B503" start="0" length="0">
    <dxf>
      <fill>
        <patternFill patternType="solid">
          <bgColor theme="0" tint="-4.9989318521683403E-2"/>
        </patternFill>
      </fill>
    </dxf>
  </rfmt>
  <rfmt sheetId="1" sqref="C503" start="0" length="0">
    <dxf>
      <fill>
        <patternFill patternType="solid">
          <bgColor theme="0" tint="-4.9989318521683403E-2"/>
        </patternFill>
      </fill>
    </dxf>
  </rfmt>
  <rfmt sheetId="1" sqref="D503" start="0" length="0">
    <dxf>
      <fill>
        <patternFill patternType="solid">
          <bgColor theme="0" tint="-4.9989318521683403E-2"/>
        </patternFill>
      </fill>
    </dxf>
  </rfmt>
  <rfmt sheetId="1" sqref="E503" start="0" length="0">
    <dxf>
      <fill>
        <patternFill patternType="solid">
          <bgColor theme="0" tint="-4.9989318521683403E-2"/>
        </patternFill>
      </fill>
    </dxf>
  </rfmt>
  <rfmt sheetId="1" sqref="F503" start="0" length="0">
    <dxf>
      <fill>
        <patternFill patternType="solid">
          <bgColor theme="0" tint="-4.9989318521683403E-2"/>
        </patternFill>
      </fill>
    </dxf>
  </rfmt>
  <rfmt sheetId="1" sqref="G503" start="0" length="0">
    <dxf>
      <fill>
        <patternFill patternType="solid">
          <bgColor theme="0" tint="-4.9989318521683403E-2"/>
        </patternFill>
      </fill>
    </dxf>
  </rfmt>
  <rfmt sheetId="1" sqref="H503" start="0" length="0">
    <dxf>
      <fill>
        <patternFill patternType="solid">
          <bgColor theme="0" tint="-4.9989318521683403E-2"/>
        </patternFill>
      </fill>
    </dxf>
  </rfmt>
  <rfmt sheetId="1" sqref="I503" start="0" length="0">
    <dxf>
      <fill>
        <patternFill patternType="solid">
          <bgColor theme="0" tint="-4.9989318521683403E-2"/>
        </patternFill>
      </fill>
    </dxf>
  </rfmt>
  <rfmt sheetId="1" sqref="J503" start="0" length="0">
    <dxf>
      <fill>
        <patternFill patternType="solid">
          <bgColor theme="0" tint="-4.9989318521683403E-2"/>
        </patternFill>
      </fill>
    </dxf>
  </rfmt>
  <rfmt sheetId="1" sqref="K503" start="0" length="0">
    <dxf>
      <fill>
        <patternFill patternType="solid">
          <bgColor theme="0" tint="-4.9989318521683403E-2"/>
        </patternFill>
      </fill>
    </dxf>
  </rfmt>
  <rfmt sheetId="1" sqref="L503" start="0" length="0">
    <dxf>
      <fill>
        <patternFill patternType="solid">
          <bgColor theme="0" tint="-4.9989318521683403E-2"/>
        </patternFill>
      </fill>
    </dxf>
  </rfmt>
  <rfmt sheetId="1" sqref="M503" start="0" length="0">
    <dxf>
      <fill>
        <patternFill patternType="solid">
          <bgColor theme="0" tint="-4.9989318521683403E-2"/>
        </patternFill>
      </fill>
    </dxf>
  </rfmt>
  <rfmt sheetId="1" sqref="N503" start="0" length="0">
    <dxf>
      <fill>
        <patternFill patternType="solid">
          <bgColor theme="0" tint="-4.9989318521683403E-2"/>
        </patternFill>
      </fill>
    </dxf>
  </rfmt>
  <rfmt sheetId="1" sqref="O503" start="0" length="0">
    <dxf>
      <fill>
        <patternFill patternType="solid">
          <bgColor theme="0" tint="-4.9989318521683403E-2"/>
        </patternFill>
      </fill>
    </dxf>
  </rfmt>
  <rfmt sheetId="1" sqref="P503" start="0" length="0">
    <dxf>
      <fill>
        <patternFill patternType="solid">
          <bgColor theme="0" tint="-4.9989318521683403E-2"/>
        </patternFill>
      </fill>
    </dxf>
  </rfmt>
  <rfmt sheetId="1" sqref="Q503" start="0" length="0">
    <dxf>
      <fill>
        <patternFill patternType="solid">
          <bgColor theme="0" tint="-4.9989318521683403E-2"/>
        </patternFill>
      </fill>
    </dxf>
  </rfmt>
  <rfmt sheetId="1" sqref="R503" start="0" length="0">
    <dxf>
      <fill>
        <patternFill patternType="solid">
          <bgColor theme="0" tint="-4.9989318521683403E-2"/>
        </patternFill>
      </fill>
    </dxf>
  </rfmt>
  <rfmt sheetId="1" sqref="S503" start="0" length="0">
    <dxf>
      <fill>
        <patternFill patternType="solid">
          <bgColor theme="0" tint="-4.9989318521683403E-2"/>
        </patternFill>
      </fill>
    </dxf>
  </rfmt>
  <rfmt sheetId="1" sqref="T503" start="0" length="0">
    <dxf>
      <fill>
        <patternFill patternType="solid">
          <bgColor theme="0" tint="-4.9989318521683403E-2"/>
        </patternFill>
      </fill>
    </dxf>
  </rfmt>
  <rfmt sheetId="1" sqref="U503" start="0" length="0">
    <dxf>
      <fill>
        <patternFill patternType="solid">
          <bgColor theme="0" tint="-4.9989318521683403E-2"/>
        </patternFill>
      </fill>
    </dxf>
  </rfmt>
  <rfmt sheetId="1" sqref="V503" start="0" length="0">
    <dxf>
      <fill>
        <patternFill patternType="solid">
          <bgColor theme="0" tint="-4.9989318521683403E-2"/>
        </patternFill>
      </fill>
    </dxf>
  </rfmt>
  <rfmt sheetId="1" sqref="W503" start="0" length="0">
    <dxf>
      <fill>
        <patternFill patternType="solid">
          <bgColor theme="0" tint="-4.9989318521683403E-2"/>
        </patternFill>
      </fill>
    </dxf>
  </rfmt>
  <rfmt sheetId="1" sqref="X503" start="0" length="0">
    <dxf>
      <fill>
        <patternFill patternType="solid">
          <bgColor theme="0" tint="-4.9989318521683403E-2"/>
        </patternFill>
      </fill>
    </dxf>
  </rfmt>
  <rfmt sheetId="1" sqref="Y503" start="0" length="0">
    <dxf>
      <fill>
        <patternFill patternType="solid">
          <bgColor theme="0" tint="-4.9989318521683403E-2"/>
        </patternFill>
      </fill>
    </dxf>
  </rfmt>
  <rfmt sheetId="1" sqref="Z503" start="0" length="0">
    <dxf>
      <fill>
        <patternFill patternType="solid">
          <bgColor theme="0" tint="-4.9989318521683403E-2"/>
        </patternFill>
      </fill>
    </dxf>
  </rfmt>
  <rfmt sheetId="1" sqref="AA503" start="0" length="0">
    <dxf>
      <fill>
        <patternFill patternType="solid">
          <bgColor theme="0" tint="-4.9989318521683403E-2"/>
        </patternFill>
      </fill>
    </dxf>
  </rfmt>
  <rfmt sheetId="1" sqref="AB503" start="0" length="0">
    <dxf>
      <fill>
        <patternFill patternType="solid">
          <bgColor theme="0" tint="-4.9989318521683403E-2"/>
        </patternFill>
      </fill>
    </dxf>
  </rfmt>
  <rfmt sheetId="1" sqref="A503:XFD503" start="0" length="0">
    <dxf>
      <fill>
        <patternFill patternType="solid">
          <bgColor theme="0" tint="-4.9989318521683403E-2"/>
        </patternFill>
      </fill>
    </dxf>
  </rfmt>
  <rcc rId="6209" sId="1" odxf="1" dxf="1">
    <nc r="A504" t="inlineStr">
      <is>
        <t>Zone 3</t>
      </is>
    </nc>
    <odxf/>
    <ndxf/>
  </rcc>
  <rcc rId="6210" sId="1" odxf="1" dxf="1">
    <nc r="B504" t="inlineStr">
      <is>
        <t>Lopro QC Mix</t>
      </is>
    </nc>
    <odxf/>
    <ndxf/>
  </rcc>
  <rcc rId="6211" sId="1" odxf="1" dxf="1">
    <nc r="C504">
      <v>4</v>
    </nc>
    <odxf/>
    <ndxf/>
  </rcc>
  <rcc rId="6212" sId="1" odxf="1" dxf="1">
    <nc r="D504" t="inlineStr">
      <is>
        <t>20-026</t>
      </is>
    </nc>
    <odxf/>
    <ndxf/>
  </rcc>
  <rcc rId="6213" sId="1" odxf="1" dxf="1">
    <nc r="E504" t="inlineStr">
      <is>
        <t>W1026342/1</t>
      </is>
    </nc>
    <odxf/>
    <ndxf/>
  </rcc>
  <rcc rId="6214" sId="1" odxf="1" dxf="1">
    <nc r="F504" t="inlineStr">
      <is>
        <t>VER1/0270-1090</t>
      </is>
    </nc>
    <odxf/>
    <ndxf/>
  </rcc>
  <rcc rId="6215" sId="1" odxf="1" dxf="1">
    <nc r="G504" t="inlineStr">
      <is>
        <t>Spectrum QC HA S2</t>
      </is>
    </nc>
    <odxf/>
    <ndxf/>
  </rcc>
  <rcc rId="6216" sId="1" odxf="1" dxf="1">
    <nc r="H504">
      <v>100</v>
    </nc>
    <odxf/>
    <ndxf/>
  </rcc>
  <rcc rId="6217" sId="1" odxf="1" dxf="1">
    <nc r="I504">
      <v>25</v>
    </nc>
    <odxf/>
    <ndxf/>
  </rcc>
  <rcc rId="6218" sId="1" odxf="1" dxf="1">
    <nc r="J504">
      <v>300</v>
    </nc>
    <odxf/>
    <ndxf/>
  </rcc>
  <rcc rId="6219" sId="1" odxf="1" dxf="1">
    <nc r="K504">
      <v>0</v>
    </nc>
    <odxf/>
    <ndxf/>
  </rcc>
  <rcc rId="6220" sId="1" odxf="1" dxf="1" numFmtId="19">
    <nc r="L504">
      <v>46216</v>
    </nc>
    <odxf/>
    <ndxf/>
  </rcc>
  <rcc rId="6221" sId="1" odxf="1" dxf="1" numFmtId="19">
    <nc r="M504">
      <v>46217.055555555555</v>
    </nc>
    <odxf/>
    <ndxf/>
  </rcc>
  <rfmt sheetId="1" sqref="N504" start="0" length="0">
    <dxf/>
  </rfmt>
  <rfmt sheetId="1" sqref="O504" start="0" length="0">
    <dxf/>
  </rfmt>
  <rfmt sheetId="1" sqref="P504" start="0" length="0">
    <dxf/>
  </rfmt>
  <rfmt sheetId="1" sqref="Q504" start="0" length="0">
    <dxf/>
  </rfmt>
  <rfmt sheetId="1" sqref="R504" start="0" length="0">
    <dxf/>
  </rfmt>
  <rfmt sheetId="1" sqref="S504" start="0" length="0">
    <dxf/>
  </rfmt>
  <rfmt sheetId="1" sqref="T504" start="0" length="0">
    <dxf/>
  </rfmt>
  <rfmt sheetId="1" sqref="U504" start="0" length="0">
    <dxf/>
  </rfmt>
  <rfmt sheetId="1" sqref="V504" start="0" length="0">
    <dxf/>
  </rfmt>
  <rfmt sheetId="1" sqref="W504" start="0" length="0">
    <dxf/>
  </rfmt>
  <rfmt sheetId="1" sqref="X504" start="0" length="0">
    <dxf/>
  </rfmt>
  <rfmt sheetId="1" sqref="Y504" start="0" length="0">
    <dxf/>
  </rfmt>
  <rfmt sheetId="1" sqref="Z504" start="0" length="0">
    <dxf/>
  </rfmt>
  <rcc rId="6222" sId="1" odxf="1" dxf="1">
    <nc r="AA504" t="inlineStr">
      <is>
        <t>1</t>
      </is>
    </nc>
    <odxf/>
    <ndxf/>
  </rcc>
  <rcc rId="6223" sId="1" odxf="1" dxf="1">
    <nc r="AB504" t="inlineStr">
      <is>
        <t>0</t>
      </is>
    </nc>
    <odxf/>
    <ndxf/>
  </rcc>
  <rfmt sheetId="1" sqref="A504:XFD504" start="0" length="0">
    <dxf/>
  </rfmt>
  <rcc rId="6224" sId="1" odxf="1" dxf="1">
    <nc r="A505" t="inlineStr">
      <is>
        <t>Zone 3</t>
      </is>
    </nc>
    <odxf/>
    <ndxf/>
  </rcc>
  <rcc rId="6225" sId="1" odxf="1" dxf="1">
    <nc r="B505" t="inlineStr">
      <is>
        <t>Lopro QC Mix</t>
      </is>
    </nc>
    <odxf/>
    <ndxf/>
  </rcc>
  <rcc rId="6226" sId="1" odxf="1" dxf="1">
    <nc r="C505">
      <v>4</v>
    </nc>
    <odxf/>
    <ndxf/>
  </rcc>
  <rfmt sheetId="1" sqref="D505" start="0" length="0">
    <dxf/>
  </rfmt>
  <rcc rId="6227" sId="1" odxf="1" dxf="1">
    <nc r="E505" t="inlineStr">
      <is>
        <t>W1022241/1</t>
      </is>
    </nc>
    <odxf/>
    <ndxf/>
  </rcc>
  <rcc rId="6228" sId="1" odxf="1" dxf="1">
    <nc r="F505" t="inlineStr">
      <is>
        <t>VER1/0270-1144</t>
      </is>
    </nc>
    <odxf/>
    <ndxf/>
  </rcc>
  <rcc rId="6229" sId="1" odxf="1" dxf="1">
    <nc r="G505" t="inlineStr">
      <is>
        <t>QC ECO ,HA S2.5, NS, GS SPECTRUM BOX-10</t>
      </is>
    </nc>
    <odxf/>
    <ndxf/>
  </rcc>
  <rcc rId="6230" sId="1" odxf="1" dxf="1">
    <nc r="H505">
      <v>100</v>
    </nc>
    <odxf/>
    <ndxf/>
  </rcc>
  <rcc rId="6231" sId="1" odxf="1" dxf="1">
    <nc r="I505">
      <v>25</v>
    </nc>
    <odxf/>
    <ndxf/>
  </rcc>
  <rcc rId="6232" sId="1" odxf="1" dxf="1">
    <nc r="J505">
      <v>300</v>
    </nc>
    <odxf/>
    <ndxf/>
  </rcc>
  <rcc rId="6233" sId="1" odxf="1" dxf="1">
    <nc r="K505">
      <v>0</v>
    </nc>
    <odxf/>
    <ndxf/>
  </rcc>
  <rcc rId="6234" sId="1" odxf="1" dxf="1" numFmtId="19">
    <nc r="L505">
      <v>46217.0625</v>
    </nc>
    <odxf/>
    <ndxf/>
  </rcc>
  <rcc rId="6235" sId="1" odxf="1" dxf="1" numFmtId="19">
    <nc r="M505">
      <v>46218.118055555555</v>
    </nc>
    <odxf/>
    <ndxf/>
  </rcc>
  <rfmt sheetId="1" sqref="N505" start="0" length="0">
    <dxf/>
  </rfmt>
  <rfmt sheetId="1" sqref="O505" start="0" length="0">
    <dxf/>
  </rfmt>
  <rfmt sheetId="1" sqref="P505" start="0" length="0">
    <dxf/>
  </rfmt>
  <rfmt sheetId="1" sqref="Q505" start="0" length="0">
    <dxf/>
  </rfmt>
  <rfmt sheetId="1" sqref="R505" start="0" length="0">
    <dxf/>
  </rfmt>
  <rfmt sheetId="1" sqref="S505" start="0" length="0">
    <dxf/>
  </rfmt>
  <rfmt sheetId="1" sqref="T505" start="0" length="0">
    <dxf/>
  </rfmt>
  <rfmt sheetId="1" sqref="U505" start="0" length="0">
    <dxf/>
  </rfmt>
  <rfmt sheetId="1" sqref="V505" start="0" length="0">
    <dxf/>
  </rfmt>
  <rfmt sheetId="1" sqref="W505" start="0" length="0">
    <dxf/>
  </rfmt>
  <rfmt sheetId="1" sqref="X505" start="0" length="0">
    <dxf/>
  </rfmt>
  <rfmt sheetId="1" sqref="Y505" start="0" length="0">
    <dxf/>
  </rfmt>
  <rfmt sheetId="1" sqref="Z505" start="0" length="0">
    <dxf/>
  </rfmt>
  <rcc rId="6236" sId="1" odxf="1" dxf="1">
    <nc r="AA505" t="inlineStr">
      <is>
        <t>1</t>
      </is>
    </nc>
    <odxf/>
    <ndxf/>
  </rcc>
  <rcc rId="6237" sId="1" odxf="1" dxf="1">
    <nc r="AB505" t="inlineStr">
      <is>
        <t>0</t>
      </is>
    </nc>
    <odxf/>
    <ndxf/>
  </rcc>
  <rfmt sheetId="1" sqref="A505:XFD505" start="0" length="0">
    <dxf/>
  </rfmt>
  <rfmt sheetId="1" sqref="A506" start="0" length="0">
    <dxf>
      <fill>
        <patternFill patternType="solid">
          <bgColor theme="0" tint="-4.9989318521683403E-2"/>
        </patternFill>
      </fill>
    </dxf>
  </rfmt>
  <rfmt sheetId="1" sqref="B506" start="0" length="0">
    <dxf>
      <fill>
        <patternFill patternType="solid">
          <bgColor theme="0" tint="-4.9989318521683403E-2"/>
        </patternFill>
      </fill>
    </dxf>
  </rfmt>
  <rfmt sheetId="1" sqref="C506" start="0" length="0">
    <dxf>
      <fill>
        <patternFill patternType="solid">
          <bgColor theme="0" tint="-4.9989318521683403E-2"/>
        </patternFill>
      </fill>
    </dxf>
  </rfmt>
  <rfmt sheetId="1" sqref="D506" start="0" length="0">
    <dxf>
      <fill>
        <patternFill patternType="solid">
          <bgColor theme="0" tint="-4.9989318521683403E-2"/>
        </patternFill>
      </fill>
    </dxf>
  </rfmt>
  <rfmt sheetId="1" sqref="E506" start="0" length="0">
    <dxf>
      <fill>
        <patternFill patternType="solid">
          <bgColor theme="0" tint="-4.9989318521683403E-2"/>
        </patternFill>
      </fill>
    </dxf>
  </rfmt>
  <rfmt sheetId="1" sqref="F506" start="0" length="0">
    <dxf>
      <fill>
        <patternFill patternType="solid">
          <bgColor theme="0" tint="-4.9989318521683403E-2"/>
        </patternFill>
      </fill>
    </dxf>
  </rfmt>
  <rfmt sheetId="1" sqref="G506" start="0" length="0">
    <dxf>
      <fill>
        <patternFill patternType="solid">
          <bgColor theme="0" tint="-4.9989318521683403E-2"/>
        </patternFill>
      </fill>
    </dxf>
  </rfmt>
  <rfmt sheetId="1" sqref="H506" start="0" length="0">
    <dxf>
      <fill>
        <patternFill patternType="solid">
          <bgColor theme="0" tint="-4.9989318521683403E-2"/>
        </patternFill>
      </fill>
    </dxf>
  </rfmt>
  <rfmt sheetId="1" sqref="I506" start="0" length="0">
    <dxf>
      <fill>
        <patternFill patternType="solid">
          <bgColor theme="0" tint="-4.9989318521683403E-2"/>
        </patternFill>
      </fill>
    </dxf>
  </rfmt>
  <rfmt sheetId="1" sqref="J506" start="0" length="0">
    <dxf>
      <fill>
        <patternFill patternType="solid">
          <bgColor theme="0" tint="-4.9989318521683403E-2"/>
        </patternFill>
      </fill>
    </dxf>
  </rfmt>
  <rfmt sheetId="1" sqref="K506" start="0" length="0">
    <dxf>
      <fill>
        <patternFill patternType="solid">
          <bgColor theme="0" tint="-4.9989318521683403E-2"/>
        </patternFill>
      </fill>
    </dxf>
  </rfmt>
  <rfmt sheetId="1" sqref="L506" start="0" length="0">
    <dxf>
      <fill>
        <patternFill patternType="solid">
          <bgColor theme="0" tint="-4.9989318521683403E-2"/>
        </patternFill>
      </fill>
    </dxf>
  </rfmt>
  <rfmt sheetId="1" sqref="M506" start="0" length="0">
    <dxf>
      <fill>
        <patternFill patternType="solid">
          <bgColor theme="0" tint="-4.9989318521683403E-2"/>
        </patternFill>
      </fill>
    </dxf>
  </rfmt>
  <rfmt sheetId="1" sqref="N506" start="0" length="0">
    <dxf>
      <fill>
        <patternFill patternType="solid">
          <bgColor theme="0" tint="-4.9989318521683403E-2"/>
        </patternFill>
      </fill>
    </dxf>
  </rfmt>
  <rfmt sheetId="1" sqref="O506" start="0" length="0">
    <dxf>
      <fill>
        <patternFill patternType="solid">
          <bgColor theme="0" tint="-4.9989318521683403E-2"/>
        </patternFill>
      </fill>
    </dxf>
  </rfmt>
  <rfmt sheetId="1" sqref="P506" start="0" length="0">
    <dxf>
      <fill>
        <patternFill patternType="solid">
          <bgColor theme="0" tint="-4.9989318521683403E-2"/>
        </patternFill>
      </fill>
    </dxf>
  </rfmt>
  <rfmt sheetId="1" sqref="Q506" start="0" length="0">
    <dxf>
      <fill>
        <patternFill patternType="solid">
          <bgColor theme="0" tint="-4.9989318521683403E-2"/>
        </patternFill>
      </fill>
    </dxf>
  </rfmt>
  <rfmt sheetId="1" sqref="R506" start="0" length="0">
    <dxf>
      <fill>
        <patternFill patternType="solid">
          <bgColor theme="0" tint="-4.9989318521683403E-2"/>
        </patternFill>
      </fill>
    </dxf>
  </rfmt>
  <rfmt sheetId="1" sqref="S506" start="0" length="0">
    <dxf>
      <fill>
        <patternFill patternType="solid">
          <bgColor theme="0" tint="-4.9989318521683403E-2"/>
        </patternFill>
      </fill>
    </dxf>
  </rfmt>
  <rfmt sheetId="1" sqref="T506" start="0" length="0">
    <dxf>
      <fill>
        <patternFill patternType="solid">
          <bgColor theme="0" tint="-4.9989318521683403E-2"/>
        </patternFill>
      </fill>
    </dxf>
  </rfmt>
  <rfmt sheetId="1" sqref="U506" start="0" length="0">
    <dxf>
      <fill>
        <patternFill patternType="solid">
          <bgColor theme="0" tint="-4.9989318521683403E-2"/>
        </patternFill>
      </fill>
    </dxf>
  </rfmt>
  <rfmt sheetId="1" sqref="V506" start="0" length="0">
    <dxf>
      <fill>
        <patternFill patternType="solid">
          <bgColor theme="0" tint="-4.9989318521683403E-2"/>
        </patternFill>
      </fill>
    </dxf>
  </rfmt>
  <rfmt sheetId="1" sqref="W506" start="0" length="0">
    <dxf>
      <fill>
        <patternFill patternType="solid">
          <bgColor theme="0" tint="-4.9989318521683403E-2"/>
        </patternFill>
      </fill>
    </dxf>
  </rfmt>
  <rfmt sheetId="1" sqref="X506" start="0" length="0">
    <dxf>
      <fill>
        <patternFill patternType="solid">
          <bgColor theme="0" tint="-4.9989318521683403E-2"/>
        </patternFill>
      </fill>
    </dxf>
  </rfmt>
  <rfmt sheetId="1" sqref="Y506" start="0" length="0">
    <dxf>
      <fill>
        <patternFill patternType="solid">
          <bgColor theme="0" tint="-4.9989318521683403E-2"/>
        </patternFill>
      </fill>
    </dxf>
  </rfmt>
  <rfmt sheetId="1" sqref="Z506" start="0" length="0">
    <dxf>
      <fill>
        <patternFill patternType="solid">
          <bgColor theme="0" tint="-4.9989318521683403E-2"/>
        </patternFill>
      </fill>
    </dxf>
  </rfmt>
  <rfmt sheetId="1" sqref="AA506" start="0" length="0">
    <dxf>
      <fill>
        <patternFill patternType="solid">
          <bgColor theme="0" tint="-4.9989318521683403E-2"/>
        </patternFill>
      </fill>
    </dxf>
  </rfmt>
  <rfmt sheetId="1" sqref="AB506" start="0" length="0">
    <dxf>
      <fill>
        <patternFill patternType="solid">
          <bgColor theme="0" tint="-4.9989318521683403E-2"/>
        </patternFill>
      </fill>
    </dxf>
  </rfmt>
  <rfmt sheetId="1" sqref="A506:XFD506" start="0" length="0">
    <dxf>
      <fill>
        <patternFill patternType="solid">
          <bgColor theme="0" tint="-4.9989318521683403E-2"/>
        </patternFill>
      </fill>
    </dxf>
  </rfmt>
  <rcc rId="6238" sId="1" odxf="1" dxf="1">
    <nc r="A507" t="inlineStr">
      <is>
        <t>Zone 3</t>
      </is>
    </nc>
    <odxf/>
    <ndxf/>
  </rcc>
  <rcc rId="6239" sId="1" odxf="1" dxf="1">
    <nc r="B507" t="inlineStr">
      <is>
        <t>Lopro QC Mix</t>
      </is>
    </nc>
    <odxf/>
    <ndxf/>
  </rcc>
  <rcc rId="6240" sId="1" odxf="1" dxf="1">
    <nc r="C507">
      <v>4</v>
    </nc>
    <odxf/>
    <ndxf/>
  </rcc>
  <rfmt sheetId="1" sqref="D507" start="0" length="0">
    <dxf/>
  </rfmt>
  <rcc rId="6241" sId="1" odxf="1" dxf="1">
    <nc r="E507" t="inlineStr">
      <is>
        <t>W1027833/1</t>
      </is>
    </nc>
    <odxf/>
    <ndxf/>
  </rcc>
  <rcc rId="6242" sId="1" odxf="1" dxf="1">
    <nc r="F507" t="inlineStr">
      <is>
        <t>VER1/0270-1153</t>
      </is>
    </nc>
    <odxf/>
    <ndxf/>
  </rcc>
  <rcc rId="6243" sId="1" odxf="1" dxf="1">
    <nc r="G507" t="inlineStr">
      <is>
        <t>QCECO,MILLER S00,NS, GS SPECTRUM BOX-10</t>
      </is>
    </nc>
    <odxf/>
    <ndxf/>
  </rcc>
  <rcc rId="6244" sId="1" odxf="1" dxf="1">
    <nc r="H507">
      <v>100</v>
    </nc>
    <odxf/>
    <ndxf/>
  </rcc>
  <rcc rId="6245" sId="1" odxf="1" dxf="1">
    <nc r="I507">
      <v>25</v>
    </nc>
    <odxf/>
    <ndxf/>
  </rcc>
  <rcc rId="6246" sId="1" odxf="1" dxf="1">
    <nc r="J507">
      <v>300</v>
    </nc>
    <odxf/>
    <ndxf/>
  </rcc>
  <rcc rId="6247" sId="1" odxf="1" dxf="1">
    <nc r="K507">
      <v>0</v>
    </nc>
    <odxf/>
    <ndxf/>
  </rcc>
  <rcc rId="6248" sId="1" odxf="1" dxf="1" numFmtId="19">
    <nc r="L507">
      <v>46223</v>
    </nc>
    <odxf/>
    <ndxf/>
  </rcc>
  <rcc rId="6249" sId="1" odxf="1" dxf="1" numFmtId="19">
    <nc r="M507">
      <v>46224.055555555555</v>
    </nc>
    <odxf/>
    <ndxf/>
  </rcc>
  <rfmt sheetId="1" sqref="N507" start="0" length="0">
    <dxf/>
  </rfmt>
  <rfmt sheetId="1" sqref="O507" start="0" length="0">
    <dxf/>
  </rfmt>
  <rfmt sheetId="1" sqref="P507" start="0" length="0">
    <dxf/>
  </rfmt>
  <rfmt sheetId="1" sqref="Q507" start="0" length="0">
    <dxf/>
  </rfmt>
  <rfmt sheetId="1" sqref="R507" start="0" length="0">
    <dxf/>
  </rfmt>
  <rfmt sheetId="1" sqref="S507" start="0" length="0">
    <dxf/>
  </rfmt>
  <rfmt sheetId="1" sqref="T507" start="0" length="0">
    <dxf/>
  </rfmt>
  <rfmt sheetId="1" sqref="U507" start="0" length="0">
    <dxf/>
  </rfmt>
  <rfmt sheetId="1" sqref="V507" start="0" length="0">
    <dxf/>
  </rfmt>
  <rfmt sheetId="1" sqref="W507" start="0" length="0">
    <dxf/>
  </rfmt>
  <rfmt sheetId="1" sqref="X507" start="0" length="0">
    <dxf/>
  </rfmt>
  <rfmt sheetId="1" sqref="Y507" start="0" length="0">
    <dxf/>
  </rfmt>
  <rfmt sheetId="1" sqref="Z507" start="0" length="0">
    <dxf/>
  </rfmt>
  <rcc rId="6250" sId="1" odxf="1" dxf="1">
    <nc r="AA507" t="inlineStr">
      <is>
        <t>1</t>
      </is>
    </nc>
    <odxf/>
    <ndxf/>
  </rcc>
  <rcc rId="6251" sId="1" odxf="1" dxf="1">
    <nc r="AB507" t="inlineStr">
      <is>
        <t>0</t>
      </is>
    </nc>
    <odxf/>
    <ndxf/>
  </rcc>
  <rfmt sheetId="1" sqref="A507:XFD507" start="0" length="0">
    <dxf/>
  </rfmt>
  <rcc rId="6252" sId="1" odxf="1" dxf="1">
    <nc r="A508" t="inlineStr">
      <is>
        <t>Zone 3</t>
      </is>
    </nc>
    <odxf/>
    <ndxf/>
  </rcc>
  <rcc rId="6253" sId="1" odxf="1" dxf="1">
    <nc r="B508" t="inlineStr">
      <is>
        <t>Lopro QC Mix</t>
      </is>
    </nc>
    <odxf/>
    <ndxf/>
  </rcc>
  <rcc rId="6254" sId="1" odxf="1" dxf="1">
    <nc r="C508">
      <v>4</v>
    </nc>
    <odxf/>
    <ndxf/>
  </rcc>
  <rcc rId="6255" sId="1" odxf="1" dxf="1">
    <nc r="D508" t="inlineStr">
      <is>
        <t>20-031</t>
      </is>
    </nc>
    <odxf/>
    <ndxf/>
  </rcc>
  <rcc rId="6256" sId="1" odxf="1" dxf="1">
    <nc r="E508" t="inlineStr">
      <is>
        <t>W1028544/1</t>
      </is>
    </nc>
    <odxf/>
    <ndxf/>
  </rcc>
  <rcc rId="6257" sId="1" odxf="1" dxf="1">
    <nc r="F508" t="inlineStr">
      <is>
        <t>VER1/0270-1088</t>
      </is>
    </nc>
    <odxf/>
    <ndxf/>
  </rcc>
  <rcc rId="6258" sId="1" odxf="1" dxf="1">
    <nc r="G508" t="inlineStr">
      <is>
        <t>Spectrum QC Miller S1</t>
      </is>
    </nc>
    <odxf/>
    <ndxf/>
  </rcc>
  <rcc rId="6259" sId="1" odxf="1" dxf="1">
    <nc r="H508">
      <v>100</v>
    </nc>
    <odxf/>
    <ndxf/>
  </rcc>
  <rcc rId="6260" sId="1" odxf="1" dxf="1">
    <nc r="I508">
      <v>25</v>
    </nc>
    <odxf/>
    <ndxf/>
  </rcc>
  <rcc rId="6261" sId="1" odxf="1" dxf="1">
    <nc r="J508">
      <v>300</v>
    </nc>
    <odxf/>
    <ndxf/>
  </rcc>
  <rcc rId="6262" sId="1" odxf="1" dxf="1">
    <nc r="K508">
      <v>0</v>
    </nc>
    <odxf/>
    <ndxf/>
  </rcc>
  <rcc rId="6263" sId="1" odxf="1" dxf="1" numFmtId="19">
    <nc r="L508">
      <v>46224.0625</v>
    </nc>
    <odxf/>
    <ndxf/>
  </rcc>
  <rcc rId="6264" sId="1" odxf="1" dxf="1" numFmtId="19">
    <nc r="M508">
      <v>46225.118055555555</v>
    </nc>
    <odxf/>
    <ndxf/>
  </rcc>
  <rfmt sheetId="1" sqref="N508" start="0" length="0">
    <dxf/>
  </rfmt>
  <rfmt sheetId="1" sqref="O508" start="0" length="0">
    <dxf/>
  </rfmt>
  <rfmt sheetId="1" sqref="P508" start="0" length="0">
    <dxf/>
  </rfmt>
  <rfmt sheetId="1" sqref="Q508" start="0" length="0">
    <dxf/>
  </rfmt>
  <rfmt sheetId="1" sqref="R508" start="0" length="0">
    <dxf/>
  </rfmt>
  <rfmt sheetId="1" sqref="S508" start="0" length="0">
    <dxf/>
  </rfmt>
  <rfmt sheetId="1" sqref="T508" start="0" length="0">
    <dxf/>
  </rfmt>
  <rfmt sheetId="1" sqref="U508" start="0" length="0">
    <dxf/>
  </rfmt>
  <rfmt sheetId="1" sqref="V508" start="0" length="0">
    <dxf/>
  </rfmt>
  <rfmt sheetId="1" sqref="W508" start="0" length="0">
    <dxf/>
  </rfmt>
  <rfmt sheetId="1" sqref="X508" start="0" length="0">
    <dxf/>
  </rfmt>
  <rfmt sheetId="1" sqref="Y508" start="0" length="0">
    <dxf/>
  </rfmt>
  <rfmt sheetId="1" sqref="Z508" start="0" length="0">
    <dxf/>
  </rfmt>
  <rcc rId="6265" sId="1" odxf="1" dxf="1">
    <nc r="AA508" t="inlineStr">
      <is>
        <t>1</t>
      </is>
    </nc>
    <odxf/>
    <ndxf/>
  </rcc>
  <rcc rId="6266" sId="1" odxf="1" dxf="1">
    <nc r="AB508" t="inlineStr">
      <is>
        <t>0</t>
      </is>
    </nc>
    <odxf/>
    <ndxf/>
  </rcc>
  <rfmt sheetId="1" sqref="A508:XFD508" start="0" length="0">
    <dxf/>
  </rfmt>
  <rfmt sheetId="1" sqref="A509" start="0" length="0">
    <dxf>
      <fill>
        <patternFill patternType="solid">
          <bgColor theme="0" tint="-4.9989318521683403E-2"/>
        </patternFill>
      </fill>
    </dxf>
  </rfmt>
  <rfmt sheetId="1" sqref="B509" start="0" length="0">
    <dxf>
      <fill>
        <patternFill patternType="solid">
          <bgColor theme="0" tint="-4.9989318521683403E-2"/>
        </patternFill>
      </fill>
    </dxf>
  </rfmt>
  <rfmt sheetId="1" sqref="C509" start="0" length="0">
    <dxf>
      <fill>
        <patternFill patternType="solid">
          <bgColor theme="0" tint="-4.9989318521683403E-2"/>
        </patternFill>
      </fill>
    </dxf>
  </rfmt>
  <rfmt sheetId="1" sqref="D509" start="0" length="0">
    <dxf>
      <fill>
        <patternFill patternType="solid">
          <bgColor theme="0" tint="-4.9989318521683403E-2"/>
        </patternFill>
      </fill>
    </dxf>
  </rfmt>
  <rfmt sheetId="1" sqref="E509" start="0" length="0">
    <dxf>
      <fill>
        <patternFill patternType="solid">
          <bgColor theme="0" tint="-4.9989318521683403E-2"/>
        </patternFill>
      </fill>
    </dxf>
  </rfmt>
  <rfmt sheetId="1" sqref="F509" start="0" length="0">
    <dxf>
      <fill>
        <patternFill patternType="solid">
          <bgColor theme="0" tint="-4.9989318521683403E-2"/>
        </patternFill>
      </fill>
    </dxf>
  </rfmt>
  <rfmt sheetId="1" sqref="G509" start="0" length="0">
    <dxf>
      <fill>
        <patternFill patternType="solid">
          <bgColor theme="0" tint="-4.9989318521683403E-2"/>
        </patternFill>
      </fill>
    </dxf>
  </rfmt>
  <rfmt sheetId="1" sqref="H509" start="0" length="0">
    <dxf>
      <fill>
        <patternFill patternType="solid">
          <bgColor theme="0" tint="-4.9989318521683403E-2"/>
        </patternFill>
      </fill>
    </dxf>
  </rfmt>
  <rfmt sheetId="1" sqref="I509" start="0" length="0">
    <dxf>
      <fill>
        <patternFill patternType="solid">
          <bgColor theme="0" tint="-4.9989318521683403E-2"/>
        </patternFill>
      </fill>
    </dxf>
  </rfmt>
  <rfmt sheetId="1" sqref="J509" start="0" length="0">
    <dxf>
      <fill>
        <patternFill patternType="solid">
          <bgColor theme="0" tint="-4.9989318521683403E-2"/>
        </patternFill>
      </fill>
    </dxf>
  </rfmt>
  <rfmt sheetId="1" sqref="K509" start="0" length="0">
    <dxf>
      <fill>
        <patternFill patternType="solid">
          <bgColor theme="0" tint="-4.9989318521683403E-2"/>
        </patternFill>
      </fill>
    </dxf>
  </rfmt>
  <rfmt sheetId="1" sqref="L509" start="0" length="0">
    <dxf>
      <fill>
        <patternFill patternType="solid">
          <bgColor theme="0" tint="-4.9989318521683403E-2"/>
        </patternFill>
      </fill>
    </dxf>
  </rfmt>
  <rfmt sheetId="1" sqref="M509" start="0" length="0">
    <dxf>
      <fill>
        <patternFill patternType="solid">
          <bgColor theme="0" tint="-4.9989318521683403E-2"/>
        </patternFill>
      </fill>
    </dxf>
  </rfmt>
  <rfmt sheetId="1" sqref="N509" start="0" length="0">
    <dxf>
      <fill>
        <patternFill patternType="solid">
          <bgColor theme="0" tint="-4.9989318521683403E-2"/>
        </patternFill>
      </fill>
    </dxf>
  </rfmt>
  <rfmt sheetId="1" sqref="O509" start="0" length="0">
    <dxf>
      <fill>
        <patternFill patternType="solid">
          <bgColor theme="0" tint="-4.9989318521683403E-2"/>
        </patternFill>
      </fill>
    </dxf>
  </rfmt>
  <rfmt sheetId="1" sqref="P509" start="0" length="0">
    <dxf>
      <fill>
        <patternFill patternType="solid">
          <bgColor theme="0" tint="-4.9989318521683403E-2"/>
        </patternFill>
      </fill>
    </dxf>
  </rfmt>
  <rfmt sheetId="1" sqref="Q509" start="0" length="0">
    <dxf>
      <fill>
        <patternFill patternType="solid">
          <bgColor theme="0" tint="-4.9989318521683403E-2"/>
        </patternFill>
      </fill>
    </dxf>
  </rfmt>
  <rfmt sheetId="1" sqref="R509" start="0" length="0">
    <dxf>
      <fill>
        <patternFill patternType="solid">
          <bgColor theme="0" tint="-4.9989318521683403E-2"/>
        </patternFill>
      </fill>
    </dxf>
  </rfmt>
  <rfmt sheetId="1" sqref="S509" start="0" length="0">
    <dxf>
      <fill>
        <patternFill patternType="solid">
          <bgColor theme="0" tint="-4.9989318521683403E-2"/>
        </patternFill>
      </fill>
    </dxf>
  </rfmt>
  <rfmt sheetId="1" sqref="T509" start="0" length="0">
    <dxf>
      <fill>
        <patternFill patternType="solid">
          <bgColor theme="0" tint="-4.9989318521683403E-2"/>
        </patternFill>
      </fill>
    </dxf>
  </rfmt>
  <rfmt sheetId="1" sqref="U509" start="0" length="0">
    <dxf>
      <fill>
        <patternFill patternType="solid">
          <bgColor theme="0" tint="-4.9989318521683403E-2"/>
        </patternFill>
      </fill>
    </dxf>
  </rfmt>
  <rfmt sheetId="1" sqref="V509" start="0" length="0">
    <dxf>
      <fill>
        <patternFill patternType="solid">
          <bgColor theme="0" tint="-4.9989318521683403E-2"/>
        </patternFill>
      </fill>
    </dxf>
  </rfmt>
  <rfmt sheetId="1" sqref="W509" start="0" length="0">
    <dxf>
      <fill>
        <patternFill patternType="solid">
          <bgColor theme="0" tint="-4.9989318521683403E-2"/>
        </patternFill>
      </fill>
    </dxf>
  </rfmt>
  <rfmt sheetId="1" sqref="X509" start="0" length="0">
    <dxf>
      <fill>
        <patternFill patternType="solid">
          <bgColor theme="0" tint="-4.9989318521683403E-2"/>
        </patternFill>
      </fill>
    </dxf>
  </rfmt>
  <rfmt sheetId="1" sqref="Y509" start="0" length="0">
    <dxf>
      <fill>
        <patternFill patternType="solid">
          <bgColor theme="0" tint="-4.9989318521683403E-2"/>
        </patternFill>
      </fill>
    </dxf>
  </rfmt>
  <rfmt sheetId="1" sqref="Z509" start="0" length="0">
    <dxf>
      <fill>
        <patternFill patternType="solid">
          <bgColor theme="0" tint="-4.9989318521683403E-2"/>
        </patternFill>
      </fill>
    </dxf>
  </rfmt>
  <rfmt sheetId="1" sqref="AA509" start="0" length="0">
    <dxf>
      <fill>
        <patternFill patternType="solid">
          <bgColor theme="0" tint="-4.9989318521683403E-2"/>
        </patternFill>
      </fill>
    </dxf>
  </rfmt>
  <rfmt sheetId="1" sqref="AB509" start="0" length="0">
    <dxf>
      <fill>
        <patternFill patternType="solid">
          <bgColor theme="0" tint="-4.9989318521683403E-2"/>
        </patternFill>
      </fill>
    </dxf>
  </rfmt>
  <rfmt sheetId="1" sqref="A509:XFD509" start="0" length="0">
    <dxf>
      <fill>
        <patternFill patternType="solid">
          <bgColor theme="0" tint="-4.9989318521683403E-2"/>
        </patternFill>
      </fill>
    </dxf>
  </rfmt>
  <rcc rId="6267" sId="1" odxf="1" dxf="1">
    <nc r="A510" t="inlineStr">
      <is>
        <t>Zone 3</t>
      </is>
    </nc>
    <odxf/>
    <ndxf/>
  </rcc>
  <rcc rId="6268" sId="1" odxf="1" dxf="1">
    <nc r="B510" t="inlineStr">
      <is>
        <t>Lopro QC Mix</t>
      </is>
    </nc>
    <odxf/>
    <ndxf/>
  </rcc>
  <rcc rId="6269" sId="1" odxf="1" dxf="1">
    <nc r="C510">
      <v>4</v>
    </nc>
    <odxf/>
    <ndxf/>
  </rcc>
  <rfmt sheetId="1" sqref="D510" start="0" length="0">
    <dxf/>
  </rfmt>
  <rcc rId="6270" sId="1" odxf="1" dxf="1">
    <nc r="E510" t="inlineStr">
      <is>
        <t>W1024912/1</t>
      </is>
    </nc>
    <odxf/>
    <ndxf/>
  </rcc>
  <rcc rId="6271" sId="1" odxf="1" dxf="1">
    <nc r="F510" t="inlineStr">
      <is>
        <t>VER1/0270-1150</t>
      </is>
    </nc>
    <odxf/>
    <ndxf/>
  </rcc>
  <rcc rId="6272" sId="1" odxf="1" dxf="1">
    <nc r="G510" t="inlineStr">
      <is>
        <t>QC ECO ,MILLER S1, NS, GS SPECTRUM BOX-10</t>
      </is>
    </nc>
    <odxf/>
    <ndxf/>
  </rcc>
  <rcc rId="6273" sId="1" odxf="1" dxf="1">
    <nc r="H510">
      <v>100</v>
    </nc>
    <odxf/>
    <ndxf/>
  </rcc>
  <rcc rId="6274" sId="1" odxf="1" dxf="1">
    <nc r="I510">
      <v>25</v>
    </nc>
    <odxf/>
    <ndxf/>
  </rcc>
  <rcc rId="6275" sId="1" odxf="1" dxf="1">
    <nc r="J510">
      <v>300</v>
    </nc>
    <odxf/>
    <ndxf/>
  </rcc>
  <rcc rId="6276" sId="1" odxf="1" dxf="1">
    <nc r="K510">
      <v>0</v>
    </nc>
    <odxf/>
    <ndxf/>
  </rcc>
  <rcc rId="6277" sId="1" odxf="1" dxf="1" numFmtId="19">
    <nc r="L510">
      <v>46230</v>
    </nc>
    <odxf/>
    <ndxf/>
  </rcc>
  <rcc rId="6278" sId="1" odxf="1" dxf="1" numFmtId="19">
    <nc r="M510">
      <v>46231.055555555555</v>
    </nc>
    <odxf/>
    <ndxf/>
  </rcc>
  <rfmt sheetId="1" sqref="N510" start="0" length="0">
    <dxf/>
  </rfmt>
  <rfmt sheetId="1" sqref="O510" start="0" length="0">
    <dxf/>
  </rfmt>
  <rfmt sheetId="1" sqref="P510" start="0" length="0">
    <dxf/>
  </rfmt>
  <rfmt sheetId="1" sqref="Q510" start="0" length="0">
    <dxf/>
  </rfmt>
  <rfmt sheetId="1" sqref="R510" start="0" length="0">
    <dxf/>
  </rfmt>
  <rfmt sheetId="1" sqref="S510" start="0" length="0">
    <dxf/>
  </rfmt>
  <rfmt sheetId="1" sqref="T510" start="0" length="0">
    <dxf/>
  </rfmt>
  <rfmt sheetId="1" sqref="U510" start="0" length="0">
    <dxf/>
  </rfmt>
  <rfmt sheetId="1" sqref="V510" start="0" length="0">
    <dxf/>
  </rfmt>
  <rfmt sheetId="1" sqref="W510" start="0" length="0">
    <dxf/>
  </rfmt>
  <rfmt sheetId="1" sqref="X510" start="0" length="0">
    <dxf/>
  </rfmt>
  <rfmt sheetId="1" sqref="Y510" start="0" length="0">
    <dxf/>
  </rfmt>
  <rfmt sheetId="1" sqref="Z510" start="0" length="0">
    <dxf/>
  </rfmt>
  <rcc rId="6279" sId="1" odxf="1" dxf="1">
    <nc r="AA510" t="inlineStr">
      <is>
        <t>1</t>
      </is>
    </nc>
    <odxf/>
    <ndxf/>
  </rcc>
  <rcc rId="6280" sId="1" odxf="1" dxf="1">
    <nc r="AB510" t="inlineStr">
      <is>
        <t>0</t>
      </is>
    </nc>
    <odxf/>
    <ndxf/>
  </rcc>
  <rfmt sheetId="1" sqref="A510:XFD510" start="0" length="0">
    <dxf/>
  </rfmt>
  <rcc rId="6281" sId="1" odxf="1" dxf="1">
    <nc r="A511" t="inlineStr">
      <is>
        <t>Zone 3</t>
      </is>
    </nc>
    <odxf/>
    <ndxf/>
  </rcc>
  <rcc rId="6282" sId="1" odxf="1" dxf="1">
    <nc r="B511" t="inlineStr">
      <is>
        <t>Lopro QC Mix</t>
      </is>
    </nc>
    <odxf/>
    <ndxf/>
  </rcc>
  <rcc rId="6283" sId="1" odxf="1" dxf="1">
    <nc r="C511">
      <v>4</v>
    </nc>
    <odxf/>
    <ndxf/>
  </rcc>
  <rfmt sheetId="1" sqref="D511" start="0" length="0">
    <dxf/>
  </rfmt>
  <rcc rId="6284" sId="1" odxf="1" dxf="1">
    <nc r="E511" t="inlineStr">
      <is>
        <t>W1028547/1</t>
      </is>
    </nc>
    <odxf/>
    <ndxf/>
  </rcc>
  <rcc rId="6285" sId="1" odxf="1" dxf="1">
    <nc r="F511" t="inlineStr">
      <is>
        <t>VER1/0270-1150</t>
      </is>
    </nc>
    <odxf/>
    <ndxf/>
  </rcc>
  <rcc rId="6286" sId="1" odxf="1" dxf="1">
    <nc r="G511" t="inlineStr">
      <is>
        <t>QC ECO ,MILLER S1, NS, GS SPECTRUM BOX-10</t>
      </is>
    </nc>
    <odxf/>
    <ndxf/>
  </rcc>
  <rcc rId="6287" sId="1" odxf="1" dxf="1">
    <nc r="H511">
      <v>100</v>
    </nc>
    <odxf/>
    <ndxf/>
  </rcc>
  <rcc rId="6288" sId="1" odxf="1" dxf="1">
    <nc r="I511">
      <v>25</v>
    </nc>
    <odxf/>
    <ndxf/>
  </rcc>
  <rcc rId="6289" sId="1" odxf="1" dxf="1">
    <nc r="J511">
      <v>300</v>
    </nc>
    <odxf/>
    <ndxf/>
  </rcc>
  <rcc rId="6290" sId="1" odxf="1" dxf="1">
    <nc r="K511">
      <v>0</v>
    </nc>
    <odxf/>
    <ndxf/>
  </rcc>
  <rcc rId="6291" sId="1" odxf="1" dxf="1" numFmtId="19">
    <nc r="L511">
      <v>46231.0625</v>
    </nc>
    <odxf/>
    <ndxf/>
  </rcc>
  <rcc rId="6292" sId="1" odxf="1" dxf="1" numFmtId="19">
    <nc r="M511">
      <v>46232.118055555555</v>
    </nc>
    <odxf/>
    <ndxf/>
  </rcc>
  <rfmt sheetId="1" sqref="N511" start="0" length="0">
    <dxf/>
  </rfmt>
  <rfmt sheetId="1" sqref="O511" start="0" length="0">
    <dxf/>
  </rfmt>
  <rfmt sheetId="1" sqref="P511" start="0" length="0">
    <dxf/>
  </rfmt>
  <rfmt sheetId="1" sqref="Q511" start="0" length="0">
    <dxf/>
  </rfmt>
  <rfmt sheetId="1" sqref="R511" start="0" length="0">
    <dxf/>
  </rfmt>
  <rfmt sheetId="1" sqref="S511" start="0" length="0">
    <dxf/>
  </rfmt>
  <rfmt sheetId="1" sqref="T511" start="0" length="0">
    <dxf/>
  </rfmt>
  <rfmt sheetId="1" sqref="U511" start="0" length="0">
    <dxf/>
  </rfmt>
  <rfmt sheetId="1" sqref="V511" start="0" length="0">
    <dxf/>
  </rfmt>
  <rfmt sheetId="1" sqref="W511" start="0" length="0">
    <dxf/>
  </rfmt>
  <rfmt sheetId="1" sqref="X511" start="0" length="0">
    <dxf/>
  </rfmt>
  <rfmt sheetId="1" sqref="Y511" start="0" length="0">
    <dxf/>
  </rfmt>
  <rfmt sheetId="1" sqref="Z511" start="0" length="0">
    <dxf/>
  </rfmt>
  <rcc rId="6293" sId="1" odxf="1" dxf="1">
    <nc r="AA511" t="inlineStr">
      <is>
        <t>1</t>
      </is>
    </nc>
    <odxf/>
    <ndxf/>
  </rcc>
  <rcc rId="6294" sId="1" odxf="1" dxf="1">
    <nc r="AB511" t="inlineStr">
      <is>
        <t>0</t>
      </is>
    </nc>
    <odxf/>
    <ndxf/>
  </rcc>
  <rfmt sheetId="1" sqref="A511:XFD511" start="0" length="0">
    <dxf/>
  </rfmt>
  <rcc rId="6295" sId="1" odxf="1" dxf="1">
    <nc r="A512" t="inlineStr">
      <is>
        <t>Zone 3</t>
      </is>
    </nc>
    <odxf/>
    <ndxf/>
  </rcc>
  <rcc rId="6296" sId="1" odxf="1" dxf="1">
    <nc r="B512" t="inlineStr">
      <is>
        <t>Lopro QC Mix</t>
      </is>
    </nc>
    <odxf/>
    <ndxf/>
  </rcc>
  <rcc rId="6297" sId="1" odxf="1" dxf="1">
    <nc r="C512">
      <v>4</v>
    </nc>
    <odxf/>
    <ndxf/>
  </rcc>
  <rfmt sheetId="1" sqref="D512" start="0" length="0">
    <dxf/>
  </rfmt>
  <rcc rId="6298" sId="1" odxf="1" dxf="1">
    <nc r="E512" t="inlineStr">
      <is>
        <t>W1029747/1</t>
      </is>
    </nc>
    <odxf/>
    <ndxf/>
  </rcc>
  <rcc rId="6299" sId="1" odxf="1" dxf="1">
    <nc r="F512" t="inlineStr">
      <is>
        <t>VER1/0270-1142</t>
      </is>
    </nc>
    <odxf/>
    <ndxf/>
  </rcc>
  <rcc rId="6300" sId="1" odxf="1" dxf="1">
    <nc r="G512" t="inlineStr">
      <is>
        <t>QC ECO ,HA S1, NS, GS SPECTRUM BOX-10</t>
      </is>
    </nc>
    <odxf/>
    <ndxf/>
  </rcc>
  <rcc rId="6301" sId="1" odxf="1" dxf="1">
    <nc r="H512">
      <v>100</v>
    </nc>
    <odxf/>
    <ndxf/>
  </rcc>
  <rcc rId="6302" sId="1" odxf="1" dxf="1">
    <nc r="I512">
      <v>25</v>
    </nc>
    <odxf/>
    <ndxf/>
  </rcc>
  <rcc rId="6303" sId="1" odxf="1" dxf="1">
    <nc r="J512">
      <v>300</v>
    </nc>
    <odxf/>
    <ndxf/>
  </rcc>
  <rcc rId="6304" sId="1" odxf="1" dxf="1">
    <nc r="K512">
      <v>0</v>
    </nc>
    <odxf/>
    <ndxf/>
  </rcc>
  <rcc rId="6305" sId="1" odxf="1" dxf="1" numFmtId="19">
    <nc r="L512">
      <v>46232.125</v>
    </nc>
    <odxf/>
    <ndxf/>
  </rcc>
  <rcc rId="6306" sId="1" odxf="1" dxf="1" numFmtId="19">
    <nc r="M512">
      <v>46233.180555555555</v>
    </nc>
    <odxf/>
    <ndxf/>
  </rcc>
  <rfmt sheetId="1" sqref="N512" start="0" length="0">
    <dxf/>
  </rfmt>
  <rfmt sheetId="1" sqref="O512" start="0" length="0">
    <dxf/>
  </rfmt>
  <rfmt sheetId="1" sqref="P512" start="0" length="0">
    <dxf/>
  </rfmt>
  <rfmt sheetId="1" sqref="Q512" start="0" length="0">
    <dxf/>
  </rfmt>
  <rfmt sheetId="1" sqref="R512" start="0" length="0">
    <dxf/>
  </rfmt>
  <rfmt sheetId="1" sqref="S512" start="0" length="0">
    <dxf/>
  </rfmt>
  <rfmt sheetId="1" sqref="T512" start="0" length="0">
    <dxf/>
  </rfmt>
  <rfmt sheetId="1" sqref="U512" start="0" length="0">
    <dxf/>
  </rfmt>
  <rfmt sheetId="1" sqref="V512" start="0" length="0">
    <dxf/>
  </rfmt>
  <rfmt sheetId="1" sqref="W512" start="0" length="0">
    <dxf/>
  </rfmt>
  <rfmt sheetId="1" sqref="X512" start="0" length="0">
    <dxf/>
  </rfmt>
  <rfmt sheetId="1" sqref="Y512" start="0" length="0">
    <dxf/>
  </rfmt>
  <rfmt sheetId="1" sqref="Z512" start="0" length="0">
    <dxf/>
  </rfmt>
  <rcc rId="6307" sId="1" odxf="1" dxf="1">
    <nc r="AA512" t="inlineStr">
      <is>
        <t>1</t>
      </is>
    </nc>
    <odxf/>
    <ndxf/>
  </rcc>
  <rcc rId="6308" sId="1" odxf="1" dxf="1">
    <nc r="AB512" t="inlineStr">
      <is>
        <t>0</t>
      </is>
    </nc>
    <odxf/>
    <ndxf/>
  </rcc>
  <rfmt sheetId="1" sqref="A512:XFD512" start="0" length="0">
    <dxf/>
  </rfmt>
  <rfmt sheetId="1" sqref="A513" start="0" length="0">
    <dxf>
      <fill>
        <patternFill patternType="solid">
          <bgColor theme="0" tint="-4.9989318521683403E-2"/>
        </patternFill>
      </fill>
    </dxf>
  </rfmt>
  <rfmt sheetId="1" sqref="B513" start="0" length="0">
    <dxf>
      <fill>
        <patternFill patternType="solid">
          <bgColor theme="0" tint="-4.9989318521683403E-2"/>
        </patternFill>
      </fill>
    </dxf>
  </rfmt>
  <rfmt sheetId="1" sqref="C513" start="0" length="0">
    <dxf>
      <fill>
        <patternFill patternType="solid">
          <bgColor theme="0" tint="-4.9989318521683403E-2"/>
        </patternFill>
      </fill>
    </dxf>
  </rfmt>
  <rfmt sheetId="1" sqref="D513" start="0" length="0">
    <dxf>
      <fill>
        <patternFill patternType="solid">
          <bgColor theme="0" tint="-4.9989318521683403E-2"/>
        </patternFill>
      </fill>
    </dxf>
  </rfmt>
  <rfmt sheetId="1" sqref="E513" start="0" length="0">
    <dxf>
      <fill>
        <patternFill patternType="solid">
          <bgColor theme="0" tint="-4.9989318521683403E-2"/>
        </patternFill>
      </fill>
    </dxf>
  </rfmt>
  <rfmt sheetId="1" sqref="F513" start="0" length="0">
    <dxf>
      <fill>
        <patternFill patternType="solid">
          <bgColor theme="0" tint="-4.9989318521683403E-2"/>
        </patternFill>
      </fill>
    </dxf>
  </rfmt>
  <rfmt sheetId="1" sqref="G513" start="0" length="0">
    <dxf>
      <fill>
        <patternFill patternType="solid">
          <bgColor theme="0" tint="-4.9989318521683403E-2"/>
        </patternFill>
      </fill>
    </dxf>
  </rfmt>
  <rfmt sheetId="1" sqref="H513" start="0" length="0">
    <dxf>
      <fill>
        <patternFill patternType="solid">
          <bgColor theme="0" tint="-4.9989318521683403E-2"/>
        </patternFill>
      </fill>
    </dxf>
  </rfmt>
  <rfmt sheetId="1" sqref="I513" start="0" length="0">
    <dxf>
      <fill>
        <patternFill patternType="solid">
          <bgColor theme="0" tint="-4.9989318521683403E-2"/>
        </patternFill>
      </fill>
    </dxf>
  </rfmt>
  <rfmt sheetId="1" sqref="J513" start="0" length="0">
    <dxf>
      <fill>
        <patternFill patternType="solid">
          <bgColor theme="0" tint="-4.9989318521683403E-2"/>
        </patternFill>
      </fill>
    </dxf>
  </rfmt>
  <rfmt sheetId="1" sqref="K513" start="0" length="0">
    <dxf>
      <fill>
        <patternFill patternType="solid">
          <bgColor theme="0" tint="-4.9989318521683403E-2"/>
        </patternFill>
      </fill>
    </dxf>
  </rfmt>
  <rfmt sheetId="1" sqref="L513" start="0" length="0">
    <dxf>
      <fill>
        <patternFill patternType="solid">
          <bgColor theme="0" tint="-4.9989318521683403E-2"/>
        </patternFill>
      </fill>
    </dxf>
  </rfmt>
  <rfmt sheetId="1" sqref="M513" start="0" length="0">
    <dxf>
      <fill>
        <patternFill patternType="solid">
          <bgColor theme="0" tint="-4.9989318521683403E-2"/>
        </patternFill>
      </fill>
    </dxf>
  </rfmt>
  <rfmt sheetId="1" sqref="N513" start="0" length="0">
    <dxf>
      <fill>
        <patternFill patternType="solid">
          <bgColor theme="0" tint="-4.9989318521683403E-2"/>
        </patternFill>
      </fill>
    </dxf>
  </rfmt>
  <rfmt sheetId="1" sqref="O513" start="0" length="0">
    <dxf>
      <fill>
        <patternFill patternType="solid">
          <bgColor theme="0" tint="-4.9989318521683403E-2"/>
        </patternFill>
      </fill>
    </dxf>
  </rfmt>
  <rfmt sheetId="1" sqref="P513" start="0" length="0">
    <dxf>
      <fill>
        <patternFill patternType="solid">
          <bgColor theme="0" tint="-4.9989318521683403E-2"/>
        </patternFill>
      </fill>
    </dxf>
  </rfmt>
  <rfmt sheetId="1" sqref="Q513" start="0" length="0">
    <dxf>
      <fill>
        <patternFill patternType="solid">
          <bgColor theme="0" tint="-4.9989318521683403E-2"/>
        </patternFill>
      </fill>
    </dxf>
  </rfmt>
  <rfmt sheetId="1" sqref="R513" start="0" length="0">
    <dxf>
      <fill>
        <patternFill patternType="solid">
          <bgColor theme="0" tint="-4.9989318521683403E-2"/>
        </patternFill>
      </fill>
    </dxf>
  </rfmt>
  <rfmt sheetId="1" sqref="S513" start="0" length="0">
    <dxf>
      <fill>
        <patternFill patternType="solid">
          <bgColor theme="0" tint="-4.9989318521683403E-2"/>
        </patternFill>
      </fill>
    </dxf>
  </rfmt>
  <rfmt sheetId="1" sqref="T513" start="0" length="0">
    <dxf>
      <fill>
        <patternFill patternType="solid">
          <bgColor theme="0" tint="-4.9989318521683403E-2"/>
        </patternFill>
      </fill>
    </dxf>
  </rfmt>
  <rfmt sheetId="1" sqref="U513" start="0" length="0">
    <dxf>
      <fill>
        <patternFill patternType="solid">
          <bgColor theme="0" tint="-4.9989318521683403E-2"/>
        </patternFill>
      </fill>
    </dxf>
  </rfmt>
  <rfmt sheetId="1" sqref="V513" start="0" length="0">
    <dxf>
      <fill>
        <patternFill patternType="solid">
          <bgColor theme="0" tint="-4.9989318521683403E-2"/>
        </patternFill>
      </fill>
    </dxf>
  </rfmt>
  <rfmt sheetId="1" sqref="W513" start="0" length="0">
    <dxf>
      <fill>
        <patternFill patternType="solid">
          <bgColor theme="0" tint="-4.9989318521683403E-2"/>
        </patternFill>
      </fill>
    </dxf>
  </rfmt>
  <rfmt sheetId="1" sqref="X513" start="0" length="0">
    <dxf>
      <fill>
        <patternFill patternType="solid">
          <bgColor theme="0" tint="-4.9989318521683403E-2"/>
        </patternFill>
      </fill>
    </dxf>
  </rfmt>
  <rfmt sheetId="1" sqref="Y513" start="0" length="0">
    <dxf>
      <fill>
        <patternFill patternType="solid">
          <bgColor theme="0" tint="-4.9989318521683403E-2"/>
        </patternFill>
      </fill>
    </dxf>
  </rfmt>
  <rfmt sheetId="1" sqref="Z513" start="0" length="0">
    <dxf>
      <fill>
        <patternFill patternType="solid">
          <bgColor theme="0" tint="-4.9989318521683403E-2"/>
        </patternFill>
      </fill>
    </dxf>
  </rfmt>
  <rfmt sheetId="1" sqref="AA513" start="0" length="0">
    <dxf>
      <fill>
        <patternFill patternType="solid">
          <bgColor theme="0" tint="-4.9989318521683403E-2"/>
        </patternFill>
      </fill>
    </dxf>
  </rfmt>
  <rfmt sheetId="1" sqref="AB513" start="0" length="0">
    <dxf>
      <fill>
        <patternFill patternType="solid">
          <bgColor theme="0" tint="-4.9989318521683403E-2"/>
        </patternFill>
      </fill>
    </dxf>
  </rfmt>
  <rfmt sheetId="1" sqref="A513:XFD513" start="0" length="0">
    <dxf>
      <fill>
        <patternFill patternType="solid">
          <bgColor theme="0" tint="-4.9989318521683403E-2"/>
        </patternFill>
      </fill>
    </dxf>
  </rfmt>
  <rcc rId="6309" sId="1" odxf="1" dxf="1">
    <nc r="A514" t="inlineStr">
      <is>
        <t>Zone 3</t>
      </is>
    </nc>
    <odxf/>
    <ndxf/>
  </rcc>
  <rcc rId="6310" sId="1" odxf="1" dxf="1">
    <nc r="B514" t="inlineStr">
      <is>
        <t>Lopro QC Mix</t>
      </is>
    </nc>
    <odxf/>
    <ndxf/>
  </rcc>
  <rcc rId="6311" sId="1" odxf="1" dxf="1">
    <nc r="C514">
      <v>4</v>
    </nc>
    <odxf/>
    <ndxf/>
  </rcc>
  <rcc rId="6312" sId="1" odxf="1" dxf="1">
    <nc r="D514" t="inlineStr">
      <is>
        <t>20-026</t>
      </is>
    </nc>
    <odxf/>
    <ndxf/>
  </rcc>
  <rcc rId="6313" sId="1" odxf="1" dxf="1">
    <nc r="E514" t="inlineStr">
      <is>
        <t>W1029279/1</t>
      </is>
    </nc>
    <odxf/>
    <ndxf/>
  </rcc>
  <rcc rId="6314" sId="1" odxf="1" dxf="1">
    <nc r="F514" t="inlineStr">
      <is>
        <t>VER1/0270-1090</t>
      </is>
    </nc>
    <odxf/>
    <ndxf/>
  </rcc>
  <rcc rId="6315" sId="1" odxf="1" dxf="1">
    <nc r="G514" t="inlineStr">
      <is>
        <t>Spectrum QC HA S2</t>
      </is>
    </nc>
    <odxf/>
    <ndxf/>
  </rcc>
  <rcc rId="6316" sId="1" odxf="1" dxf="1">
    <nc r="H514">
      <v>150</v>
    </nc>
    <odxf/>
    <ndxf/>
  </rcc>
  <rcc rId="6317" sId="1" odxf="1" dxf="1">
    <nc r="I514">
      <v>37.5</v>
    </nc>
    <odxf/>
    <ndxf/>
  </rcc>
  <rcc rId="6318" sId="1" odxf="1" dxf="1">
    <nc r="J514">
      <v>450</v>
    </nc>
    <odxf/>
    <ndxf/>
  </rcc>
  <rcc rId="6319" sId="1" odxf="1" dxf="1">
    <nc r="K514">
      <v>0</v>
    </nc>
    <odxf/>
    <ndxf/>
  </rcc>
  <rcc rId="6320" sId="1" odxf="1" dxf="1" numFmtId="19">
    <nc r="L514">
      <v>46237.958333333336</v>
    </nc>
    <odxf/>
    <ndxf/>
  </rcc>
  <rcc rId="6321" sId="1" odxf="1" dxf="1" numFmtId="19">
    <nc r="M514">
      <v>46239.534722222219</v>
    </nc>
    <odxf/>
    <ndxf/>
  </rcc>
  <rfmt sheetId="1" sqref="N514" start="0" length="0">
    <dxf/>
  </rfmt>
  <rfmt sheetId="1" sqref="O514" start="0" length="0">
    <dxf/>
  </rfmt>
  <rfmt sheetId="1" sqref="P514" start="0" length="0">
    <dxf/>
  </rfmt>
  <rfmt sheetId="1" sqref="Q514" start="0" length="0">
    <dxf/>
  </rfmt>
  <rfmt sheetId="1" sqref="R514" start="0" length="0">
    <dxf/>
  </rfmt>
  <rfmt sheetId="1" sqref="S514" start="0" length="0">
    <dxf/>
  </rfmt>
  <rfmt sheetId="1" sqref="T514" start="0" length="0">
    <dxf/>
  </rfmt>
  <rfmt sheetId="1" sqref="U514" start="0" length="0">
    <dxf/>
  </rfmt>
  <rfmt sheetId="1" sqref="V514" start="0" length="0">
    <dxf/>
  </rfmt>
  <rfmt sheetId="1" sqref="W514" start="0" length="0">
    <dxf/>
  </rfmt>
  <rfmt sheetId="1" sqref="X514" start="0" length="0">
    <dxf/>
  </rfmt>
  <rfmt sheetId="1" sqref="Y514" start="0" length="0">
    <dxf/>
  </rfmt>
  <rfmt sheetId="1" sqref="Z514" start="0" length="0">
    <dxf/>
  </rfmt>
  <rcc rId="6322" sId="1" odxf="1" dxf="1">
    <nc r="AA514" t="inlineStr">
      <is>
        <t>1</t>
      </is>
    </nc>
    <odxf/>
    <ndxf/>
  </rcc>
  <rcc rId="6323" sId="1" odxf="1" dxf="1">
    <nc r="AB514" t="inlineStr">
      <is>
        <t>0</t>
      </is>
    </nc>
    <odxf/>
    <ndxf/>
  </rcc>
  <rfmt sheetId="1" sqref="A514:XFD514" start="0" length="0">
    <dxf/>
  </rfmt>
  <rcc rId="6324" sId="1" odxf="1" dxf="1">
    <nc r="A515" t="inlineStr">
      <is>
        <t>Zone 3</t>
      </is>
    </nc>
    <odxf/>
    <ndxf/>
  </rcc>
  <rcc rId="6325" sId="1" odxf="1" dxf="1">
    <nc r="B515" t="inlineStr">
      <is>
        <t>Lopro QC Mix</t>
      </is>
    </nc>
    <odxf/>
    <ndxf/>
  </rcc>
  <rcc rId="6326" sId="1" odxf="1" dxf="1">
    <nc r="C515">
      <v>4</v>
    </nc>
    <odxf/>
    <ndxf/>
  </rcc>
  <rcc rId="6327" sId="1" odxf="1" dxf="1">
    <nc r="D515" t="inlineStr">
      <is>
        <t>20-026</t>
      </is>
    </nc>
    <odxf/>
    <ndxf/>
  </rcc>
  <rcc rId="6328" sId="1" odxf="1" dxf="1">
    <nc r="E515" t="inlineStr">
      <is>
        <t>W1029280/1</t>
      </is>
    </nc>
    <odxf/>
    <ndxf/>
  </rcc>
  <rcc rId="6329" sId="1" odxf="1" dxf="1">
    <nc r="F515" t="inlineStr">
      <is>
        <t>VER1/0270-1090</t>
      </is>
    </nc>
    <odxf/>
    <ndxf/>
  </rcc>
  <rcc rId="6330" sId="1" odxf="1" dxf="1">
    <nc r="G515" t="inlineStr">
      <is>
        <t>Spectrum QC HA S2</t>
      </is>
    </nc>
    <odxf/>
    <ndxf/>
  </rcc>
  <rcc rId="6331" sId="1" odxf="1" dxf="1">
    <nc r="H515">
      <v>100</v>
    </nc>
    <odxf/>
    <ndxf/>
  </rcc>
  <rcc rId="6332" sId="1" odxf="1" dxf="1">
    <nc r="I515">
      <v>25</v>
    </nc>
    <odxf/>
    <ndxf/>
  </rcc>
  <rcc rId="6333" sId="1" odxf="1" dxf="1">
    <nc r="J515">
      <v>300</v>
    </nc>
    <odxf/>
    <ndxf/>
  </rcc>
  <rcc rId="6334" sId="1" odxf="1" dxf="1">
    <nc r="K515">
      <v>0</v>
    </nc>
    <odxf/>
    <ndxf/>
  </rcc>
  <rcc rId="6335" sId="1" odxf="1" dxf="1" numFmtId="19">
    <nc r="L515">
      <v>46239.541666666664</v>
    </nc>
    <odxf/>
    <ndxf/>
  </rcc>
  <rcc rId="6336" sId="1" odxf="1" dxf="1" numFmtId="19">
    <nc r="M515">
      <v>46240.597222222219</v>
    </nc>
    <odxf/>
    <ndxf/>
  </rcc>
  <rfmt sheetId="1" sqref="N515" start="0" length="0">
    <dxf/>
  </rfmt>
  <rfmt sheetId="1" sqref="O515" start="0" length="0">
    <dxf/>
  </rfmt>
  <rfmt sheetId="1" sqref="P515" start="0" length="0">
    <dxf/>
  </rfmt>
  <rfmt sheetId="1" sqref="Q515" start="0" length="0">
    <dxf/>
  </rfmt>
  <rfmt sheetId="1" sqref="R515" start="0" length="0">
    <dxf/>
  </rfmt>
  <rfmt sheetId="1" sqref="S515" start="0" length="0">
    <dxf/>
  </rfmt>
  <rfmt sheetId="1" sqref="T515" start="0" length="0">
    <dxf/>
  </rfmt>
  <rfmt sheetId="1" sqref="U515" start="0" length="0">
    <dxf/>
  </rfmt>
  <rfmt sheetId="1" sqref="V515" start="0" length="0">
    <dxf/>
  </rfmt>
  <rfmt sheetId="1" sqref="W515" start="0" length="0">
    <dxf/>
  </rfmt>
  <rfmt sheetId="1" sqref="X515" start="0" length="0">
    <dxf/>
  </rfmt>
  <rfmt sheetId="1" sqref="Y515" start="0" length="0">
    <dxf/>
  </rfmt>
  <rfmt sheetId="1" sqref="Z515" start="0" length="0">
    <dxf/>
  </rfmt>
  <rcc rId="6337" sId="1" odxf="1" dxf="1">
    <nc r="AA515" t="inlineStr">
      <is>
        <t>1</t>
      </is>
    </nc>
    <odxf/>
    <ndxf/>
  </rcc>
  <rcc rId="6338" sId="1" odxf="1" dxf="1">
    <nc r="AB515" t="inlineStr">
      <is>
        <t>0</t>
      </is>
    </nc>
    <odxf/>
    <ndxf/>
  </rcc>
  <rfmt sheetId="1" sqref="A515:XFD515" start="0" length="0">
    <dxf/>
  </rfmt>
  <rfmt sheetId="1" sqref="A516" start="0" length="0">
    <dxf>
      <fill>
        <patternFill patternType="solid">
          <bgColor theme="0" tint="-4.9989318521683403E-2"/>
        </patternFill>
      </fill>
    </dxf>
  </rfmt>
  <rfmt sheetId="1" sqref="B516" start="0" length="0">
    <dxf>
      <fill>
        <patternFill patternType="solid">
          <bgColor theme="0" tint="-4.9989318521683403E-2"/>
        </patternFill>
      </fill>
    </dxf>
  </rfmt>
  <rfmt sheetId="1" sqref="C516" start="0" length="0">
    <dxf>
      <fill>
        <patternFill patternType="solid">
          <bgColor theme="0" tint="-4.9989318521683403E-2"/>
        </patternFill>
      </fill>
    </dxf>
  </rfmt>
  <rfmt sheetId="1" sqref="D516" start="0" length="0">
    <dxf>
      <fill>
        <patternFill patternType="solid">
          <bgColor theme="0" tint="-4.9989318521683403E-2"/>
        </patternFill>
      </fill>
    </dxf>
  </rfmt>
  <rfmt sheetId="1" sqref="E516" start="0" length="0">
    <dxf>
      <fill>
        <patternFill patternType="solid">
          <bgColor theme="0" tint="-4.9989318521683403E-2"/>
        </patternFill>
      </fill>
    </dxf>
  </rfmt>
  <rfmt sheetId="1" sqref="F516" start="0" length="0">
    <dxf>
      <fill>
        <patternFill patternType="solid">
          <bgColor theme="0" tint="-4.9989318521683403E-2"/>
        </patternFill>
      </fill>
    </dxf>
  </rfmt>
  <rfmt sheetId="1" sqref="G516" start="0" length="0">
    <dxf>
      <fill>
        <patternFill patternType="solid">
          <bgColor theme="0" tint="-4.9989318521683403E-2"/>
        </patternFill>
      </fill>
    </dxf>
  </rfmt>
  <rfmt sheetId="1" sqref="H516" start="0" length="0">
    <dxf>
      <fill>
        <patternFill patternType="solid">
          <bgColor theme="0" tint="-4.9989318521683403E-2"/>
        </patternFill>
      </fill>
    </dxf>
  </rfmt>
  <rfmt sheetId="1" sqref="I516" start="0" length="0">
    <dxf>
      <fill>
        <patternFill patternType="solid">
          <bgColor theme="0" tint="-4.9989318521683403E-2"/>
        </patternFill>
      </fill>
    </dxf>
  </rfmt>
  <rfmt sheetId="1" sqref="J516" start="0" length="0">
    <dxf>
      <fill>
        <patternFill patternType="solid">
          <bgColor theme="0" tint="-4.9989318521683403E-2"/>
        </patternFill>
      </fill>
    </dxf>
  </rfmt>
  <rfmt sheetId="1" sqref="K516" start="0" length="0">
    <dxf>
      <fill>
        <patternFill patternType="solid">
          <bgColor theme="0" tint="-4.9989318521683403E-2"/>
        </patternFill>
      </fill>
    </dxf>
  </rfmt>
  <rfmt sheetId="1" sqref="L516" start="0" length="0">
    <dxf>
      <fill>
        <patternFill patternType="solid">
          <bgColor theme="0" tint="-4.9989318521683403E-2"/>
        </patternFill>
      </fill>
    </dxf>
  </rfmt>
  <rfmt sheetId="1" sqref="M516" start="0" length="0">
    <dxf>
      <fill>
        <patternFill patternType="solid">
          <bgColor theme="0" tint="-4.9989318521683403E-2"/>
        </patternFill>
      </fill>
    </dxf>
  </rfmt>
  <rfmt sheetId="1" sqref="N516" start="0" length="0">
    <dxf>
      <fill>
        <patternFill patternType="solid">
          <bgColor theme="0" tint="-4.9989318521683403E-2"/>
        </patternFill>
      </fill>
    </dxf>
  </rfmt>
  <rfmt sheetId="1" sqref="O516" start="0" length="0">
    <dxf>
      <fill>
        <patternFill patternType="solid">
          <bgColor theme="0" tint="-4.9989318521683403E-2"/>
        </patternFill>
      </fill>
    </dxf>
  </rfmt>
  <rfmt sheetId="1" sqref="P516" start="0" length="0">
    <dxf>
      <fill>
        <patternFill patternType="solid">
          <bgColor theme="0" tint="-4.9989318521683403E-2"/>
        </patternFill>
      </fill>
    </dxf>
  </rfmt>
  <rfmt sheetId="1" sqref="Q516" start="0" length="0">
    <dxf>
      <fill>
        <patternFill patternType="solid">
          <bgColor theme="0" tint="-4.9989318521683403E-2"/>
        </patternFill>
      </fill>
    </dxf>
  </rfmt>
  <rfmt sheetId="1" sqref="R516" start="0" length="0">
    <dxf>
      <fill>
        <patternFill patternType="solid">
          <bgColor theme="0" tint="-4.9989318521683403E-2"/>
        </patternFill>
      </fill>
    </dxf>
  </rfmt>
  <rfmt sheetId="1" sqref="S516" start="0" length="0">
    <dxf>
      <fill>
        <patternFill patternType="solid">
          <bgColor theme="0" tint="-4.9989318521683403E-2"/>
        </patternFill>
      </fill>
    </dxf>
  </rfmt>
  <rfmt sheetId="1" sqref="T516" start="0" length="0">
    <dxf>
      <fill>
        <patternFill patternType="solid">
          <bgColor theme="0" tint="-4.9989318521683403E-2"/>
        </patternFill>
      </fill>
    </dxf>
  </rfmt>
  <rfmt sheetId="1" sqref="U516" start="0" length="0">
    <dxf>
      <fill>
        <patternFill patternType="solid">
          <bgColor theme="0" tint="-4.9989318521683403E-2"/>
        </patternFill>
      </fill>
    </dxf>
  </rfmt>
  <rfmt sheetId="1" sqref="V516" start="0" length="0">
    <dxf>
      <fill>
        <patternFill patternType="solid">
          <bgColor theme="0" tint="-4.9989318521683403E-2"/>
        </patternFill>
      </fill>
    </dxf>
  </rfmt>
  <rfmt sheetId="1" sqref="W516" start="0" length="0">
    <dxf>
      <fill>
        <patternFill patternType="solid">
          <bgColor theme="0" tint="-4.9989318521683403E-2"/>
        </patternFill>
      </fill>
    </dxf>
  </rfmt>
  <rfmt sheetId="1" sqref="X516" start="0" length="0">
    <dxf>
      <fill>
        <patternFill patternType="solid">
          <bgColor theme="0" tint="-4.9989318521683403E-2"/>
        </patternFill>
      </fill>
    </dxf>
  </rfmt>
  <rfmt sheetId="1" sqref="Y516" start="0" length="0">
    <dxf>
      <fill>
        <patternFill patternType="solid">
          <bgColor theme="0" tint="-4.9989318521683403E-2"/>
        </patternFill>
      </fill>
    </dxf>
  </rfmt>
  <rfmt sheetId="1" sqref="Z516" start="0" length="0">
    <dxf>
      <fill>
        <patternFill patternType="solid">
          <bgColor theme="0" tint="-4.9989318521683403E-2"/>
        </patternFill>
      </fill>
    </dxf>
  </rfmt>
  <rfmt sheetId="1" sqref="AA516" start="0" length="0">
    <dxf>
      <fill>
        <patternFill patternType="solid">
          <bgColor theme="0" tint="-4.9989318521683403E-2"/>
        </patternFill>
      </fill>
    </dxf>
  </rfmt>
  <rfmt sheetId="1" sqref="AB516" start="0" length="0">
    <dxf>
      <fill>
        <patternFill patternType="solid">
          <bgColor theme="0" tint="-4.9989318521683403E-2"/>
        </patternFill>
      </fill>
    </dxf>
  </rfmt>
  <rfmt sheetId="1" sqref="A516:XFD516" start="0" length="0">
    <dxf>
      <fill>
        <patternFill patternType="solid">
          <bgColor theme="0" tint="-4.9989318521683403E-2"/>
        </patternFill>
      </fill>
    </dxf>
  </rfmt>
  <rcc rId="6339" sId="1" odxf="1" dxf="1">
    <nc r="A517" t="inlineStr">
      <is>
        <t>Zone 3</t>
      </is>
    </nc>
    <odxf/>
    <ndxf/>
  </rcc>
  <rcc rId="6340" sId="1" odxf="1" dxf="1">
    <nc r="B517" t="inlineStr">
      <is>
        <t>Lopro QC Mix</t>
      </is>
    </nc>
    <odxf/>
    <ndxf/>
  </rcc>
  <rcc rId="6341" sId="1" odxf="1" dxf="1">
    <nc r="C517">
      <v>4</v>
    </nc>
    <odxf/>
    <ndxf/>
  </rcc>
  <rcc rId="6342" sId="1" odxf="1" dxf="1">
    <nc r="D517" t="inlineStr">
      <is>
        <t>20-025</t>
      </is>
    </nc>
    <odxf/>
    <ndxf/>
  </rcc>
  <rcc rId="6343" sId="1" odxf="1" dxf="1">
    <nc r="E517" t="inlineStr">
      <is>
        <t>W1028034/1</t>
      </is>
    </nc>
    <odxf/>
    <ndxf/>
  </rcc>
  <rcc rId="6344" sId="1" odxf="1" dxf="1">
    <nc r="F517" t="inlineStr">
      <is>
        <t>VER1/0270-1089</t>
      </is>
    </nc>
    <odxf/>
    <ndxf/>
  </rcc>
  <rcc rId="6345" sId="1" odxf="1" dxf="1">
    <nc r="G517" t="inlineStr">
      <is>
        <t>Spectrum QC HA S1</t>
      </is>
    </nc>
    <odxf/>
    <ndxf/>
  </rcc>
  <rcc rId="6346" sId="1" odxf="1" dxf="1">
    <nc r="H517">
      <v>150</v>
    </nc>
    <odxf/>
    <ndxf/>
  </rcc>
  <rcc rId="6347" sId="1" odxf="1" dxf="1">
    <nc r="I517">
      <v>37.5</v>
    </nc>
    <odxf/>
    <ndxf/>
  </rcc>
  <rcc rId="6348" sId="1" odxf="1" dxf="1">
    <nc r="J517">
      <v>450</v>
    </nc>
    <odxf/>
    <ndxf/>
  </rcc>
  <rcc rId="6349" sId="1" odxf="1" dxf="1">
    <nc r="K517">
      <v>0</v>
    </nc>
    <odxf/>
    <ndxf/>
  </rcc>
  <rcc rId="6350" sId="1" odxf="1" dxf="1" numFmtId="19">
    <nc r="L517">
      <v>46244</v>
    </nc>
    <odxf/>
    <ndxf/>
  </rcc>
  <rcc rId="6351" sId="1" odxf="1" dxf="1" numFmtId="19">
    <nc r="M517">
      <v>46245.576388888891</v>
    </nc>
    <odxf/>
    <ndxf/>
  </rcc>
  <rfmt sheetId="1" sqref="N517" start="0" length="0">
    <dxf/>
  </rfmt>
  <rfmt sheetId="1" sqref="O517" start="0" length="0">
    <dxf/>
  </rfmt>
  <rfmt sheetId="1" sqref="P517" start="0" length="0">
    <dxf/>
  </rfmt>
  <rfmt sheetId="1" sqref="Q517" start="0" length="0">
    <dxf/>
  </rfmt>
  <rfmt sheetId="1" sqref="R517" start="0" length="0">
    <dxf/>
  </rfmt>
  <rfmt sheetId="1" sqref="S517" start="0" length="0">
    <dxf/>
  </rfmt>
  <rfmt sheetId="1" sqref="T517" start="0" length="0">
    <dxf/>
  </rfmt>
  <rfmt sheetId="1" sqref="U517" start="0" length="0">
    <dxf/>
  </rfmt>
  <rfmt sheetId="1" sqref="V517" start="0" length="0">
    <dxf/>
  </rfmt>
  <rfmt sheetId="1" sqref="W517" start="0" length="0">
    <dxf/>
  </rfmt>
  <rfmt sheetId="1" sqref="X517" start="0" length="0">
    <dxf/>
  </rfmt>
  <rfmt sheetId="1" sqref="Y517" start="0" length="0">
    <dxf/>
  </rfmt>
  <rfmt sheetId="1" sqref="Z517" start="0" length="0">
    <dxf/>
  </rfmt>
  <rcc rId="6352" sId="1" odxf="1" dxf="1">
    <nc r="AA517" t="inlineStr">
      <is>
        <t>1</t>
      </is>
    </nc>
    <odxf/>
    <ndxf/>
  </rcc>
  <rcc rId="6353" sId="1" odxf="1" dxf="1">
    <nc r="AB517" t="inlineStr">
      <is>
        <t>0</t>
      </is>
    </nc>
    <odxf/>
    <ndxf/>
  </rcc>
  <rfmt sheetId="1" sqref="A517:XFD517" start="0" length="0">
    <dxf/>
  </rfmt>
  <rcc rId="6354" sId="1" odxf="1" dxf="1">
    <nc r="A518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355" sId="1" odxf="1" dxf="1">
    <nc r="B518" t="inlineStr">
      <is>
        <t>Lopro QC Mix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356" sId="1" odxf="1" dxf="1">
    <nc r="C518">
      <v>4</v>
    </nc>
    <odxf>
      <border outline="0">
        <bottom/>
      </border>
    </odxf>
    <ndxf>
      <border outline="0">
        <bottom style="medium">
          <color indexed="64"/>
        </bottom>
      </border>
    </ndxf>
  </rcc>
  <rcc rId="6357" sId="1" odxf="1" dxf="1">
    <nc r="D518" t="inlineStr">
      <is>
        <t>20-027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358" sId="1" odxf="1" dxf="1">
    <nc r="E518" t="inlineStr">
      <is>
        <t>W1028537/1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359" sId="1" odxf="1" dxf="1">
    <nc r="F518" t="inlineStr">
      <is>
        <t>VER1/0270-1091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360" sId="1" odxf="1" dxf="1">
    <nc r="G518" t="inlineStr">
      <is>
        <t>SpectrumQC HA S2.5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361" sId="1" odxf="1" dxf="1">
    <nc r="H518">
      <v>100</v>
    </nc>
    <odxf>
      <border outline="0">
        <bottom/>
      </border>
    </odxf>
    <ndxf>
      <border outline="0">
        <bottom style="medium">
          <color indexed="64"/>
        </bottom>
      </border>
    </ndxf>
  </rcc>
  <rcc rId="6362" sId="1" odxf="1" dxf="1">
    <nc r="I518">
      <v>25</v>
    </nc>
    <odxf>
      <border outline="0">
        <bottom/>
      </border>
    </odxf>
    <ndxf>
      <border outline="0">
        <bottom style="medium">
          <color indexed="64"/>
        </bottom>
      </border>
    </ndxf>
  </rcc>
  <rcc rId="6363" sId="1" odxf="1" dxf="1">
    <nc r="J518">
      <v>300</v>
    </nc>
    <odxf>
      <border outline="0">
        <bottom/>
      </border>
    </odxf>
    <ndxf>
      <border outline="0">
        <bottom style="medium">
          <color indexed="64"/>
        </bottom>
      </border>
    </ndxf>
  </rcc>
  <rcc rId="6364" sId="1" odxf="1" dxf="1">
    <nc r="K518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6365" sId="1" odxf="1" dxf="1" numFmtId="19">
    <nc r="L518">
      <v>46245.583333333336</v>
    </nc>
    <odxf>
      <border outline="0">
        <bottom/>
      </border>
    </odxf>
    <ndxf>
      <border outline="0">
        <bottom style="medium">
          <color indexed="64"/>
        </bottom>
      </border>
    </ndxf>
  </rcc>
  <rcc rId="6366" sId="1" odxf="1" dxf="1" numFmtId="19">
    <nc r="M518">
      <v>46246.638888888891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518" start="0" length="0">
    <dxf>
      <border outline="0">
        <bottom style="medium">
          <color indexed="64"/>
        </bottom>
      </border>
    </dxf>
  </rfmt>
  <rfmt sheetId="1" sqref="O518" start="0" length="0">
    <dxf>
      <border outline="0">
        <bottom style="medium">
          <color indexed="64"/>
        </bottom>
      </border>
    </dxf>
  </rfmt>
  <rfmt sheetId="1" sqref="P518" start="0" length="0">
    <dxf>
      <border outline="0">
        <bottom style="medium">
          <color indexed="64"/>
        </bottom>
      </border>
    </dxf>
  </rfmt>
  <rfmt sheetId="1" sqref="Q518" start="0" length="0">
    <dxf>
      <border outline="0">
        <bottom style="medium">
          <color indexed="64"/>
        </bottom>
      </border>
    </dxf>
  </rfmt>
  <rfmt sheetId="1" sqref="R518" start="0" length="0">
    <dxf>
      <border outline="0">
        <bottom style="medium">
          <color indexed="64"/>
        </bottom>
      </border>
    </dxf>
  </rfmt>
  <rfmt sheetId="1" sqref="S518" start="0" length="0">
    <dxf>
      <border outline="0">
        <bottom style="medium">
          <color indexed="64"/>
        </bottom>
      </border>
    </dxf>
  </rfmt>
  <rfmt sheetId="1" sqref="T518" start="0" length="0">
    <dxf>
      <border outline="0">
        <bottom style="medium">
          <color indexed="64"/>
        </bottom>
      </border>
    </dxf>
  </rfmt>
  <rfmt sheetId="1" sqref="U518" start="0" length="0">
    <dxf>
      <border outline="0">
        <bottom style="medium">
          <color indexed="64"/>
        </bottom>
      </border>
    </dxf>
  </rfmt>
  <rfmt sheetId="1" sqref="V518" start="0" length="0">
    <dxf>
      <border outline="0">
        <bottom style="medium">
          <color indexed="64"/>
        </bottom>
      </border>
    </dxf>
  </rfmt>
  <rfmt sheetId="1" sqref="W518" start="0" length="0">
    <dxf>
      <border outline="0">
        <bottom style="medium">
          <color indexed="64"/>
        </bottom>
      </border>
    </dxf>
  </rfmt>
  <rfmt sheetId="1" sqref="X518" start="0" length="0">
    <dxf>
      <border outline="0">
        <bottom style="medium">
          <color indexed="64"/>
        </bottom>
      </border>
    </dxf>
  </rfmt>
  <rfmt sheetId="1" sqref="Y518" start="0" length="0">
    <dxf>
      <border outline="0">
        <bottom style="medium">
          <color indexed="64"/>
        </bottom>
      </border>
    </dxf>
  </rfmt>
  <rfmt sheetId="1" sqref="Z518" start="0" length="0">
    <dxf>
      <border outline="0">
        <bottom style="medium">
          <color indexed="64"/>
        </bottom>
      </border>
    </dxf>
  </rfmt>
  <rcc rId="6367" sId="1" odxf="1" dxf="1">
    <nc r="AA518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368" sId="1" odxf="1" dxf="1">
    <nc r="AB518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518:XFD518" start="0" length="0">
    <dxf>
      <border outline="0">
        <bottom style="medium">
          <color indexed="64"/>
        </bottom>
      </border>
    </dxf>
  </rfmt>
  <rcc rId="6369" sId="1" odxf="1" dxf="1">
    <nc r="A519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70" sId="1" odxf="1" dxf="1">
    <nc r="B519" t="inlineStr">
      <is>
        <t>Lopro QC S3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71" sId="1" odxf="1" dxf="1">
    <nc r="C519">
      <v>5.5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72" sId="1" odxf="1" dxf="1">
    <nc r="D519" t="inlineStr">
      <is>
        <t>24-014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73" sId="1" odxf="1" dxf="1">
    <nc r="E519" t="inlineStr">
      <is>
        <t>W1027638/1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74" sId="1" odxf="1" dxf="1">
    <nc r="F519" t="inlineStr">
      <is>
        <t>VER1/0270-1083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75" sId="1" odxf="1" dxf="1">
    <nc r="G519" t="inlineStr">
      <is>
        <t>Spectrum QC HA S3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76" sId="1" odxf="1" dxf="1">
    <nc r="H519">
      <v>149.98500000000001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77" sId="1" odxf="1" dxf="1">
    <nc r="I519">
      <v>27.27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78" sId="1" odxf="1" dxf="1">
    <nc r="J519">
      <v>600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79" sId="1" odxf="1" dxf="1">
    <nc r="K519">
      <v>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80" sId="1" odxf="1" dxf="1" numFmtId="19">
    <nc r="L519">
      <v>46209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81" sId="1" odxf="1" dxf="1" numFmtId="19">
    <nc r="M519">
      <v>46210.152777777781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N519" start="0" length="0">
    <dxf>
      <fill>
        <patternFill patternType="solid">
          <bgColor theme="8" tint="0.39997558519241921"/>
        </patternFill>
      </fill>
    </dxf>
  </rfmt>
  <rcc rId="6382" sId="1" odxf="1" dxf="1">
    <nc r="O519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P519" start="0" length="0">
    <dxf>
      <fill>
        <patternFill patternType="solid">
          <bgColor theme="8" tint="0.39997558519241921"/>
        </patternFill>
      </fill>
    </dxf>
  </rfmt>
  <rfmt sheetId="1" sqref="Q519" start="0" length="0">
    <dxf>
      <fill>
        <patternFill patternType="solid">
          <bgColor theme="8" tint="0.39997558519241921"/>
        </patternFill>
      </fill>
    </dxf>
  </rfmt>
  <rfmt sheetId="1" sqref="R519" start="0" length="0">
    <dxf>
      <fill>
        <patternFill patternType="solid">
          <bgColor theme="8" tint="0.39997558519241921"/>
        </patternFill>
      </fill>
    </dxf>
  </rfmt>
  <rfmt sheetId="1" sqref="S519" start="0" length="0">
    <dxf>
      <fill>
        <patternFill patternType="solid">
          <bgColor theme="8" tint="0.39997558519241921"/>
        </patternFill>
      </fill>
    </dxf>
  </rfmt>
  <rfmt sheetId="1" sqref="T519" start="0" length="0">
    <dxf>
      <fill>
        <patternFill patternType="solid">
          <bgColor theme="8" tint="0.39997558519241921"/>
        </patternFill>
      </fill>
    </dxf>
  </rfmt>
  <rfmt sheetId="1" sqref="U519" start="0" length="0">
    <dxf>
      <fill>
        <patternFill patternType="solid">
          <bgColor theme="8" tint="0.39997558519241921"/>
        </patternFill>
      </fill>
    </dxf>
  </rfmt>
  <rfmt sheetId="1" sqref="V519" start="0" length="0">
    <dxf>
      <fill>
        <patternFill patternType="solid">
          <bgColor theme="8" tint="0.39997558519241921"/>
        </patternFill>
      </fill>
    </dxf>
  </rfmt>
  <rfmt sheetId="1" sqref="W519" start="0" length="0">
    <dxf>
      <fill>
        <patternFill patternType="solid">
          <bgColor theme="8" tint="0.39997558519241921"/>
        </patternFill>
      </fill>
    </dxf>
  </rfmt>
  <rfmt sheetId="1" sqref="X519" start="0" length="0">
    <dxf>
      <fill>
        <patternFill patternType="solid">
          <bgColor theme="8" tint="0.39997558519241921"/>
        </patternFill>
      </fill>
    </dxf>
  </rfmt>
  <rfmt sheetId="1" sqref="Y519" start="0" length="0">
    <dxf>
      <fill>
        <patternFill patternType="solid">
          <bgColor theme="8" tint="0.39997558519241921"/>
        </patternFill>
      </fill>
    </dxf>
  </rfmt>
  <rfmt sheetId="1" sqref="Z519" start="0" length="0">
    <dxf>
      <fill>
        <patternFill patternType="solid">
          <bgColor theme="8" tint="0.39997558519241921"/>
        </patternFill>
      </fill>
    </dxf>
  </rfmt>
  <rcc rId="6383" sId="1" odxf="1" dxf="1">
    <nc r="AA519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384" sId="1" odxf="1" dxf="1">
    <nc r="AB519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A519:XFD519" start="0" length="0">
    <dxf>
      <fill>
        <patternFill patternType="solid">
          <bgColor theme="8" tint="0.39997558519241921"/>
        </patternFill>
      </fill>
    </dxf>
  </rfmt>
  <rcc rId="6385" sId="1" odxf="1" dxf="1">
    <nc r="A520" t="inlineStr">
      <is>
        <t>Zone 3</t>
      </is>
    </nc>
    <odxf/>
    <ndxf/>
  </rcc>
  <rcc rId="6386" sId="1" odxf="1" dxf="1">
    <nc r="B520" t="inlineStr">
      <is>
        <t>Lopro QC S3</t>
      </is>
    </nc>
    <odxf/>
    <ndxf/>
  </rcc>
  <rcc rId="6387" sId="1" odxf="1" dxf="1">
    <nc r="C520">
      <v>5.5</v>
    </nc>
    <odxf/>
    <ndxf/>
  </rcc>
  <rcc rId="6388" sId="1" odxf="1" dxf="1">
    <nc r="D520" t="inlineStr">
      <is>
        <t>24-014</t>
      </is>
    </nc>
    <odxf/>
    <ndxf/>
  </rcc>
  <rcc rId="6389" sId="1" odxf="1" dxf="1">
    <nc r="E520" t="inlineStr">
      <is>
        <t>W1027640/1</t>
      </is>
    </nc>
    <odxf/>
    <ndxf/>
  </rcc>
  <rcc rId="6390" sId="1" odxf="1" dxf="1">
    <nc r="F520" t="inlineStr">
      <is>
        <t>VER1/0270-1083</t>
      </is>
    </nc>
    <odxf/>
    <ndxf/>
  </rcc>
  <rcc rId="6391" sId="1" odxf="1" dxf="1">
    <nc r="G520" t="inlineStr">
      <is>
        <t>Spectrum QC HA S3</t>
      </is>
    </nc>
    <odxf/>
    <ndxf/>
  </rcc>
  <rcc rId="6392" sId="1" odxf="1" dxf="1">
    <nc r="H520">
      <v>149.98500000000001</v>
    </nc>
    <odxf/>
    <ndxf/>
  </rcc>
  <rcc rId="6393" sId="1" odxf="1" dxf="1">
    <nc r="I520">
      <v>27.27</v>
    </nc>
    <odxf/>
    <ndxf/>
  </rcc>
  <rcc rId="6394" sId="1" odxf="1" dxf="1">
    <nc r="J520">
      <v>600</v>
    </nc>
    <odxf/>
    <ndxf/>
  </rcc>
  <rcc rId="6395" sId="1" odxf="1" dxf="1">
    <nc r="K520">
      <v>0</v>
    </nc>
    <odxf/>
    <ndxf/>
  </rcc>
  <rcc rId="6396" sId="1" odxf="1" dxf="1" numFmtId="19">
    <nc r="L520">
      <v>46210.159722222219</v>
    </nc>
    <odxf/>
    <ndxf/>
  </rcc>
  <rcc rId="6397" sId="1" odxf="1" dxf="1" numFmtId="19">
    <nc r="M520">
      <v>46211.3125</v>
    </nc>
    <odxf/>
    <ndxf/>
  </rcc>
  <rfmt sheetId="1" sqref="N520" start="0" length="0">
    <dxf/>
  </rfmt>
  <rfmt sheetId="1" sqref="O520" start="0" length="0">
    <dxf/>
  </rfmt>
  <rfmt sheetId="1" sqref="P520" start="0" length="0">
    <dxf/>
  </rfmt>
  <rfmt sheetId="1" sqref="Q520" start="0" length="0">
    <dxf/>
  </rfmt>
  <rfmt sheetId="1" sqref="R520" start="0" length="0">
    <dxf/>
  </rfmt>
  <rfmt sheetId="1" sqref="S520" start="0" length="0">
    <dxf/>
  </rfmt>
  <rfmt sheetId="1" sqref="T520" start="0" length="0">
    <dxf/>
  </rfmt>
  <rfmt sheetId="1" sqref="U520" start="0" length="0">
    <dxf/>
  </rfmt>
  <rfmt sheetId="1" sqref="V520" start="0" length="0">
    <dxf/>
  </rfmt>
  <rfmt sheetId="1" sqref="W520" start="0" length="0">
    <dxf/>
  </rfmt>
  <rfmt sheetId="1" sqref="X520" start="0" length="0">
    <dxf/>
  </rfmt>
  <rfmt sheetId="1" sqref="Y520" start="0" length="0">
    <dxf/>
  </rfmt>
  <rfmt sheetId="1" sqref="Z520" start="0" length="0">
    <dxf/>
  </rfmt>
  <rcc rId="6398" sId="1" odxf="1" dxf="1">
    <nc r="AA520" t="inlineStr">
      <is>
        <t>1</t>
      </is>
    </nc>
    <odxf/>
    <ndxf/>
  </rcc>
  <rcc rId="6399" sId="1" odxf="1" dxf="1">
    <nc r="AB520" t="inlineStr">
      <is>
        <t>0</t>
      </is>
    </nc>
    <odxf/>
    <ndxf/>
  </rcc>
  <rfmt sheetId="1" sqref="A520:XFD520" start="0" length="0">
    <dxf/>
  </rfmt>
  <rcc rId="6400" sId="1" odxf="1" dxf="1">
    <nc r="A521" t="inlineStr">
      <is>
        <t>Zone 3</t>
      </is>
    </nc>
    <odxf/>
    <ndxf/>
  </rcc>
  <rcc rId="6401" sId="1" odxf="1" dxf="1">
    <nc r="B521" t="inlineStr">
      <is>
        <t>Lopro QC S3</t>
      </is>
    </nc>
    <odxf/>
    <ndxf/>
  </rcc>
  <rcc rId="6402" sId="1" odxf="1" dxf="1">
    <nc r="C521">
      <v>5.5</v>
    </nc>
    <odxf/>
    <ndxf/>
  </rcc>
  <rcc rId="6403" sId="1" odxf="1" dxf="1">
    <nc r="D521" t="inlineStr">
      <is>
        <t>24-014</t>
      </is>
    </nc>
    <odxf/>
    <ndxf/>
  </rcc>
  <rcc rId="6404" sId="1" odxf="1" dxf="1">
    <nc r="E521" t="inlineStr">
      <is>
        <t>W1027641/1</t>
      </is>
    </nc>
    <odxf/>
    <ndxf/>
  </rcc>
  <rcc rId="6405" sId="1" odxf="1" dxf="1">
    <nc r="F521" t="inlineStr">
      <is>
        <t>VER1/0270-1083</t>
      </is>
    </nc>
    <odxf/>
    <ndxf/>
  </rcc>
  <rcc rId="6406" sId="1" odxf="1" dxf="1">
    <nc r="G521" t="inlineStr">
      <is>
        <t>Spectrum QC HA S3</t>
      </is>
    </nc>
    <odxf/>
    <ndxf/>
  </rcc>
  <rcc rId="6407" sId="1" odxf="1" dxf="1">
    <nc r="H521">
      <v>149.98500000000001</v>
    </nc>
    <odxf/>
    <ndxf/>
  </rcc>
  <rcc rId="6408" sId="1" odxf="1" dxf="1">
    <nc r="I521">
      <v>27.27</v>
    </nc>
    <odxf/>
    <ndxf/>
  </rcc>
  <rcc rId="6409" sId="1" odxf="1" dxf="1">
    <nc r="J521">
      <v>600</v>
    </nc>
    <odxf/>
    <ndxf/>
  </rcc>
  <rcc rId="6410" sId="1" odxf="1" dxf="1">
    <nc r="K521">
      <v>0</v>
    </nc>
    <odxf/>
    <ndxf/>
  </rcc>
  <rcc rId="6411" sId="1" odxf="1" dxf="1" numFmtId="19">
    <nc r="L521">
      <v>46211.319444444445</v>
    </nc>
    <odxf/>
    <ndxf/>
  </rcc>
  <rcc rId="6412" sId="1" odxf="1" dxf="1" numFmtId="19">
    <nc r="M521">
      <v>46212.472222222219</v>
    </nc>
    <odxf/>
    <ndxf/>
  </rcc>
  <rfmt sheetId="1" sqref="N521" start="0" length="0">
    <dxf/>
  </rfmt>
  <rfmt sheetId="1" sqref="O521" start="0" length="0">
    <dxf/>
  </rfmt>
  <rfmt sheetId="1" sqref="P521" start="0" length="0">
    <dxf/>
  </rfmt>
  <rfmt sheetId="1" sqref="Q521" start="0" length="0">
    <dxf/>
  </rfmt>
  <rfmt sheetId="1" sqref="R521" start="0" length="0">
    <dxf/>
  </rfmt>
  <rfmt sheetId="1" sqref="S521" start="0" length="0">
    <dxf/>
  </rfmt>
  <rfmt sheetId="1" sqref="T521" start="0" length="0">
    <dxf/>
  </rfmt>
  <rfmt sheetId="1" sqref="U521" start="0" length="0">
    <dxf/>
  </rfmt>
  <rfmt sheetId="1" sqref="V521" start="0" length="0">
    <dxf/>
  </rfmt>
  <rfmt sheetId="1" sqref="W521" start="0" length="0">
    <dxf/>
  </rfmt>
  <rfmt sheetId="1" sqref="X521" start="0" length="0">
    <dxf/>
  </rfmt>
  <rfmt sheetId="1" sqref="Y521" start="0" length="0">
    <dxf/>
  </rfmt>
  <rfmt sheetId="1" sqref="Z521" start="0" length="0">
    <dxf/>
  </rfmt>
  <rcc rId="6413" sId="1" odxf="1" dxf="1">
    <nc r="AA521" t="inlineStr">
      <is>
        <t>1</t>
      </is>
    </nc>
    <odxf/>
    <ndxf/>
  </rcc>
  <rcc rId="6414" sId="1" odxf="1" dxf="1">
    <nc r="AB521" t="inlineStr">
      <is>
        <t>0</t>
      </is>
    </nc>
    <odxf/>
    <ndxf/>
  </rcc>
  <rfmt sheetId="1" sqref="A521:XFD521" start="0" length="0">
    <dxf/>
  </rfmt>
  <rcc rId="6415" sId="1" odxf="1" dxf="1">
    <nc r="A522" t="inlineStr">
      <is>
        <t>Zone 3</t>
      </is>
    </nc>
    <odxf/>
    <ndxf/>
  </rcc>
  <rcc rId="6416" sId="1" odxf="1" dxf="1">
    <nc r="B522" t="inlineStr">
      <is>
        <t>Lopro QC S3</t>
      </is>
    </nc>
    <odxf/>
    <ndxf/>
  </rcc>
  <rcc rId="6417" sId="1" odxf="1" dxf="1">
    <nc r="C522">
      <v>5.5</v>
    </nc>
    <odxf/>
    <ndxf/>
  </rcc>
  <rcc rId="6418" sId="1" odxf="1" dxf="1">
    <nc r="D522" t="inlineStr">
      <is>
        <t>24-014</t>
      </is>
    </nc>
    <odxf/>
    <ndxf/>
  </rcc>
  <rcc rId="6419" sId="1" odxf="1" dxf="1">
    <nc r="E522" t="inlineStr">
      <is>
        <t>W1027642/1</t>
      </is>
    </nc>
    <odxf/>
    <ndxf/>
  </rcc>
  <rcc rId="6420" sId="1" odxf="1" dxf="1">
    <nc r="F522" t="inlineStr">
      <is>
        <t>VER1/0270-1083</t>
      </is>
    </nc>
    <odxf/>
    <ndxf/>
  </rcc>
  <rcc rId="6421" sId="1" odxf="1" dxf="1">
    <nc r="G522" t="inlineStr">
      <is>
        <t>Spectrum QC HA S3</t>
      </is>
    </nc>
    <odxf/>
    <ndxf/>
  </rcc>
  <rcc rId="6422" sId="1" odxf="1" dxf="1">
    <nc r="H522">
      <v>149.98500000000001</v>
    </nc>
    <odxf/>
    <ndxf/>
  </rcc>
  <rcc rId="6423" sId="1" odxf="1" dxf="1">
    <nc r="I522">
      <v>27.27</v>
    </nc>
    <odxf/>
    <ndxf/>
  </rcc>
  <rcc rId="6424" sId="1" odxf="1" dxf="1">
    <nc r="J522">
      <v>600</v>
    </nc>
    <odxf/>
    <ndxf/>
  </rcc>
  <rcc rId="6425" sId="1" odxf="1" dxf="1">
    <nc r="K522">
      <v>0</v>
    </nc>
    <odxf/>
    <ndxf/>
  </rcc>
  <rcc rId="6426" sId="1" odxf="1" dxf="1" numFmtId="19">
    <nc r="L522">
      <v>46212.479166666664</v>
    </nc>
    <odxf/>
    <ndxf/>
  </rcc>
  <rcc rId="6427" sId="1" odxf="1" dxf="1" numFmtId="19">
    <nc r="M522">
      <v>46213.631944444445</v>
    </nc>
    <odxf/>
    <ndxf/>
  </rcc>
  <rfmt sheetId="1" sqref="N522" start="0" length="0">
    <dxf/>
  </rfmt>
  <rfmt sheetId="1" sqref="O522" start="0" length="0">
    <dxf/>
  </rfmt>
  <rfmt sheetId="1" sqref="P522" start="0" length="0">
    <dxf/>
  </rfmt>
  <rfmt sheetId="1" sqref="Q522" start="0" length="0">
    <dxf/>
  </rfmt>
  <rfmt sheetId="1" sqref="R522" start="0" length="0">
    <dxf/>
  </rfmt>
  <rfmt sheetId="1" sqref="S522" start="0" length="0">
    <dxf/>
  </rfmt>
  <rfmt sheetId="1" sqref="T522" start="0" length="0">
    <dxf/>
  </rfmt>
  <rfmt sheetId="1" sqref="U522" start="0" length="0">
    <dxf/>
  </rfmt>
  <rfmt sheetId="1" sqref="V522" start="0" length="0">
    <dxf/>
  </rfmt>
  <rfmt sheetId="1" sqref="W522" start="0" length="0">
    <dxf/>
  </rfmt>
  <rfmt sheetId="1" sqref="X522" start="0" length="0">
    <dxf/>
  </rfmt>
  <rfmt sheetId="1" sqref="Y522" start="0" length="0">
    <dxf/>
  </rfmt>
  <rfmt sheetId="1" sqref="Z522" start="0" length="0">
    <dxf/>
  </rfmt>
  <rcc rId="6428" sId="1" odxf="1" dxf="1">
    <nc r="AA522" t="inlineStr">
      <is>
        <t>1</t>
      </is>
    </nc>
    <odxf/>
    <ndxf/>
  </rcc>
  <rcc rId="6429" sId="1" odxf="1" dxf="1">
    <nc r="AB522" t="inlineStr">
      <is>
        <t>0</t>
      </is>
    </nc>
    <odxf/>
    <ndxf/>
  </rcc>
  <rfmt sheetId="1" sqref="A522:XFD522" start="0" length="0">
    <dxf/>
  </rfmt>
  <rcc rId="6430" sId="1" odxf="1" dxf="1">
    <nc r="A523" t="inlineStr">
      <is>
        <t>Zone 3</t>
      </is>
    </nc>
    <odxf/>
    <ndxf/>
  </rcc>
  <rcc rId="6431" sId="1" odxf="1" dxf="1">
    <nc r="B523" t="inlineStr">
      <is>
        <t>Lopro QC S3</t>
      </is>
    </nc>
    <odxf/>
    <ndxf/>
  </rcc>
  <rcc rId="6432" sId="1" odxf="1" dxf="1">
    <nc r="C523">
      <v>5.5</v>
    </nc>
    <odxf/>
    <ndxf/>
  </rcc>
  <rcc rId="6433" sId="1" odxf="1" dxf="1">
    <nc r="D523" t="inlineStr">
      <is>
        <t>24-014</t>
      </is>
    </nc>
    <odxf/>
    <ndxf/>
  </rcc>
  <rcc rId="6434" sId="1" odxf="1" dxf="1">
    <nc r="E523" t="inlineStr">
      <is>
        <t>W1027643/1</t>
      </is>
    </nc>
    <odxf/>
    <ndxf/>
  </rcc>
  <rcc rId="6435" sId="1" odxf="1" dxf="1">
    <nc r="F523" t="inlineStr">
      <is>
        <t>VER1/0270-1083</t>
      </is>
    </nc>
    <odxf/>
    <ndxf/>
  </rcc>
  <rcc rId="6436" sId="1" odxf="1" dxf="1">
    <nc r="G523" t="inlineStr">
      <is>
        <t>Spectrum QC HA S3</t>
      </is>
    </nc>
    <odxf/>
    <ndxf/>
  </rcc>
  <rcc rId="6437" sId="1" odxf="1" dxf="1">
    <nc r="H523">
      <v>75.02</v>
    </nc>
    <odxf/>
    <ndxf/>
  </rcc>
  <rcc rId="6438" sId="1" odxf="1" dxf="1">
    <nc r="I523">
      <v>13.64</v>
    </nc>
    <odxf/>
    <ndxf/>
  </rcc>
  <rcc rId="6439" sId="1" odxf="1" dxf="1">
    <nc r="J523">
      <v>300</v>
    </nc>
    <odxf/>
    <ndxf/>
  </rcc>
  <rcc rId="6440" sId="1" odxf="1" dxf="1">
    <nc r="K523">
      <v>0</v>
    </nc>
    <odxf/>
    <ndxf/>
  </rcc>
  <rcc rId="6441" sId="1" odxf="1" dxf="1" numFmtId="19">
    <nc r="L523">
      <v>46213.638888888891</v>
    </nc>
    <odxf/>
    <ndxf/>
  </rcc>
  <rcc rId="6442" sId="1" odxf="1" dxf="1" numFmtId="19">
    <nc r="M523">
      <v>46216.222222222219</v>
    </nc>
    <odxf/>
    <ndxf/>
  </rcc>
  <rfmt sheetId="1" sqref="N523" start="0" length="0">
    <dxf/>
  </rfmt>
  <rcc rId="6443" sId="1" odxf="1" dxf="1">
    <nc r="O523" t="inlineStr">
      <is>
        <t>p</t>
      </is>
    </nc>
    <odxf/>
    <ndxf/>
  </rcc>
  <rfmt sheetId="1" sqref="P523" start="0" length="0">
    <dxf/>
  </rfmt>
  <rfmt sheetId="1" sqref="Q523" start="0" length="0">
    <dxf/>
  </rfmt>
  <rfmt sheetId="1" sqref="R523" start="0" length="0">
    <dxf/>
  </rfmt>
  <rfmt sheetId="1" sqref="S523" start="0" length="0">
    <dxf/>
  </rfmt>
  <rfmt sheetId="1" sqref="T523" start="0" length="0">
    <dxf/>
  </rfmt>
  <rfmt sheetId="1" sqref="U523" start="0" length="0">
    <dxf/>
  </rfmt>
  <rfmt sheetId="1" sqref="V523" start="0" length="0">
    <dxf/>
  </rfmt>
  <rfmt sheetId="1" sqref="W523" start="0" length="0">
    <dxf/>
  </rfmt>
  <rfmt sheetId="1" sqref="X523" start="0" length="0">
    <dxf/>
  </rfmt>
  <rfmt sheetId="1" sqref="Y523" start="0" length="0">
    <dxf/>
  </rfmt>
  <rfmt sheetId="1" sqref="Z523" start="0" length="0">
    <dxf/>
  </rfmt>
  <rcc rId="6444" sId="1" odxf="1" dxf="1">
    <nc r="AA523" t="inlineStr">
      <is>
        <t>1</t>
      </is>
    </nc>
    <odxf/>
    <ndxf/>
  </rcc>
  <rcc rId="6445" sId="1" odxf="1" dxf="1">
    <nc r="AB523" t="inlineStr">
      <is>
        <t>0</t>
      </is>
    </nc>
    <odxf/>
    <ndxf/>
  </rcc>
  <rfmt sheetId="1" sqref="A523:XFD523" start="0" length="0">
    <dxf/>
  </rfmt>
  <rfmt sheetId="1" sqref="A524" start="0" length="0">
    <dxf>
      <fill>
        <patternFill patternType="solid">
          <bgColor theme="0" tint="-4.9989318521683403E-2"/>
        </patternFill>
      </fill>
    </dxf>
  </rfmt>
  <rfmt sheetId="1" sqref="B524" start="0" length="0">
    <dxf>
      <fill>
        <patternFill patternType="solid">
          <bgColor theme="0" tint="-4.9989318521683403E-2"/>
        </patternFill>
      </fill>
    </dxf>
  </rfmt>
  <rfmt sheetId="1" sqref="C524" start="0" length="0">
    <dxf>
      <fill>
        <patternFill patternType="solid">
          <bgColor theme="0" tint="-4.9989318521683403E-2"/>
        </patternFill>
      </fill>
    </dxf>
  </rfmt>
  <rfmt sheetId="1" sqref="D524" start="0" length="0">
    <dxf>
      <fill>
        <patternFill patternType="solid">
          <bgColor theme="0" tint="-4.9989318521683403E-2"/>
        </patternFill>
      </fill>
    </dxf>
  </rfmt>
  <rfmt sheetId="1" sqref="E524" start="0" length="0">
    <dxf>
      <fill>
        <patternFill patternType="solid">
          <bgColor theme="0" tint="-4.9989318521683403E-2"/>
        </patternFill>
      </fill>
    </dxf>
  </rfmt>
  <rfmt sheetId="1" sqref="F524" start="0" length="0">
    <dxf>
      <fill>
        <patternFill patternType="solid">
          <bgColor theme="0" tint="-4.9989318521683403E-2"/>
        </patternFill>
      </fill>
    </dxf>
  </rfmt>
  <rfmt sheetId="1" sqref="G524" start="0" length="0">
    <dxf>
      <fill>
        <patternFill patternType="solid">
          <bgColor theme="0" tint="-4.9989318521683403E-2"/>
        </patternFill>
      </fill>
    </dxf>
  </rfmt>
  <rfmt sheetId="1" sqref="H524" start="0" length="0">
    <dxf>
      <fill>
        <patternFill patternType="solid">
          <bgColor theme="0" tint="-4.9989318521683403E-2"/>
        </patternFill>
      </fill>
    </dxf>
  </rfmt>
  <rfmt sheetId="1" sqref="I524" start="0" length="0">
    <dxf>
      <fill>
        <patternFill patternType="solid">
          <bgColor theme="0" tint="-4.9989318521683403E-2"/>
        </patternFill>
      </fill>
    </dxf>
  </rfmt>
  <rfmt sheetId="1" sqref="J524" start="0" length="0">
    <dxf>
      <fill>
        <patternFill patternType="solid">
          <bgColor theme="0" tint="-4.9989318521683403E-2"/>
        </patternFill>
      </fill>
    </dxf>
  </rfmt>
  <rfmt sheetId="1" sqref="K524" start="0" length="0">
    <dxf>
      <fill>
        <patternFill patternType="solid">
          <bgColor theme="0" tint="-4.9989318521683403E-2"/>
        </patternFill>
      </fill>
    </dxf>
  </rfmt>
  <rfmt sheetId="1" sqref="L524" start="0" length="0">
    <dxf>
      <fill>
        <patternFill patternType="solid">
          <bgColor theme="0" tint="-4.9989318521683403E-2"/>
        </patternFill>
      </fill>
    </dxf>
  </rfmt>
  <rfmt sheetId="1" sqref="M524" start="0" length="0">
    <dxf>
      <fill>
        <patternFill patternType="solid">
          <bgColor theme="0" tint="-4.9989318521683403E-2"/>
        </patternFill>
      </fill>
    </dxf>
  </rfmt>
  <rfmt sheetId="1" sqref="N524" start="0" length="0">
    <dxf>
      <fill>
        <patternFill patternType="solid">
          <bgColor theme="0" tint="-4.9989318521683403E-2"/>
        </patternFill>
      </fill>
    </dxf>
  </rfmt>
  <rfmt sheetId="1" sqref="O524" start="0" length="0">
    <dxf>
      <fill>
        <patternFill patternType="solid">
          <bgColor theme="0" tint="-4.9989318521683403E-2"/>
        </patternFill>
      </fill>
    </dxf>
  </rfmt>
  <rfmt sheetId="1" sqref="P524" start="0" length="0">
    <dxf>
      <fill>
        <patternFill patternType="solid">
          <bgColor theme="0" tint="-4.9989318521683403E-2"/>
        </patternFill>
      </fill>
    </dxf>
  </rfmt>
  <rfmt sheetId="1" sqref="Q524" start="0" length="0">
    <dxf>
      <fill>
        <patternFill patternType="solid">
          <bgColor theme="0" tint="-4.9989318521683403E-2"/>
        </patternFill>
      </fill>
    </dxf>
  </rfmt>
  <rfmt sheetId="1" sqref="R524" start="0" length="0">
    <dxf>
      <fill>
        <patternFill patternType="solid">
          <bgColor theme="0" tint="-4.9989318521683403E-2"/>
        </patternFill>
      </fill>
    </dxf>
  </rfmt>
  <rfmt sheetId="1" sqref="S524" start="0" length="0">
    <dxf>
      <fill>
        <patternFill patternType="solid">
          <bgColor theme="0" tint="-4.9989318521683403E-2"/>
        </patternFill>
      </fill>
    </dxf>
  </rfmt>
  <rfmt sheetId="1" sqref="T524" start="0" length="0">
    <dxf>
      <fill>
        <patternFill patternType="solid">
          <bgColor theme="0" tint="-4.9989318521683403E-2"/>
        </patternFill>
      </fill>
    </dxf>
  </rfmt>
  <rfmt sheetId="1" sqref="U524" start="0" length="0">
    <dxf>
      <fill>
        <patternFill patternType="solid">
          <bgColor theme="0" tint="-4.9989318521683403E-2"/>
        </patternFill>
      </fill>
    </dxf>
  </rfmt>
  <rfmt sheetId="1" sqref="V524" start="0" length="0">
    <dxf>
      <fill>
        <patternFill patternType="solid">
          <bgColor theme="0" tint="-4.9989318521683403E-2"/>
        </patternFill>
      </fill>
    </dxf>
  </rfmt>
  <rfmt sheetId="1" sqref="W524" start="0" length="0">
    <dxf>
      <fill>
        <patternFill patternType="solid">
          <bgColor theme="0" tint="-4.9989318521683403E-2"/>
        </patternFill>
      </fill>
    </dxf>
  </rfmt>
  <rfmt sheetId="1" sqref="X524" start="0" length="0">
    <dxf>
      <fill>
        <patternFill patternType="solid">
          <bgColor theme="0" tint="-4.9989318521683403E-2"/>
        </patternFill>
      </fill>
    </dxf>
  </rfmt>
  <rfmt sheetId="1" sqref="Y524" start="0" length="0">
    <dxf>
      <fill>
        <patternFill patternType="solid">
          <bgColor theme="0" tint="-4.9989318521683403E-2"/>
        </patternFill>
      </fill>
    </dxf>
  </rfmt>
  <rfmt sheetId="1" sqref="Z524" start="0" length="0">
    <dxf>
      <fill>
        <patternFill patternType="solid">
          <bgColor theme="0" tint="-4.9989318521683403E-2"/>
        </patternFill>
      </fill>
    </dxf>
  </rfmt>
  <rfmt sheetId="1" sqref="AA524" start="0" length="0">
    <dxf>
      <fill>
        <patternFill patternType="solid">
          <bgColor theme="0" tint="-4.9989318521683403E-2"/>
        </patternFill>
      </fill>
    </dxf>
  </rfmt>
  <rfmt sheetId="1" sqref="AB524" start="0" length="0">
    <dxf>
      <fill>
        <patternFill patternType="solid">
          <bgColor theme="0" tint="-4.9989318521683403E-2"/>
        </patternFill>
      </fill>
    </dxf>
  </rfmt>
  <rfmt sheetId="1" sqref="A524:XFD524" start="0" length="0">
    <dxf>
      <fill>
        <patternFill patternType="solid">
          <bgColor theme="0" tint="-4.9989318521683403E-2"/>
        </patternFill>
      </fill>
    </dxf>
  </rfmt>
  <rcc rId="6446" sId="1" odxf="1" dxf="1">
    <nc r="A525" t="inlineStr">
      <is>
        <t>Zone 3</t>
      </is>
    </nc>
    <odxf/>
    <ndxf/>
  </rcc>
  <rcc rId="6447" sId="1" odxf="1" dxf="1">
    <nc r="B525" t="inlineStr">
      <is>
        <t>Lopro QC S3</t>
      </is>
    </nc>
    <odxf/>
    <ndxf/>
  </rcc>
  <rcc rId="6448" sId="1" odxf="1" dxf="1">
    <nc r="C525">
      <v>5.5</v>
    </nc>
    <odxf/>
    <ndxf/>
  </rcc>
  <rcc rId="6449" sId="1" odxf="1" dxf="1">
    <nc r="D525" t="inlineStr">
      <is>
        <t>24-014</t>
      </is>
    </nc>
    <odxf/>
    <ndxf/>
  </rcc>
  <rcc rId="6450" sId="1" odxf="1" dxf="1">
    <nc r="E525" t="inlineStr">
      <is>
        <t>W1027644/1</t>
      </is>
    </nc>
    <odxf/>
    <ndxf/>
  </rcc>
  <rcc rId="6451" sId="1" odxf="1" dxf="1">
    <nc r="F525" t="inlineStr">
      <is>
        <t>VER1/0270-1083</t>
      </is>
    </nc>
    <odxf/>
    <ndxf/>
  </rcc>
  <rcc rId="6452" sId="1" odxf="1" dxf="1">
    <nc r="G525" t="inlineStr">
      <is>
        <t>Spectrum QC HA S3</t>
      </is>
    </nc>
    <odxf/>
    <ndxf/>
  </rcc>
  <rcc rId="6453" sId="1" odxf="1" dxf="1">
    <nc r="H525">
      <v>149.98500000000001</v>
    </nc>
    <odxf/>
    <ndxf/>
  </rcc>
  <rcc rId="6454" sId="1" odxf="1" dxf="1">
    <nc r="I525">
      <v>27.27</v>
    </nc>
    <odxf/>
    <ndxf/>
  </rcc>
  <rcc rId="6455" sId="1" odxf="1" dxf="1">
    <nc r="J525">
      <v>600</v>
    </nc>
    <odxf/>
    <ndxf/>
  </rcc>
  <rcc rId="6456" sId="1" odxf="1" dxf="1">
    <nc r="K525">
      <v>0</v>
    </nc>
    <odxf/>
    <ndxf/>
  </rcc>
  <rcc rId="6457" sId="1" odxf="1" dxf="1" numFmtId="19">
    <nc r="L525">
      <v>46216.229166666664</v>
    </nc>
    <odxf/>
    <ndxf/>
  </rcc>
  <rcc rId="6458" sId="1" odxf="1" dxf="1" numFmtId="19">
    <nc r="M525">
      <v>46217.381944444445</v>
    </nc>
    <odxf/>
    <ndxf/>
  </rcc>
  <rfmt sheetId="1" sqref="N525" start="0" length="0">
    <dxf/>
  </rfmt>
  <rfmt sheetId="1" sqref="O525" start="0" length="0">
    <dxf/>
  </rfmt>
  <rfmt sheetId="1" sqref="P525" start="0" length="0">
    <dxf/>
  </rfmt>
  <rfmt sheetId="1" sqref="Q525" start="0" length="0">
    <dxf/>
  </rfmt>
  <rfmt sheetId="1" sqref="R525" start="0" length="0">
    <dxf/>
  </rfmt>
  <rfmt sheetId="1" sqref="S525" start="0" length="0">
    <dxf/>
  </rfmt>
  <rfmt sheetId="1" sqref="T525" start="0" length="0">
    <dxf/>
  </rfmt>
  <rfmt sheetId="1" sqref="U525" start="0" length="0">
    <dxf/>
  </rfmt>
  <rfmt sheetId="1" sqref="V525" start="0" length="0">
    <dxf/>
  </rfmt>
  <rfmt sheetId="1" sqref="W525" start="0" length="0">
    <dxf/>
  </rfmt>
  <rfmt sheetId="1" sqref="X525" start="0" length="0">
    <dxf/>
  </rfmt>
  <rfmt sheetId="1" sqref="Y525" start="0" length="0">
    <dxf/>
  </rfmt>
  <rfmt sheetId="1" sqref="Z525" start="0" length="0">
    <dxf/>
  </rfmt>
  <rcc rId="6459" sId="1" odxf="1" dxf="1">
    <nc r="AA525" t="inlineStr">
      <is>
        <t>1</t>
      </is>
    </nc>
    <odxf/>
    <ndxf/>
  </rcc>
  <rcc rId="6460" sId="1" odxf="1" dxf="1">
    <nc r="AB525" t="inlineStr">
      <is>
        <t>0</t>
      </is>
    </nc>
    <odxf/>
    <ndxf/>
  </rcc>
  <rfmt sheetId="1" sqref="A525:XFD525" start="0" length="0">
    <dxf/>
  </rfmt>
  <rcc rId="6461" sId="1" odxf="1" dxf="1">
    <nc r="A526" t="inlineStr">
      <is>
        <t>Zone 3</t>
      </is>
    </nc>
    <odxf/>
    <ndxf/>
  </rcc>
  <rcc rId="6462" sId="1" odxf="1" dxf="1">
    <nc r="B526" t="inlineStr">
      <is>
        <t>Lopro QC S3</t>
      </is>
    </nc>
    <odxf/>
    <ndxf/>
  </rcc>
  <rcc rId="6463" sId="1" odxf="1" dxf="1">
    <nc r="C526">
      <v>5.5</v>
    </nc>
    <odxf/>
    <ndxf/>
  </rcc>
  <rcc rId="6464" sId="1" odxf="1" dxf="1">
    <nc r="D526" t="inlineStr">
      <is>
        <t>24-014</t>
      </is>
    </nc>
    <odxf/>
    <ndxf/>
  </rcc>
  <rcc rId="6465" sId="1" odxf="1" dxf="1">
    <nc r="E526" t="inlineStr">
      <is>
        <t>W1027645/1</t>
      </is>
    </nc>
    <odxf/>
    <ndxf/>
  </rcc>
  <rcc rId="6466" sId="1" odxf="1" dxf="1">
    <nc r="F526" t="inlineStr">
      <is>
        <t>VER1/0270-1083</t>
      </is>
    </nc>
    <odxf/>
    <ndxf/>
  </rcc>
  <rcc rId="6467" sId="1" odxf="1" dxf="1">
    <nc r="G526" t="inlineStr">
      <is>
        <t>Spectrum QC HA S3</t>
      </is>
    </nc>
    <odxf/>
    <ndxf/>
  </rcc>
  <rcc rId="6468" sId="1" odxf="1" dxf="1">
    <nc r="H526">
      <v>149.98500000000001</v>
    </nc>
    <odxf/>
    <ndxf/>
  </rcc>
  <rcc rId="6469" sId="1" odxf="1" dxf="1">
    <nc r="I526">
      <v>27.27</v>
    </nc>
    <odxf/>
    <ndxf/>
  </rcc>
  <rcc rId="6470" sId="1" odxf="1" dxf="1">
    <nc r="J526">
      <v>600</v>
    </nc>
    <odxf/>
    <ndxf/>
  </rcc>
  <rcc rId="6471" sId="1" odxf="1" dxf="1">
    <nc r="K526">
      <v>0</v>
    </nc>
    <odxf/>
    <ndxf/>
  </rcc>
  <rcc rId="6472" sId="1" odxf="1" dxf="1" numFmtId="19">
    <nc r="L526">
      <v>46217.388888888891</v>
    </nc>
    <odxf/>
    <ndxf/>
  </rcc>
  <rcc rId="6473" sId="1" odxf="1" dxf="1" numFmtId="19">
    <nc r="M526">
      <v>46218.541666666664</v>
    </nc>
    <odxf/>
    <ndxf/>
  </rcc>
  <rfmt sheetId="1" sqref="N526" start="0" length="0">
    <dxf/>
  </rfmt>
  <rfmt sheetId="1" sqref="O526" start="0" length="0">
    <dxf/>
  </rfmt>
  <rfmt sheetId="1" sqref="P526" start="0" length="0">
    <dxf/>
  </rfmt>
  <rfmt sheetId="1" sqref="Q526" start="0" length="0">
    <dxf/>
  </rfmt>
  <rfmt sheetId="1" sqref="R526" start="0" length="0">
    <dxf/>
  </rfmt>
  <rfmt sheetId="1" sqref="S526" start="0" length="0">
    <dxf/>
  </rfmt>
  <rfmt sheetId="1" sqref="T526" start="0" length="0">
    <dxf/>
  </rfmt>
  <rfmt sheetId="1" sqref="U526" start="0" length="0">
    <dxf/>
  </rfmt>
  <rfmt sheetId="1" sqref="V526" start="0" length="0">
    <dxf/>
  </rfmt>
  <rfmt sheetId="1" sqref="W526" start="0" length="0">
    <dxf/>
  </rfmt>
  <rfmt sheetId="1" sqref="X526" start="0" length="0">
    <dxf/>
  </rfmt>
  <rfmt sheetId="1" sqref="Y526" start="0" length="0">
    <dxf/>
  </rfmt>
  <rfmt sheetId="1" sqref="Z526" start="0" length="0">
    <dxf/>
  </rfmt>
  <rcc rId="6474" sId="1" odxf="1" dxf="1">
    <nc r="AA526" t="inlineStr">
      <is>
        <t>1</t>
      </is>
    </nc>
    <odxf/>
    <ndxf/>
  </rcc>
  <rcc rId="6475" sId="1" odxf="1" dxf="1">
    <nc r="AB526" t="inlineStr">
      <is>
        <t>0</t>
      </is>
    </nc>
    <odxf/>
    <ndxf/>
  </rcc>
  <rfmt sheetId="1" sqref="A526:XFD526" start="0" length="0">
    <dxf/>
  </rfmt>
  <rcc rId="6476" sId="1" odxf="1" dxf="1">
    <nc r="A527" t="inlineStr">
      <is>
        <t>Zone 3</t>
      </is>
    </nc>
    <odxf/>
    <ndxf/>
  </rcc>
  <rcc rId="6477" sId="1" odxf="1" dxf="1">
    <nc r="B527" t="inlineStr">
      <is>
        <t>Lopro QC S3</t>
      </is>
    </nc>
    <odxf/>
    <ndxf/>
  </rcc>
  <rcc rId="6478" sId="1" odxf="1" dxf="1">
    <nc r="C527">
      <v>5.5</v>
    </nc>
    <odxf/>
    <ndxf/>
  </rcc>
  <rcc rId="6479" sId="1" odxf="1" dxf="1">
    <nc r="D527" t="inlineStr">
      <is>
        <t>24-014</t>
      </is>
    </nc>
    <odxf/>
    <ndxf/>
  </rcc>
  <rcc rId="6480" sId="1" odxf="1" dxf="1">
    <nc r="E527" t="inlineStr">
      <is>
        <t>W1027646/1</t>
      </is>
    </nc>
    <odxf/>
    <ndxf/>
  </rcc>
  <rcc rId="6481" sId="1" odxf="1" dxf="1">
    <nc r="F527" t="inlineStr">
      <is>
        <t>VER1/0270-1083</t>
      </is>
    </nc>
    <odxf/>
    <ndxf/>
  </rcc>
  <rcc rId="6482" sId="1" odxf="1" dxf="1">
    <nc r="G527" t="inlineStr">
      <is>
        <t>Spectrum QC HA S3</t>
      </is>
    </nc>
    <odxf/>
    <ndxf/>
  </rcc>
  <rcc rId="6483" sId="1" odxf="1" dxf="1">
    <nc r="H527">
      <v>149.98500000000001</v>
    </nc>
    <odxf/>
    <ndxf/>
  </rcc>
  <rcc rId="6484" sId="1" odxf="1" dxf="1">
    <nc r="I527">
      <v>27.27</v>
    </nc>
    <odxf/>
    <ndxf/>
  </rcc>
  <rcc rId="6485" sId="1" odxf="1" dxf="1">
    <nc r="J527">
      <v>600</v>
    </nc>
    <odxf/>
    <ndxf/>
  </rcc>
  <rcc rId="6486" sId="1" odxf="1" dxf="1">
    <nc r="K527">
      <v>0</v>
    </nc>
    <odxf/>
    <ndxf/>
  </rcc>
  <rcc rId="6487" sId="1" odxf="1" dxf="1" numFmtId="19">
    <nc r="L527">
      <v>46218.548611111109</v>
    </nc>
    <odxf/>
    <ndxf/>
  </rcc>
  <rcc rId="6488" sId="1" odxf="1" dxf="1" numFmtId="19">
    <nc r="M527">
      <v>46219.701388888891</v>
    </nc>
    <odxf/>
    <ndxf/>
  </rcc>
  <rfmt sheetId="1" sqref="N527" start="0" length="0">
    <dxf/>
  </rfmt>
  <rfmt sheetId="1" sqref="O527" start="0" length="0">
    <dxf/>
  </rfmt>
  <rfmt sheetId="1" sqref="P527" start="0" length="0">
    <dxf/>
  </rfmt>
  <rfmt sheetId="1" sqref="Q527" start="0" length="0">
    <dxf/>
  </rfmt>
  <rfmt sheetId="1" sqref="R527" start="0" length="0">
    <dxf/>
  </rfmt>
  <rfmt sheetId="1" sqref="S527" start="0" length="0">
    <dxf/>
  </rfmt>
  <rfmt sheetId="1" sqref="T527" start="0" length="0">
    <dxf/>
  </rfmt>
  <rfmt sheetId="1" sqref="U527" start="0" length="0">
    <dxf/>
  </rfmt>
  <rfmt sheetId="1" sqref="V527" start="0" length="0">
    <dxf/>
  </rfmt>
  <rfmt sheetId="1" sqref="W527" start="0" length="0">
    <dxf/>
  </rfmt>
  <rfmt sheetId="1" sqref="X527" start="0" length="0">
    <dxf/>
  </rfmt>
  <rfmt sheetId="1" sqref="Y527" start="0" length="0">
    <dxf/>
  </rfmt>
  <rfmt sheetId="1" sqref="Z527" start="0" length="0">
    <dxf/>
  </rfmt>
  <rcc rId="6489" sId="1" odxf="1" dxf="1">
    <nc r="AA527" t="inlineStr">
      <is>
        <t>1</t>
      </is>
    </nc>
    <odxf/>
    <ndxf/>
  </rcc>
  <rcc rId="6490" sId="1" odxf="1" dxf="1">
    <nc r="AB527" t="inlineStr">
      <is>
        <t>0</t>
      </is>
    </nc>
    <odxf/>
    <ndxf/>
  </rcc>
  <rfmt sheetId="1" sqref="A527:XFD527" start="0" length="0">
    <dxf/>
  </rfmt>
  <rcc rId="6491" sId="1" odxf="1" dxf="1">
    <nc r="A528" t="inlineStr">
      <is>
        <t>Zone 3</t>
      </is>
    </nc>
    <odxf/>
    <ndxf/>
  </rcc>
  <rcc rId="6492" sId="1" odxf="1" dxf="1">
    <nc r="B528" t="inlineStr">
      <is>
        <t>Lopro QC S3</t>
      </is>
    </nc>
    <odxf/>
    <ndxf/>
  </rcc>
  <rcc rId="6493" sId="1" odxf="1" dxf="1">
    <nc r="C528">
      <v>5.5</v>
    </nc>
    <odxf/>
    <ndxf/>
  </rcc>
  <rcc rId="6494" sId="1" odxf="1" dxf="1">
    <nc r="D528" t="inlineStr">
      <is>
        <t>24-014</t>
      </is>
    </nc>
    <odxf/>
    <ndxf/>
  </rcc>
  <rcc rId="6495" sId="1" odxf="1" dxf="1">
    <nc r="E528" t="inlineStr">
      <is>
        <t>W1027647/1</t>
      </is>
    </nc>
    <odxf/>
    <ndxf/>
  </rcc>
  <rcc rId="6496" sId="1" odxf="1" dxf="1">
    <nc r="F528" t="inlineStr">
      <is>
        <t>VER1/0270-1083</t>
      </is>
    </nc>
    <odxf/>
    <ndxf/>
  </rcc>
  <rcc rId="6497" sId="1" odxf="1" dxf="1">
    <nc r="G528" t="inlineStr">
      <is>
        <t>Spectrum QC HA S3</t>
      </is>
    </nc>
    <odxf/>
    <ndxf/>
  </rcc>
  <rcc rId="6498" sId="1" odxf="1" dxf="1">
    <nc r="H528">
      <v>149.98500000000001</v>
    </nc>
    <odxf/>
    <ndxf/>
  </rcc>
  <rcc rId="6499" sId="1" odxf="1" dxf="1">
    <nc r="I528">
      <v>27.27</v>
    </nc>
    <odxf/>
    <ndxf/>
  </rcc>
  <rcc rId="6500" sId="1" odxf="1" dxf="1">
    <nc r="J528">
      <v>600</v>
    </nc>
    <odxf/>
    <ndxf/>
  </rcc>
  <rcc rId="6501" sId="1" odxf="1" dxf="1">
    <nc r="K528">
      <v>0</v>
    </nc>
    <odxf/>
    <ndxf/>
  </rcc>
  <rcc rId="6502" sId="1" odxf="1" dxf="1" numFmtId="19">
    <nc r="L528">
      <v>46219.708333333336</v>
    </nc>
    <odxf/>
    <ndxf/>
  </rcc>
  <rcc rId="6503" sId="1" odxf="1" dxf="1" numFmtId="19">
    <nc r="M528">
      <v>46220.861111111109</v>
    </nc>
    <odxf/>
    <ndxf/>
  </rcc>
  <rfmt sheetId="1" sqref="N528" start="0" length="0">
    <dxf/>
  </rfmt>
  <rfmt sheetId="1" sqref="O528" start="0" length="0">
    <dxf/>
  </rfmt>
  <rfmt sheetId="1" sqref="P528" start="0" length="0">
    <dxf/>
  </rfmt>
  <rfmt sheetId="1" sqref="Q528" start="0" length="0">
    <dxf/>
  </rfmt>
  <rfmt sheetId="1" sqref="R528" start="0" length="0">
    <dxf/>
  </rfmt>
  <rfmt sheetId="1" sqref="S528" start="0" length="0">
    <dxf/>
  </rfmt>
  <rfmt sheetId="1" sqref="T528" start="0" length="0">
    <dxf/>
  </rfmt>
  <rfmt sheetId="1" sqref="U528" start="0" length="0">
    <dxf/>
  </rfmt>
  <rfmt sheetId="1" sqref="V528" start="0" length="0">
    <dxf/>
  </rfmt>
  <rfmt sheetId="1" sqref="W528" start="0" length="0">
    <dxf/>
  </rfmt>
  <rfmt sheetId="1" sqref="X528" start="0" length="0">
    <dxf/>
  </rfmt>
  <rfmt sheetId="1" sqref="Y528" start="0" length="0">
    <dxf/>
  </rfmt>
  <rfmt sheetId="1" sqref="Z528" start="0" length="0">
    <dxf/>
  </rfmt>
  <rcc rId="6504" sId="1" odxf="1" dxf="1">
    <nc r="AA528" t="inlineStr">
      <is>
        <t>1</t>
      </is>
    </nc>
    <odxf/>
    <ndxf/>
  </rcc>
  <rcc rId="6505" sId="1" odxf="1" dxf="1">
    <nc r="AB528" t="inlineStr">
      <is>
        <t>0</t>
      </is>
    </nc>
    <odxf/>
    <ndxf/>
  </rcc>
  <rfmt sheetId="1" sqref="A528:XFD528" start="0" length="0">
    <dxf/>
  </rfmt>
  <rcc rId="6506" sId="1" odxf="1" dxf="1">
    <nc r="A529" t="inlineStr">
      <is>
        <t>Zone 3</t>
      </is>
    </nc>
    <odxf/>
    <ndxf/>
  </rcc>
  <rcc rId="6507" sId="1" odxf="1" dxf="1">
    <nc r="B529" t="inlineStr">
      <is>
        <t>Lopro QC S3</t>
      </is>
    </nc>
    <odxf/>
    <ndxf/>
  </rcc>
  <rcc rId="6508" sId="1" odxf="1" dxf="1">
    <nc r="C529">
      <v>5.5</v>
    </nc>
    <odxf/>
    <ndxf/>
  </rcc>
  <rcc rId="6509" sId="1" odxf="1" dxf="1">
    <nc r="D529" t="inlineStr">
      <is>
        <t>24-014</t>
      </is>
    </nc>
    <odxf/>
    <ndxf/>
  </rcc>
  <rcc rId="6510" sId="1" odxf="1" dxf="1">
    <nc r="E529" t="inlineStr">
      <is>
        <t>W1027648/1</t>
      </is>
    </nc>
    <odxf/>
    <ndxf/>
  </rcc>
  <rcc rId="6511" sId="1" odxf="1" dxf="1">
    <nc r="F529" t="inlineStr">
      <is>
        <t>VER1/0270-1083</t>
      </is>
    </nc>
    <odxf/>
    <ndxf/>
  </rcc>
  <rcc rId="6512" sId="1" odxf="1" dxf="1">
    <nc r="G529" t="inlineStr">
      <is>
        <t>Spectrum QC HA S3</t>
      </is>
    </nc>
    <odxf/>
    <ndxf/>
  </rcc>
  <rcc rId="6513" sId="1" odxf="1" dxf="1">
    <nc r="H529">
      <v>75.02</v>
    </nc>
    <odxf/>
    <ndxf/>
  </rcc>
  <rcc rId="6514" sId="1" odxf="1" dxf="1">
    <nc r="I529">
      <v>13.64</v>
    </nc>
    <odxf/>
    <ndxf/>
  </rcc>
  <rcc rId="6515" sId="1" odxf="1" dxf="1">
    <nc r="J529">
      <v>300</v>
    </nc>
    <odxf/>
    <ndxf/>
  </rcc>
  <rcc rId="6516" sId="1" odxf="1" dxf="1">
    <nc r="K529">
      <v>0</v>
    </nc>
    <odxf/>
    <ndxf/>
  </rcc>
  <rcc rId="6517" sId="1" odxf="1" dxf="1" numFmtId="19">
    <nc r="L529">
      <v>46220.868055555555</v>
    </nc>
    <odxf/>
    <ndxf/>
  </rcc>
  <rcc rId="6518" sId="1" odxf="1" dxf="1" numFmtId="19">
    <nc r="M529">
      <v>46223.451388888891</v>
    </nc>
    <odxf/>
    <ndxf/>
  </rcc>
  <rfmt sheetId="1" sqref="N529" start="0" length="0">
    <dxf/>
  </rfmt>
  <rfmt sheetId="1" sqref="O529" start="0" length="0">
    <dxf/>
  </rfmt>
  <rfmt sheetId="1" sqref="P529" start="0" length="0">
    <dxf/>
  </rfmt>
  <rfmt sheetId="1" sqref="Q529" start="0" length="0">
    <dxf/>
  </rfmt>
  <rfmt sheetId="1" sqref="R529" start="0" length="0">
    <dxf/>
  </rfmt>
  <rfmt sheetId="1" sqref="S529" start="0" length="0">
    <dxf/>
  </rfmt>
  <rfmt sheetId="1" sqref="T529" start="0" length="0">
    <dxf/>
  </rfmt>
  <rfmt sheetId="1" sqref="U529" start="0" length="0">
    <dxf/>
  </rfmt>
  <rfmt sheetId="1" sqref="V529" start="0" length="0">
    <dxf/>
  </rfmt>
  <rfmt sheetId="1" sqref="W529" start="0" length="0">
    <dxf/>
  </rfmt>
  <rfmt sheetId="1" sqref="X529" start="0" length="0">
    <dxf/>
  </rfmt>
  <rfmt sheetId="1" sqref="Y529" start="0" length="0">
    <dxf/>
  </rfmt>
  <rfmt sheetId="1" sqref="Z529" start="0" length="0">
    <dxf/>
  </rfmt>
  <rcc rId="6519" sId="1" odxf="1" dxf="1">
    <nc r="AA529" t="inlineStr">
      <is>
        <t>1</t>
      </is>
    </nc>
    <odxf/>
    <ndxf/>
  </rcc>
  <rcc rId="6520" sId="1" odxf="1" dxf="1">
    <nc r="AB529" t="inlineStr">
      <is>
        <t>0</t>
      </is>
    </nc>
    <odxf/>
    <ndxf/>
  </rcc>
  <rfmt sheetId="1" sqref="A529:XFD529" start="0" length="0">
    <dxf/>
  </rfmt>
  <rfmt sheetId="1" sqref="A530" start="0" length="0">
    <dxf>
      <fill>
        <patternFill patternType="solid">
          <bgColor theme="0" tint="-4.9989318521683403E-2"/>
        </patternFill>
      </fill>
    </dxf>
  </rfmt>
  <rfmt sheetId="1" sqref="B530" start="0" length="0">
    <dxf>
      <fill>
        <patternFill patternType="solid">
          <bgColor theme="0" tint="-4.9989318521683403E-2"/>
        </patternFill>
      </fill>
    </dxf>
  </rfmt>
  <rfmt sheetId="1" sqref="C530" start="0" length="0">
    <dxf>
      <fill>
        <patternFill patternType="solid">
          <bgColor theme="0" tint="-4.9989318521683403E-2"/>
        </patternFill>
      </fill>
    </dxf>
  </rfmt>
  <rfmt sheetId="1" sqref="D530" start="0" length="0">
    <dxf>
      <fill>
        <patternFill patternType="solid">
          <bgColor theme="0" tint="-4.9989318521683403E-2"/>
        </patternFill>
      </fill>
    </dxf>
  </rfmt>
  <rfmt sheetId="1" sqref="E530" start="0" length="0">
    <dxf>
      <fill>
        <patternFill patternType="solid">
          <bgColor theme="0" tint="-4.9989318521683403E-2"/>
        </patternFill>
      </fill>
    </dxf>
  </rfmt>
  <rfmt sheetId="1" sqref="F530" start="0" length="0">
    <dxf>
      <fill>
        <patternFill patternType="solid">
          <bgColor theme="0" tint="-4.9989318521683403E-2"/>
        </patternFill>
      </fill>
    </dxf>
  </rfmt>
  <rfmt sheetId="1" sqref="G530" start="0" length="0">
    <dxf>
      <fill>
        <patternFill patternType="solid">
          <bgColor theme="0" tint="-4.9989318521683403E-2"/>
        </patternFill>
      </fill>
    </dxf>
  </rfmt>
  <rfmt sheetId="1" sqref="H530" start="0" length="0">
    <dxf>
      <fill>
        <patternFill patternType="solid">
          <bgColor theme="0" tint="-4.9989318521683403E-2"/>
        </patternFill>
      </fill>
    </dxf>
  </rfmt>
  <rfmt sheetId="1" sqref="I530" start="0" length="0">
    <dxf>
      <fill>
        <patternFill patternType="solid">
          <bgColor theme="0" tint="-4.9989318521683403E-2"/>
        </patternFill>
      </fill>
    </dxf>
  </rfmt>
  <rfmt sheetId="1" sqref="J530" start="0" length="0">
    <dxf>
      <fill>
        <patternFill patternType="solid">
          <bgColor theme="0" tint="-4.9989318521683403E-2"/>
        </patternFill>
      </fill>
    </dxf>
  </rfmt>
  <rfmt sheetId="1" sqref="K530" start="0" length="0">
    <dxf>
      <fill>
        <patternFill patternType="solid">
          <bgColor theme="0" tint="-4.9989318521683403E-2"/>
        </patternFill>
      </fill>
    </dxf>
  </rfmt>
  <rfmt sheetId="1" sqref="L530" start="0" length="0">
    <dxf>
      <fill>
        <patternFill patternType="solid">
          <bgColor theme="0" tint="-4.9989318521683403E-2"/>
        </patternFill>
      </fill>
    </dxf>
  </rfmt>
  <rfmt sheetId="1" sqref="M530" start="0" length="0">
    <dxf>
      <fill>
        <patternFill patternType="solid">
          <bgColor theme="0" tint="-4.9989318521683403E-2"/>
        </patternFill>
      </fill>
    </dxf>
  </rfmt>
  <rfmt sheetId="1" sqref="N530" start="0" length="0">
    <dxf>
      <fill>
        <patternFill patternType="solid">
          <bgColor theme="0" tint="-4.9989318521683403E-2"/>
        </patternFill>
      </fill>
    </dxf>
  </rfmt>
  <rfmt sheetId="1" sqref="O530" start="0" length="0">
    <dxf>
      <fill>
        <patternFill patternType="solid">
          <bgColor theme="0" tint="-4.9989318521683403E-2"/>
        </patternFill>
      </fill>
    </dxf>
  </rfmt>
  <rfmt sheetId="1" sqref="P530" start="0" length="0">
    <dxf>
      <fill>
        <patternFill patternType="solid">
          <bgColor theme="0" tint="-4.9989318521683403E-2"/>
        </patternFill>
      </fill>
    </dxf>
  </rfmt>
  <rfmt sheetId="1" sqref="Q530" start="0" length="0">
    <dxf>
      <fill>
        <patternFill patternType="solid">
          <bgColor theme="0" tint="-4.9989318521683403E-2"/>
        </patternFill>
      </fill>
    </dxf>
  </rfmt>
  <rfmt sheetId="1" sqref="R530" start="0" length="0">
    <dxf>
      <fill>
        <patternFill patternType="solid">
          <bgColor theme="0" tint="-4.9989318521683403E-2"/>
        </patternFill>
      </fill>
    </dxf>
  </rfmt>
  <rfmt sheetId="1" sqref="S530" start="0" length="0">
    <dxf>
      <fill>
        <patternFill patternType="solid">
          <bgColor theme="0" tint="-4.9989318521683403E-2"/>
        </patternFill>
      </fill>
    </dxf>
  </rfmt>
  <rfmt sheetId="1" sqref="T530" start="0" length="0">
    <dxf>
      <fill>
        <patternFill patternType="solid">
          <bgColor theme="0" tint="-4.9989318521683403E-2"/>
        </patternFill>
      </fill>
    </dxf>
  </rfmt>
  <rfmt sheetId="1" sqref="U530" start="0" length="0">
    <dxf>
      <fill>
        <patternFill patternType="solid">
          <bgColor theme="0" tint="-4.9989318521683403E-2"/>
        </patternFill>
      </fill>
    </dxf>
  </rfmt>
  <rfmt sheetId="1" sqref="V530" start="0" length="0">
    <dxf>
      <fill>
        <patternFill patternType="solid">
          <bgColor theme="0" tint="-4.9989318521683403E-2"/>
        </patternFill>
      </fill>
    </dxf>
  </rfmt>
  <rfmt sheetId="1" sqref="W530" start="0" length="0">
    <dxf>
      <fill>
        <patternFill patternType="solid">
          <bgColor theme="0" tint="-4.9989318521683403E-2"/>
        </patternFill>
      </fill>
    </dxf>
  </rfmt>
  <rfmt sheetId="1" sqref="X530" start="0" length="0">
    <dxf>
      <fill>
        <patternFill patternType="solid">
          <bgColor theme="0" tint="-4.9989318521683403E-2"/>
        </patternFill>
      </fill>
    </dxf>
  </rfmt>
  <rfmt sheetId="1" sqref="Y530" start="0" length="0">
    <dxf>
      <fill>
        <patternFill patternType="solid">
          <bgColor theme="0" tint="-4.9989318521683403E-2"/>
        </patternFill>
      </fill>
    </dxf>
  </rfmt>
  <rfmt sheetId="1" sqref="Z530" start="0" length="0">
    <dxf>
      <fill>
        <patternFill patternType="solid">
          <bgColor theme="0" tint="-4.9989318521683403E-2"/>
        </patternFill>
      </fill>
    </dxf>
  </rfmt>
  <rfmt sheetId="1" sqref="AA530" start="0" length="0">
    <dxf>
      <fill>
        <patternFill patternType="solid">
          <bgColor theme="0" tint="-4.9989318521683403E-2"/>
        </patternFill>
      </fill>
    </dxf>
  </rfmt>
  <rfmt sheetId="1" sqref="AB530" start="0" length="0">
    <dxf>
      <fill>
        <patternFill patternType="solid">
          <bgColor theme="0" tint="-4.9989318521683403E-2"/>
        </patternFill>
      </fill>
    </dxf>
  </rfmt>
  <rfmt sheetId="1" sqref="A530:XFD530" start="0" length="0">
    <dxf>
      <fill>
        <patternFill patternType="solid">
          <bgColor theme="0" tint="-4.9989318521683403E-2"/>
        </patternFill>
      </fill>
    </dxf>
  </rfmt>
  <rcc rId="6521" sId="1" odxf="1" dxf="1">
    <nc r="A531" t="inlineStr">
      <is>
        <t>Zone 3</t>
      </is>
    </nc>
    <odxf/>
    <ndxf/>
  </rcc>
  <rcc rId="6522" sId="1" odxf="1" dxf="1">
    <nc r="B531" t="inlineStr">
      <is>
        <t>Lopro QC S3</t>
      </is>
    </nc>
    <odxf/>
    <ndxf/>
  </rcc>
  <rcc rId="6523" sId="1" odxf="1" dxf="1">
    <nc r="C531">
      <v>5.5</v>
    </nc>
    <odxf/>
    <ndxf/>
  </rcc>
  <rcc rId="6524" sId="1" odxf="1" dxf="1">
    <nc r="D531" t="inlineStr">
      <is>
        <t>24-014</t>
      </is>
    </nc>
    <odxf/>
    <ndxf/>
  </rcc>
  <rcc rId="6525" sId="1" odxf="1" dxf="1">
    <nc r="E531" t="inlineStr">
      <is>
        <t>W1027649/1</t>
      </is>
    </nc>
    <odxf/>
    <ndxf/>
  </rcc>
  <rcc rId="6526" sId="1" odxf="1" dxf="1">
    <nc r="F531" t="inlineStr">
      <is>
        <t>VER1/0270-1083</t>
      </is>
    </nc>
    <odxf/>
    <ndxf/>
  </rcc>
  <rcc rId="6527" sId="1" odxf="1" dxf="1">
    <nc r="G531" t="inlineStr">
      <is>
        <t>Spectrum QC HA S3</t>
      </is>
    </nc>
    <odxf/>
    <ndxf/>
  </rcc>
  <rcc rId="6528" sId="1" odxf="1" dxf="1">
    <nc r="H531">
      <v>149.98500000000001</v>
    </nc>
    <odxf/>
    <ndxf/>
  </rcc>
  <rcc rId="6529" sId="1" odxf="1" dxf="1">
    <nc r="I531">
      <v>27.27</v>
    </nc>
    <odxf/>
    <ndxf/>
  </rcc>
  <rcc rId="6530" sId="1" odxf="1" dxf="1">
    <nc r="J531">
      <v>600</v>
    </nc>
    <odxf/>
    <ndxf/>
  </rcc>
  <rcc rId="6531" sId="1" odxf="1" dxf="1">
    <nc r="K531">
      <v>0</v>
    </nc>
    <odxf/>
    <ndxf/>
  </rcc>
  <rcc rId="6532" sId="1" odxf="1" dxf="1" numFmtId="19">
    <nc r="L531">
      <v>46223.458333333336</v>
    </nc>
    <odxf/>
    <ndxf/>
  </rcc>
  <rcc rId="6533" sId="1" odxf="1" dxf="1" numFmtId="19">
    <nc r="M531">
      <v>46224.611111111109</v>
    </nc>
    <odxf/>
    <ndxf/>
  </rcc>
  <rfmt sheetId="1" sqref="N531" start="0" length="0">
    <dxf/>
  </rfmt>
  <rfmt sheetId="1" sqref="O531" start="0" length="0">
    <dxf/>
  </rfmt>
  <rfmt sheetId="1" sqref="P531" start="0" length="0">
    <dxf/>
  </rfmt>
  <rfmt sheetId="1" sqref="Q531" start="0" length="0">
    <dxf/>
  </rfmt>
  <rfmt sheetId="1" sqref="R531" start="0" length="0">
    <dxf/>
  </rfmt>
  <rfmt sheetId="1" sqref="S531" start="0" length="0">
    <dxf/>
  </rfmt>
  <rfmt sheetId="1" sqref="T531" start="0" length="0">
    <dxf/>
  </rfmt>
  <rfmt sheetId="1" sqref="U531" start="0" length="0">
    <dxf/>
  </rfmt>
  <rfmt sheetId="1" sqref="V531" start="0" length="0">
    <dxf/>
  </rfmt>
  <rfmt sheetId="1" sqref="W531" start="0" length="0">
    <dxf/>
  </rfmt>
  <rfmt sheetId="1" sqref="X531" start="0" length="0">
    <dxf/>
  </rfmt>
  <rfmt sheetId="1" sqref="Y531" start="0" length="0">
    <dxf/>
  </rfmt>
  <rfmt sheetId="1" sqref="Z531" start="0" length="0">
    <dxf/>
  </rfmt>
  <rcc rId="6534" sId="1" odxf="1" dxf="1">
    <nc r="AA531" t="inlineStr">
      <is>
        <t>1</t>
      </is>
    </nc>
    <odxf/>
    <ndxf/>
  </rcc>
  <rcc rId="6535" sId="1" odxf="1" dxf="1">
    <nc r="AB531" t="inlineStr">
      <is>
        <t>0</t>
      </is>
    </nc>
    <odxf/>
    <ndxf/>
  </rcc>
  <rfmt sheetId="1" sqref="A531:XFD531" start="0" length="0">
    <dxf/>
  </rfmt>
  <rcc rId="6536" sId="1" odxf="1" dxf="1">
    <nc r="A532" t="inlineStr">
      <is>
        <t>Zone 3</t>
      </is>
    </nc>
    <odxf/>
    <ndxf/>
  </rcc>
  <rcc rId="6537" sId="1" odxf="1" dxf="1">
    <nc r="B532" t="inlineStr">
      <is>
        <t>Lopro QC S3</t>
      </is>
    </nc>
    <odxf/>
    <ndxf/>
  </rcc>
  <rcc rId="6538" sId="1" odxf="1" dxf="1">
    <nc r="C532">
      <v>5.5</v>
    </nc>
    <odxf/>
    <ndxf/>
  </rcc>
  <rcc rId="6539" sId="1" odxf="1" dxf="1">
    <nc r="D532" t="inlineStr">
      <is>
        <t>24-014</t>
      </is>
    </nc>
    <odxf/>
    <ndxf/>
  </rcc>
  <rcc rId="6540" sId="1" odxf="1" dxf="1">
    <nc r="E532" t="inlineStr">
      <is>
        <t>W1027650/1</t>
      </is>
    </nc>
    <odxf/>
    <ndxf/>
  </rcc>
  <rcc rId="6541" sId="1" odxf="1" dxf="1">
    <nc r="F532" t="inlineStr">
      <is>
        <t>VER1/0270-1083</t>
      </is>
    </nc>
    <odxf/>
    <ndxf/>
  </rcc>
  <rcc rId="6542" sId="1" odxf="1" dxf="1">
    <nc r="G532" t="inlineStr">
      <is>
        <t>Spectrum QC HA S3</t>
      </is>
    </nc>
    <odxf/>
    <ndxf/>
  </rcc>
  <rcc rId="6543" sId="1" odxf="1" dxf="1">
    <nc r="H532">
      <v>149.98500000000001</v>
    </nc>
    <odxf/>
    <ndxf/>
  </rcc>
  <rcc rId="6544" sId="1" odxf="1" dxf="1">
    <nc r="I532">
      <v>27.27</v>
    </nc>
    <odxf/>
    <ndxf/>
  </rcc>
  <rcc rId="6545" sId="1" odxf="1" dxf="1">
    <nc r="J532">
      <v>600</v>
    </nc>
    <odxf/>
    <ndxf/>
  </rcc>
  <rcc rId="6546" sId="1" odxf="1" dxf="1">
    <nc r="K532">
      <v>0</v>
    </nc>
    <odxf/>
    <ndxf/>
  </rcc>
  <rcc rId="6547" sId="1" odxf="1" dxf="1" numFmtId="19">
    <nc r="L532">
      <v>46224.618055555555</v>
    </nc>
    <odxf/>
    <ndxf/>
  </rcc>
  <rcc rId="6548" sId="1" odxf="1" dxf="1" numFmtId="19">
    <nc r="M532">
      <v>46225.770833333336</v>
    </nc>
    <odxf/>
    <ndxf/>
  </rcc>
  <rfmt sheetId="1" sqref="N532" start="0" length="0">
    <dxf/>
  </rfmt>
  <rfmt sheetId="1" sqref="O532" start="0" length="0">
    <dxf/>
  </rfmt>
  <rfmt sheetId="1" sqref="P532" start="0" length="0">
    <dxf/>
  </rfmt>
  <rfmt sheetId="1" sqref="Q532" start="0" length="0">
    <dxf/>
  </rfmt>
  <rfmt sheetId="1" sqref="R532" start="0" length="0">
    <dxf/>
  </rfmt>
  <rfmt sheetId="1" sqref="S532" start="0" length="0">
    <dxf/>
  </rfmt>
  <rfmt sheetId="1" sqref="T532" start="0" length="0">
    <dxf/>
  </rfmt>
  <rfmt sheetId="1" sqref="U532" start="0" length="0">
    <dxf/>
  </rfmt>
  <rfmt sheetId="1" sqref="V532" start="0" length="0">
    <dxf/>
  </rfmt>
  <rfmt sheetId="1" sqref="W532" start="0" length="0">
    <dxf/>
  </rfmt>
  <rfmt sheetId="1" sqref="X532" start="0" length="0">
    <dxf/>
  </rfmt>
  <rfmt sheetId="1" sqref="Y532" start="0" length="0">
    <dxf/>
  </rfmt>
  <rfmt sheetId="1" sqref="Z532" start="0" length="0">
    <dxf/>
  </rfmt>
  <rcc rId="6549" sId="1" odxf="1" dxf="1">
    <nc r="AA532" t="inlineStr">
      <is>
        <t>1</t>
      </is>
    </nc>
    <odxf/>
    <ndxf/>
  </rcc>
  <rcc rId="6550" sId="1" odxf="1" dxf="1">
    <nc r="AB532" t="inlineStr">
      <is>
        <t>0</t>
      </is>
    </nc>
    <odxf/>
    <ndxf/>
  </rcc>
  <rfmt sheetId="1" sqref="A532:XFD532" start="0" length="0">
    <dxf/>
  </rfmt>
  <rcc rId="6551" sId="1" odxf="1" dxf="1">
    <nc r="A533" t="inlineStr">
      <is>
        <t>Zone 3</t>
      </is>
    </nc>
    <odxf/>
    <ndxf/>
  </rcc>
  <rcc rId="6552" sId="1" odxf="1" dxf="1">
    <nc r="B533" t="inlineStr">
      <is>
        <t>Lopro QC S3</t>
      </is>
    </nc>
    <odxf/>
    <ndxf/>
  </rcc>
  <rcc rId="6553" sId="1" odxf="1" dxf="1">
    <nc r="C533">
      <v>5.5</v>
    </nc>
    <odxf/>
    <ndxf/>
  </rcc>
  <rcc rId="6554" sId="1" odxf="1" dxf="1">
    <nc r="D533" t="inlineStr">
      <is>
        <t>24-014</t>
      </is>
    </nc>
    <odxf/>
    <ndxf/>
  </rcc>
  <rcc rId="6555" sId="1" odxf="1" dxf="1">
    <nc r="E533" t="inlineStr">
      <is>
        <t>W1027651/1</t>
      </is>
    </nc>
    <odxf/>
    <ndxf/>
  </rcc>
  <rcc rId="6556" sId="1" odxf="1" dxf="1">
    <nc r="F533" t="inlineStr">
      <is>
        <t>VER1/0270-1083</t>
      </is>
    </nc>
    <odxf/>
    <ndxf/>
  </rcc>
  <rcc rId="6557" sId="1" odxf="1" dxf="1">
    <nc r="G533" t="inlineStr">
      <is>
        <t>Spectrum QC HA S3</t>
      </is>
    </nc>
    <odxf/>
    <ndxf/>
  </rcc>
  <rcc rId="6558" sId="1" odxf="1" dxf="1">
    <nc r="H533">
      <v>149.98500000000001</v>
    </nc>
    <odxf/>
    <ndxf/>
  </rcc>
  <rcc rId="6559" sId="1" odxf="1" dxf="1">
    <nc r="I533">
      <v>27.27</v>
    </nc>
    <odxf/>
    <ndxf/>
  </rcc>
  <rcc rId="6560" sId="1" odxf="1" dxf="1">
    <nc r="J533">
      <v>600</v>
    </nc>
    <odxf/>
    <ndxf/>
  </rcc>
  <rcc rId="6561" sId="1" odxf="1" dxf="1">
    <nc r="K533">
      <v>0</v>
    </nc>
    <odxf/>
    <ndxf/>
  </rcc>
  <rcc rId="6562" sId="1" odxf="1" dxf="1" numFmtId="19">
    <nc r="L533">
      <v>46225.777777777781</v>
    </nc>
    <odxf/>
    <ndxf/>
  </rcc>
  <rcc rId="6563" sId="1" odxf="1" dxf="1" numFmtId="19">
    <nc r="M533">
      <v>46226.930555555555</v>
    </nc>
    <odxf/>
    <ndxf/>
  </rcc>
  <rfmt sheetId="1" sqref="N533" start="0" length="0">
    <dxf/>
  </rfmt>
  <rfmt sheetId="1" sqref="O533" start="0" length="0">
    <dxf/>
  </rfmt>
  <rfmt sheetId="1" sqref="P533" start="0" length="0">
    <dxf/>
  </rfmt>
  <rfmt sheetId="1" sqref="Q533" start="0" length="0">
    <dxf/>
  </rfmt>
  <rfmt sheetId="1" sqref="R533" start="0" length="0">
    <dxf/>
  </rfmt>
  <rfmt sheetId="1" sqref="S533" start="0" length="0">
    <dxf/>
  </rfmt>
  <rfmt sheetId="1" sqref="T533" start="0" length="0">
    <dxf/>
  </rfmt>
  <rfmt sheetId="1" sqref="U533" start="0" length="0">
    <dxf/>
  </rfmt>
  <rfmt sheetId="1" sqref="V533" start="0" length="0">
    <dxf/>
  </rfmt>
  <rfmt sheetId="1" sqref="W533" start="0" length="0">
    <dxf/>
  </rfmt>
  <rfmt sheetId="1" sqref="X533" start="0" length="0">
    <dxf/>
  </rfmt>
  <rfmt sheetId="1" sqref="Y533" start="0" length="0">
    <dxf/>
  </rfmt>
  <rfmt sheetId="1" sqref="Z533" start="0" length="0">
    <dxf/>
  </rfmt>
  <rcc rId="6564" sId="1" odxf="1" dxf="1">
    <nc r="AA533" t="inlineStr">
      <is>
        <t>1</t>
      </is>
    </nc>
    <odxf/>
    <ndxf/>
  </rcc>
  <rcc rId="6565" sId="1" odxf="1" dxf="1">
    <nc r="AB533" t="inlineStr">
      <is>
        <t>0</t>
      </is>
    </nc>
    <odxf/>
    <ndxf/>
  </rcc>
  <rfmt sheetId="1" sqref="A533:XFD533" start="0" length="0">
    <dxf/>
  </rfmt>
  <rcc rId="6566" sId="1" odxf="1" dxf="1">
    <nc r="A534" t="inlineStr">
      <is>
        <t>Zone 3</t>
      </is>
    </nc>
    <odxf/>
    <ndxf/>
  </rcc>
  <rcc rId="6567" sId="1" odxf="1" dxf="1">
    <nc r="B534" t="inlineStr">
      <is>
        <t>Lopro QC S3</t>
      </is>
    </nc>
    <odxf/>
    <ndxf/>
  </rcc>
  <rcc rId="6568" sId="1" odxf="1" dxf="1">
    <nc r="C534">
      <v>5.5</v>
    </nc>
    <odxf/>
    <ndxf/>
  </rcc>
  <rcc rId="6569" sId="1" odxf="1" dxf="1">
    <nc r="D534" t="inlineStr">
      <is>
        <t>24-014</t>
      </is>
    </nc>
    <odxf/>
    <ndxf/>
  </rcc>
  <rcc rId="6570" sId="1" odxf="1" dxf="1">
    <nc r="E534" t="inlineStr">
      <is>
        <t>W1027652/1</t>
      </is>
    </nc>
    <odxf/>
    <ndxf/>
  </rcc>
  <rcc rId="6571" sId="1" odxf="1" dxf="1">
    <nc r="F534" t="inlineStr">
      <is>
        <t>VER1/0270-1083</t>
      </is>
    </nc>
    <odxf/>
    <ndxf/>
  </rcc>
  <rcc rId="6572" sId="1" odxf="1" dxf="1">
    <nc r="G534" t="inlineStr">
      <is>
        <t>Spectrum QC HA S3</t>
      </is>
    </nc>
    <odxf/>
    <ndxf/>
  </rcc>
  <rcc rId="6573" sId="1" odxf="1" dxf="1">
    <nc r="H534">
      <v>149.98500000000001</v>
    </nc>
    <odxf/>
    <ndxf/>
  </rcc>
  <rcc rId="6574" sId="1" odxf="1" dxf="1">
    <nc r="I534">
      <v>27.27</v>
    </nc>
    <odxf/>
    <ndxf/>
  </rcc>
  <rcc rId="6575" sId="1" odxf="1" dxf="1">
    <nc r="J534">
      <v>600</v>
    </nc>
    <odxf/>
    <ndxf/>
  </rcc>
  <rcc rId="6576" sId="1" odxf="1" dxf="1">
    <nc r="K534">
      <v>0</v>
    </nc>
    <odxf/>
    <ndxf/>
  </rcc>
  <rcc rId="6577" sId="1" odxf="1" dxf="1" numFmtId="19">
    <nc r="L534">
      <v>46226.9375</v>
    </nc>
    <odxf/>
    <ndxf/>
  </rcc>
  <rcc rId="6578" sId="1" odxf="1" dxf="1" numFmtId="19">
    <nc r="M534">
      <v>46230.090277777781</v>
    </nc>
    <odxf/>
    <ndxf/>
  </rcc>
  <rfmt sheetId="1" sqref="N534" start="0" length="0">
    <dxf/>
  </rfmt>
  <rfmt sheetId="1" sqref="O534" start="0" length="0">
    <dxf/>
  </rfmt>
  <rfmt sheetId="1" sqref="P534" start="0" length="0">
    <dxf/>
  </rfmt>
  <rfmt sheetId="1" sqref="Q534" start="0" length="0">
    <dxf/>
  </rfmt>
  <rfmt sheetId="1" sqref="R534" start="0" length="0">
    <dxf/>
  </rfmt>
  <rfmt sheetId="1" sqref="S534" start="0" length="0">
    <dxf/>
  </rfmt>
  <rfmt sheetId="1" sqref="T534" start="0" length="0">
    <dxf/>
  </rfmt>
  <rfmt sheetId="1" sqref="U534" start="0" length="0">
    <dxf/>
  </rfmt>
  <rfmt sheetId="1" sqref="V534" start="0" length="0">
    <dxf/>
  </rfmt>
  <rfmt sheetId="1" sqref="W534" start="0" length="0">
    <dxf/>
  </rfmt>
  <rfmt sheetId="1" sqref="X534" start="0" length="0">
    <dxf/>
  </rfmt>
  <rfmt sheetId="1" sqref="Y534" start="0" length="0">
    <dxf/>
  </rfmt>
  <rfmt sheetId="1" sqref="Z534" start="0" length="0">
    <dxf/>
  </rfmt>
  <rcc rId="6579" sId="1" odxf="1" dxf="1">
    <nc r="AA534" t="inlineStr">
      <is>
        <t>1</t>
      </is>
    </nc>
    <odxf/>
    <ndxf/>
  </rcc>
  <rcc rId="6580" sId="1" odxf="1" dxf="1">
    <nc r="AB534" t="inlineStr">
      <is>
        <t>0</t>
      </is>
    </nc>
    <odxf/>
    <ndxf/>
  </rcc>
  <rfmt sheetId="1" sqref="A534:XFD534" start="0" length="0">
    <dxf/>
  </rfmt>
  <rcc rId="6581" sId="1" odxf="1" dxf="1">
    <nc r="A535" t="inlineStr">
      <is>
        <t>Zone 3</t>
      </is>
    </nc>
    <odxf/>
    <ndxf/>
  </rcc>
  <rcc rId="6582" sId="1" odxf="1" dxf="1">
    <nc r="B535" t="inlineStr">
      <is>
        <t>Lopro QC S3</t>
      </is>
    </nc>
    <odxf/>
    <ndxf/>
  </rcc>
  <rcc rId="6583" sId="1" odxf="1" dxf="1">
    <nc r="C535">
      <v>5.5</v>
    </nc>
    <odxf/>
    <ndxf/>
  </rcc>
  <rcc rId="6584" sId="1" odxf="1" dxf="1">
    <nc r="D535" t="inlineStr">
      <is>
        <t>24-014</t>
      </is>
    </nc>
    <odxf/>
    <ndxf/>
  </rcc>
  <rcc rId="6585" sId="1" odxf="1" dxf="1">
    <nc r="E535" t="inlineStr">
      <is>
        <t>W1027653/1</t>
      </is>
    </nc>
    <odxf/>
    <ndxf/>
  </rcc>
  <rcc rId="6586" sId="1" odxf="1" dxf="1">
    <nc r="F535" t="inlineStr">
      <is>
        <t>VER1/0270-1083</t>
      </is>
    </nc>
    <odxf/>
    <ndxf/>
  </rcc>
  <rcc rId="6587" sId="1" odxf="1" dxf="1">
    <nc r="G535" t="inlineStr">
      <is>
        <t>Spectrum QC HA S3</t>
      </is>
    </nc>
    <odxf/>
    <ndxf/>
  </rcc>
  <rcc rId="6588" sId="1" odxf="1" dxf="1">
    <nc r="H535">
      <v>75.02</v>
    </nc>
    <odxf/>
    <ndxf/>
  </rcc>
  <rcc rId="6589" sId="1" odxf="1" dxf="1">
    <nc r="I535">
      <v>13.64</v>
    </nc>
    <odxf/>
    <ndxf/>
  </rcc>
  <rcc rId="6590" sId="1" odxf="1" dxf="1">
    <nc r="J535">
      <v>300</v>
    </nc>
    <odxf/>
    <ndxf/>
  </rcc>
  <rcc rId="6591" sId="1" odxf="1" dxf="1">
    <nc r="K535">
      <v>0</v>
    </nc>
    <odxf/>
    <ndxf/>
  </rcc>
  <rcc rId="6592" sId="1" odxf="1" dxf="1" numFmtId="19">
    <nc r="L535">
      <v>46230.097222222219</v>
    </nc>
    <odxf/>
    <ndxf/>
  </rcc>
  <rcc rId="6593" sId="1" odxf="1" dxf="1" numFmtId="19">
    <nc r="M535">
      <v>46230.680555555555</v>
    </nc>
    <odxf/>
    <ndxf/>
  </rcc>
  <rfmt sheetId="1" sqref="N535" start="0" length="0">
    <dxf/>
  </rfmt>
  <rfmt sheetId="1" sqref="O535" start="0" length="0">
    <dxf/>
  </rfmt>
  <rfmt sheetId="1" sqref="P535" start="0" length="0">
    <dxf/>
  </rfmt>
  <rfmt sheetId="1" sqref="Q535" start="0" length="0">
    <dxf/>
  </rfmt>
  <rfmt sheetId="1" sqref="R535" start="0" length="0">
    <dxf/>
  </rfmt>
  <rfmt sheetId="1" sqref="S535" start="0" length="0">
    <dxf/>
  </rfmt>
  <rfmt sheetId="1" sqref="T535" start="0" length="0">
    <dxf/>
  </rfmt>
  <rfmt sheetId="1" sqref="U535" start="0" length="0">
    <dxf/>
  </rfmt>
  <rfmt sheetId="1" sqref="V535" start="0" length="0">
    <dxf/>
  </rfmt>
  <rfmt sheetId="1" sqref="W535" start="0" length="0">
    <dxf/>
  </rfmt>
  <rfmt sheetId="1" sqref="X535" start="0" length="0">
    <dxf/>
  </rfmt>
  <rfmt sheetId="1" sqref="Y535" start="0" length="0">
    <dxf/>
  </rfmt>
  <rfmt sheetId="1" sqref="Z535" start="0" length="0">
    <dxf/>
  </rfmt>
  <rcc rId="6594" sId="1" odxf="1" dxf="1">
    <nc r="AA535" t="inlineStr">
      <is>
        <t>1</t>
      </is>
    </nc>
    <odxf/>
    <ndxf/>
  </rcc>
  <rcc rId="6595" sId="1" odxf="1" dxf="1">
    <nc r="AB535" t="inlineStr">
      <is>
        <t>0</t>
      </is>
    </nc>
    <odxf/>
    <ndxf/>
  </rcc>
  <rfmt sheetId="1" sqref="A535:XFD535" start="0" length="0">
    <dxf/>
  </rfmt>
  <rfmt sheetId="1" sqref="A536" start="0" length="0">
    <dxf>
      <fill>
        <patternFill patternType="solid">
          <bgColor theme="0" tint="-4.9989318521683403E-2"/>
        </patternFill>
      </fill>
    </dxf>
  </rfmt>
  <rfmt sheetId="1" sqref="B536" start="0" length="0">
    <dxf>
      <fill>
        <patternFill patternType="solid">
          <bgColor theme="0" tint="-4.9989318521683403E-2"/>
        </patternFill>
      </fill>
    </dxf>
  </rfmt>
  <rfmt sheetId="1" sqref="C536" start="0" length="0">
    <dxf>
      <fill>
        <patternFill patternType="solid">
          <bgColor theme="0" tint="-4.9989318521683403E-2"/>
        </patternFill>
      </fill>
    </dxf>
  </rfmt>
  <rfmt sheetId="1" sqref="D536" start="0" length="0">
    <dxf>
      <fill>
        <patternFill patternType="solid">
          <bgColor theme="0" tint="-4.9989318521683403E-2"/>
        </patternFill>
      </fill>
    </dxf>
  </rfmt>
  <rfmt sheetId="1" sqref="E536" start="0" length="0">
    <dxf>
      <fill>
        <patternFill patternType="solid">
          <bgColor theme="0" tint="-4.9989318521683403E-2"/>
        </patternFill>
      </fill>
    </dxf>
  </rfmt>
  <rfmt sheetId="1" sqref="F536" start="0" length="0">
    <dxf>
      <fill>
        <patternFill patternType="solid">
          <bgColor theme="0" tint="-4.9989318521683403E-2"/>
        </patternFill>
      </fill>
    </dxf>
  </rfmt>
  <rfmt sheetId="1" sqref="G536" start="0" length="0">
    <dxf>
      <fill>
        <patternFill patternType="solid">
          <bgColor theme="0" tint="-4.9989318521683403E-2"/>
        </patternFill>
      </fill>
    </dxf>
  </rfmt>
  <rfmt sheetId="1" sqref="H536" start="0" length="0">
    <dxf>
      <fill>
        <patternFill patternType="solid">
          <bgColor theme="0" tint="-4.9989318521683403E-2"/>
        </patternFill>
      </fill>
    </dxf>
  </rfmt>
  <rfmt sheetId="1" sqref="I536" start="0" length="0">
    <dxf>
      <fill>
        <patternFill patternType="solid">
          <bgColor theme="0" tint="-4.9989318521683403E-2"/>
        </patternFill>
      </fill>
    </dxf>
  </rfmt>
  <rfmt sheetId="1" sqref="J536" start="0" length="0">
    <dxf>
      <fill>
        <patternFill patternType="solid">
          <bgColor theme="0" tint="-4.9989318521683403E-2"/>
        </patternFill>
      </fill>
    </dxf>
  </rfmt>
  <rfmt sheetId="1" sqref="K536" start="0" length="0">
    <dxf>
      <fill>
        <patternFill patternType="solid">
          <bgColor theme="0" tint="-4.9989318521683403E-2"/>
        </patternFill>
      </fill>
    </dxf>
  </rfmt>
  <rfmt sheetId="1" sqref="L536" start="0" length="0">
    <dxf>
      <fill>
        <patternFill patternType="solid">
          <bgColor theme="0" tint="-4.9989318521683403E-2"/>
        </patternFill>
      </fill>
    </dxf>
  </rfmt>
  <rfmt sheetId="1" sqref="M536" start="0" length="0">
    <dxf>
      <fill>
        <patternFill patternType="solid">
          <bgColor theme="0" tint="-4.9989318521683403E-2"/>
        </patternFill>
      </fill>
    </dxf>
  </rfmt>
  <rfmt sheetId="1" sqref="N536" start="0" length="0">
    <dxf>
      <fill>
        <patternFill patternType="solid">
          <bgColor theme="0" tint="-4.9989318521683403E-2"/>
        </patternFill>
      </fill>
    </dxf>
  </rfmt>
  <rfmt sheetId="1" sqref="O536" start="0" length="0">
    <dxf>
      <fill>
        <patternFill patternType="solid">
          <bgColor theme="0" tint="-4.9989318521683403E-2"/>
        </patternFill>
      </fill>
    </dxf>
  </rfmt>
  <rfmt sheetId="1" sqref="P536" start="0" length="0">
    <dxf>
      <fill>
        <patternFill patternType="solid">
          <bgColor theme="0" tint="-4.9989318521683403E-2"/>
        </patternFill>
      </fill>
    </dxf>
  </rfmt>
  <rfmt sheetId="1" sqref="Q536" start="0" length="0">
    <dxf>
      <fill>
        <patternFill patternType="solid">
          <bgColor theme="0" tint="-4.9989318521683403E-2"/>
        </patternFill>
      </fill>
    </dxf>
  </rfmt>
  <rfmt sheetId="1" sqref="R536" start="0" length="0">
    <dxf>
      <fill>
        <patternFill patternType="solid">
          <bgColor theme="0" tint="-4.9989318521683403E-2"/>
        </patternFill>
      </fill>
    </dxf>
  </rfmt>
  <rfmt sheetId="1" sqref="S536" start="0" length="0">
    <dxf>
      <fill>
        <patternFill patternType="solid">
          <bgColor theme="0" tint="-4.9989318521683403E-2"/>
        </patternFill>
      </fill>
    </dxf>
  </rfmt>
  <rfmt sheetId="1" sqref="T536" start="0" length="0">
    <dxf>
      <fill>
        <patternFill patternType="solid">
          <bgColor theme="0" tint="-4.9989318521683403E-2"/>
        </patternFill>
      </fill>
    </dxf>
  </rfmt>
  <rfmt sheetId="1" sqref="U536" start="0" length="0">
    <dxf>
      <fill>
        <patternFill patternType="solid">
          <bgColor theme="0" tint="-4.9989318521683403E-2"/>
        </patternFill>
      </fill>
    </dxf>
  </rfmt>
  <rfmt sheetId="1" sqref="V536" start="0" length="0">
    <dxf>
      <fill>
        <patternFill patternType="solid">
          <bgColor theme="0" tint="-4.9989318521683403E-2"/>
        </patternFill>
      </fill>
    </dxf>
  </rfmt>
  <rfmt sheetId="1" sqref="W536" start="0" length="0">
    <dxf>
      <fill>
        <patternFill patternType="solid">
          <bgColor theme="0" tint="-4.9989318521683403E-2"/>
        </patternFill>
      </fill>
    </dxf>
  </rfmt>
  <rfmt sheetId="1" sqref="X536" start="0" length="0">
    <dxf>
      <fill>
        <patternFill patternType="solid">
          <bgColor theme="0" tint="-4.9989318521683403E-2"/>
        </patternFill>
      </fill>
    </dxf>
  </rfmt>
  <rfmt sheetId="1" sqref="Y536" start="0" length="0">
    <dxf>
      <fill>
        <patternFill patternType="solid">
          <bgColor theme="0" tint="-4.9989318521683403E-2"/>
        </patternFill>
      </fill>
    </dxf>
  </rfmt>
  <rfmt sheetId="1" sqref="Z536" start="0" length="0">
    <dxf>
      <fill>
        <patternFill patternType="solid">
          <bgColor theme="0" tint="-4.9989318521683403E-2"/>
        </patternFill>
      </fill>
    </dxf>
  </rfmt>
  <rfmt sheetId="1" sqref="AA536" start="0" length="0">
    <dxf>
      <fill>
        <patternFill patternType="solid">
          <bgColor theme="0" tint="-4.9989318521683403E-2"/>
        </patternFill>
      </fill>
    </dxf>
  </rfmt>
  <rfmt sheetId="1" sqref="AB536" start="0" length="0">
    <dxf>
      <fill>
        <patternFill patternType="solid">
          <bgColor theme="0" tint="-4.9989318521683403E-2"/>
        </patternFill>
      </fill>
    </dxf>
  </rfmt>
  <rfmt sheetId="1" sqref="A536:XFD536" start="0" length="0">
    <dxf>
      <fill>
        <patternFill patternType="solid">
          <bgColor theme="0" tint="-4.9989318521683403E-2"/>
        </patternFill>
      </fill>
    </dxf>
  </rfmt>
  <rcc rId="6596" sId="1" odxf="1" dxf="1">
    <nc r="A537" t="inlineStr">
      <is>
        <t>Zone 3</t>
      </is>
    </nc>
    <odxf/>
    <ndxf/>
  </rcc>
  <rcc rId="6597" sId="1" odxf="1" dxf="1">
    <nc r="B537" t="inlineStr">
      <is>
        <t>Lopro QC S3</t>
      </is>
    </nc>
    <odxf/>
    <ndxf/>
  </rcc>
  <rcc rId="6598" sId="1" odxf="1" dxf="1">
    <nc r="C537">
      <v>5.5</v>
    </nc>
    <odxf/>
    <ndxf/>
  </rcc>
  <rcc rId="6599" sId="1" odxf="1" dxf="1">
    <nc r="D537" t="inlineStr">
      <is>
        <t>24-014</t>
      </is>
    </nc>
    <odxf/>
    <ndxf/>
  </rcc>
  <rcc rId="6600" sId="1" odxf="1" dxf="1">
    <nc r="E537" t="inlineStr">
      <is>
        <t>W1027654/1</t>
      </is>
    </nc>
    <odxf/>
    <ndxf/>
  </rcc>
  <rcc rId="6601" sId="1" odxf="1" dxf="1">
    <nc r="F537" t="inlineStr">
      <is>
        <t>VER1/0270-1083</t>
      </is>
    </nc>
    <odxf/>
    <ndxf/>
  </rcc>
  <rcc rId="6602" sId="1" odxf="1" dxf="1">
    <nc r="G537" t="inlineStr">
      <is>
        <t>Spectrum QC HA S3</t>
      </is>
    </nc>
    <odxf/>
    <ndxf/>
  </rcc>
  <rcc rId="6603" sId="1" odxf="1" dxf="1">
    <nc r="H537">
      <v>149.98500000000001</v>
    </nc>
    <odxf/>
    <ndxf/>
  </rcc>
  <rcc rId="6604" sId="1" odxf="1" dxf="1">
    <nc r="I537">
      <v>27.27</v>
    </nc>
    <odxf/>
    <ndxf/>
  </rcc>
  <rcc rId="6605" sId="1" odxf="1" dxf="1">
    <nc r="J537">
      <v>600</v>
    </nc>
    <odxf/>
    <ndxf/>
  </rcc>
  <rcc rId="6606" sId="1" odxf="1" dxf="1">
    <nc r="K537">
      <v>0</v>
    </nc>
    <odxf/>
    <ndxf/>
  </rcc>
  <rcc rId="6607" sId="1" odxf="1" dxf="1" numFmtId="19">
    <nc r="L537">
      <v>46230.6875</v>
    </nc>
    <odxf/>
    <ndxf/>
  </rcc>
  <rcc rId="6608" sId="1" odxf="1" dxf="1" numFmtId="19">
    <nc r="M537">
      <v>46231.840277777781</v>
    </nc>
    <odxf/>
    <ndxf/>
  </rcc>
  <rfmt sheetId="1" sqref="N537" start="0" length="0">
    <dxf/>
  </rfmt>
  <rfmt sheetId="1" sqref="O537" start="0" length="0">
    <dxf/>
  </rfmt>
  <rfmt sheetId="1" sqref="P537" start="0" length="0">
    <dxf/>
  </rfmt>
  <rfmt sheetId="1" sqref="Q537" start="0" length="0">
    <dxf/>
  </rfmt>
  <rfmt sheetId="1" sqref="R537" start="0" length="0">
    <dxf/>
  </rfmt>
  <rfmt sheetId="1" sqref="S537" start="0" length="0">
    <dxf/>
  </rfmt>
  <rfmt sheetId="1" sqref="T537" start="0" length="0">
    <dxf/>
  </rfmt>
  <rfmt sheetId="1" sqref="U537" start="0" length="0">
    <dxf/>
  </rfmt>
  <rfmt sheetId="1" sqref="V537" start="0" length="0">
    <dxf/>
  </rfmt>
  <rfmt sheetId="1" sqref="W537" start="0" length="0">
    <dxf/>
  </rfmt>
  <rfmt sheetId="1" sqref="X537" start="0" length="0">
    <dxf/>
  </rfmt>
  <rfmt sheetId="1" sqref="Y537" start="0" length="0">
    <dxf/>
  </rfmt>
  <rfmt sheetId="1" sqref="Z537" start="0" length="0">
    <dxf/>
  </rfmt>
  <rcc rId="6609" sId="1" odxf="1" dxf="1">
    <nc r="AA537" t="inlineStr">
      <is>
        <t>1</t>
      </is>
    </nc>
    <odxf/>
    <ndxf/>
  </rcc>
  <rcc rId="6610" sId="1" odxf="1" dxf="1">
    <nc r="AB537" t="inlineStr">
      <is>
        <t>0</t>
      </is>
    </nc>
    <odxf/>
    <ndxf/>
  </rcc>
  <rfmt sheetId="1" sqref="A537:XFD537" start="0" length="0">
    <dxf/>
  </rfmt>
  <rcc rId="6611" sId="1" odxf="1" dxf="1">
    <nc r="A538" t="inlineStr">
      <is>
        <t>Zone 3</t>
      </is>
    </nc>
    <odxf/>
    <ndxf/>
  </rcc>
  <rcc rId="6612" sId="1" odxf="1" dxf="1">
    <nc r="B538" t="inlineStr">
      <is>
        <t>Lopro QC S3</t>
      </is>
    </nc>
    <odxf/>
    <ndxf/>
  </rcc>
  <rcc rId="6613" sId="1" odxf="1" dxf="1">
    <nc r="C538">
      <v>5.5</v>
    </nc>
    <odxf/>
    <ndxf/>
  </rcc>
  <rcc rId="6614" sId="1" odxf="1" dxf="1">
    <nc r="D538" t="inlineStr">
      <is>
        <t>24-014</t>
      </is>
    </nc>
    <odxf/>
    <ndxf/>
  </rcc>
  <rcc rId="6615" sId="1" odxf="1" dxf="1">
    <nc r="E538" t="inlineStr">
      <is>
        <t>W1027655/1</t>
      </is>
    </nc>
    <odxf/>
    <ndxf/>
  </rcc>
  <rcc rId="6616" sId="1" odxf="1" dxf="1">
    <nc r="F538" t="inlineStr">
      <is>
        <t>VER1/0270-1083</t>
      </is>
    </nc>
    <odxf/>
    <ndxf/>
  </rcc>
  <rcc rId="6617" sId="1" odxf="1" dxf="1">
    <nc r="G538" t="inlineStr">
      <is>
        <t>Spectrum QC HA S3</t>
      </is>
    </nc>
    <odxf/>
    <ndxf/>
  </rcc>
  <rcc rId="6618" sId="1" odxf="1" dxf="1">
    <nc r="H538">
      <v>149.98500000000001</v>
    </nc>
    <odxf/>
    <ndxf/>
  </rcc>
  <rcc rId="6619" sId="1" odxf="1" dxf="1">
    <nc r="I538">
      <v>27.27</v>
    </nc>
    <odxf/>
    <ndxf/>
  </rcc>
  <rcc rId="6620" sId="1" odxf="1" dxf="1">
    <nc r="J538">
      <v>600</v>
    </nc>
    <odxf/>
    <ndxf/>
  </rcc>
  <rcc rId="6621" sId="1" odxf="1" dxf="1">
    <nc r="K538">
      <v>0</v>
    </nc>
    <odxf/>
    <ndxf/>
  </rcc>
  <rcc rId="6622" sId="1" odxf="1" dxf="1" numFmtId="19">
    <nc r="L538">
      <v>46231.847222222219</v>
    </nc>
    <odxf/>
    <ndxf/>
  </rcc>
  <rcc rId="6623" sId="1" odxf="1" dxf="1" numFmtId="19">
    <nc r="M538">
      <v>46233</v>
    </nc>
    <odxf/>
    <ndxf/>
  </rcc>
  <rfmt sheetId="1" sqref="N538" start="0" length="0">
    <dxf/>
  </rfmt>
  <rfmt sheetId="1" sqref="O538" start="0" length="0">
    <dxf/>
  </rfmt>
  <rfmt sheetId="1" sqref="P538" start="0" length="0">
    <dxf/>
  </rfmt>
  <rfmt sheetId="1" sqref="Q538" start="0" length="0">
    <dxf/>
  </rfmt>
  <rfmt sheetId="1" sqref="R538" start="0" length="0">
    <dxf/>
  </rfmt>
  <rfmt sheetId="1" sqref="S538" start="0" length="0">
    <dxf/>
  </rfmt>
  <rfmt sheetId="1" sqref="T538" start="0" length="0">
    <dxf/>
  </rfmt>
  <rfmt sheetId="1" sqref="U538" start="0" length="0">
    <dxf/>
  </rfmt>
  <rfmt sheetId="1" sqref="V538" start="0" length="0">
    <dxf/>
  </rfmt>
  <rfmt sheetId="1" sqref="W538" start="0" length="0">
    <dxf/>
  </rfmt>
  <rfmt sheetId="1" sqref="X538" start="0" length="0">
    <dxf/>
  </rfmt>
  <rfmt sheetId="1" sqref="Y538" start="0" length="0">
    <dxf/>
  </rfmt>
  <rfmt sheetId="1" sqref="Z538" start="0" length="0">
    <dxf/>
  </rfmt>
  <rcc rId="6624" sId="1" odxf="1" dxf="1">
    <nc r="AA538" t="inlineStr">
      <is>
        <t>1</t>
      </is>
    </nc>
    <odxf/>
    <ndxf/>
  </rcc>
  <rcc rId="6625" sId="1" odxf="1" dxf="1">
    <nc r="AB538" t="inlineStr">
      <is>
        <t>0</t>
      </is>
    </nc>
    <odxf/>
    <ndxf/>
  </rcc>
  <rfmt sheetId="1" sqref="A538:XFD538" start="0" length="0">
    <dxf/>
  </rfmt>
  <rcc rId="6626" sId="1" odxf="1" dxf="1">
    <nc r="A539" t="inlineStr">
      <is>
        <t>Zone 3</t>
      </is>
    </nc>
    <odxf/>
    <ndxf/>
  </rcc>
  <rcc rId="6627" sId="1" odxf="1" dxf="1">
    <nc r="B539" t="inlineStr">
      <is>
        <t>Lopro QC S3</t>
      </is>
    </nc>
    <odxf/>
    <ndxf/>
  </rcc>
  <rcc rId="6628" sId="1" odxf="1" dxf="1">
    <nc r="C539">
      <v>5.5</v>
    </nc>
    <odxf/>
    <ndxf/>
  </rcc>
  <rcc rId="6629" sId="1" odxf="1" dxf="1">
    <nc r="D539" t="inlineStr">
      <is>
        <t>24-014</t>
      </is>
    </nc>
    <odxf/>
    <ndxf/>
  </rcc>
  <rcc rId="6630" sId="1" odxf="1" dxf="1">
    <nc r="E539" t="inlineStr">
      <is>
        <t>W1027656/1</t>
      </is>
    </nc>
    <odxf/>
    <ndxf/>
  </rcc>
  <rcc rId="6631" sId="1" odxf="1" dxf="1">
    <nc r="F539" t="inlineStr">
      <is>
        <t>VER1/0270-1083</t>
      </is>
    </nc>
    <odxf/>
    <ndxf/>
  </rcc>
  <rcc rId="6632" sId="1" odxf="1" dxf="1">
    <nc r="G539" t="inlineStr">
      <is>
        <t>Spectrum QC HA S3</t>
      </is>
    </nc>
    <odxf/>
    <ndxf/>
  </rcc>
  <rcc rId="6633" sId="1" odxf="1" dxf="1">
    <nc r="H539">
      <v>149.98500000000001</v>
    </nc>
    <odxf/>
    <ndxf/>
  </rcc>
  <rcc rId="6634" sId="1" odxf="1" dxf="1">
    <nc r="I539">
      <v>27.27</v>
    </nc>
    <odxf/>
    <ndxf/>
  </rcc>
  <rcc rId="6635" sId="1" odxf="1" dxf="1">
    <nc r="J539">
      <v>600</v>
    </nc>
    <odxf/>
    <ndxf/>
  </rcc>
  <rcc rId="6636" sId="1" odxf="1" dxf="1">
    <nc r="K539">
      <v>0</v>
    </nc>
    <odxf/>
    <ndxf/>
  </rcc>
  <rcc rId="6637" sId="1" odxf="1" dxf="1" numFmtId="19">
    <nc r="L539">
      <v>46233.006944444445</v>
    </nc>
    <odxf/>
    <ndxf/>
  </rcc>
  <rcc rId="6638" sId="1" odxf="1" dxf="1" numFmtId="19">
    <nc r="M539">
      <v>46234.159722222219</v>
    </nc>
    <odxf/>
    <ndxf/>
  </rcc>
  <rfmt sheetId="1" sqref="N539" start="0" length="0">
    <dxf/>
  </rfmt>
  <rfmt sheetId="1" sqref="O539" start="0" length="0">
    <dxf/>
  </rfmt>
  <rfmt sheetId="1" sqref="P539" start="0" length="0">
    <dxf/>
  </rfmt>
  <rfmt sheetId="1" sqref="Q539" start="0" length="0">
    <dxf/>
  </rfmt>
  <rfmt sheetId="1" sqref="R539" start="0" length="0">
    <dxf/>
  </rfmt>
  <rfmt sheetId="1" sqref="S539" start="0" length="0">
    <dxf/>
  </rfmt>
  <rfmt sheetId="1" sqref="T539" start="0" length="0">
    <dxf/>
  </rfmt>
  <rfmt sheetId="1" sqref="U539" start="0" length="0">
    <dxf/>
  </rfmt>
  <rfmt sheetId="1" sqref="V539" start="0" length="0">
    <dxf/>
  </rfmt>
  <rfmt sheetId="1" sqref="W539" start="0" length="0">
    <dxf/>
  </rfmt>
  <rfmt sheetId="1" sqref="X539" start="0" length="0">
    <dxf/>
  </rfmt>
  <rfmt sheetId="1" sqref="Y539" start="0" length="0">
    <dxf/>
  </rfmt>
  <rfmt sheetId="1" sqref="Z539" start="0" length="0">
    <dxf/>
  </rfmt>
  <rcc rId="6639" sId="1" odxf="1" dxf="1">
    <nc r="AA539" t="inlineStr">
      <is>
        <t>1</t>
      </is>
    </nc>
    <odxf/>
    <ndxf/>
  </rcc>
  <rcc rId="6640" sId="1" odxf="1" dxf="1">
    <nc r="AB539" t="inlineStr">
      <is>
        <t>0</t>
      </is>
    </nc>
    <odxf/>
    <ndxf/>
  </rcc>
  <rfmt sheetId="1" sqref="A539:XFD539" start="0" length="0">
    <dxf/>
  </rfmt>
  <rcc rId="6641" sId="1" odxf="1" dxf="1">
    <nc r="A540" t="inlineStr">
      <is>
        <t>Zone 3</t>
      </is>
    </nc>
    <odxf/>
    <ndxf/>
  </rcc>
  <rcc rId="6642" sId="1" odxf="1" dxf="1">
    <nc r="B540" t="inlineStr">
      <is>
        <t>Lopro QC S3</t>
      </is>
    </nc>
    <odxf/>
    <ndxf/>
  </rcc>
  <rcc rId="6643" sId="1" odxf="1" dxf="1">
    <nc r="C540">
      <v>5.5</v>
    </nc>
    <odxf/>
    <ndxf/>
  </rcc>
  <rcc rId="6644" sId="1" odxf="1" dxf="1">
    <nc r="D540" t="inlineStr">
      <is>
        <t>24-014</t>
      </is>
    </nc>
    <odxf/>
    <ndxf/>
  </rcc>
  <rcc rId="6645" sId="1" odxf="1" dxf="1">
    <nc r="E540" t="inlineStr">
      <is>
        <t>W1027657/1</t>
      </is>
    </nc>
    <odxf/>
    <ndxf/>
  </rcc>
  <rcc rId="6646" sId="1" odxf="1" dxf="1">
    <nc r="F540" t="inlineStr">
      <is>
        <t>VER1/0270-1083</t>
      </is>
    </nc>
    <odxf/>
    <ndxf/>
  </rcc>
  <rcc rId="6647" sId="1" odxf="1" dxf="1">
    <nc r="G540" t="inlineStr">
      <is>
        <t>Spectrum QC HA S3</t>
      </is>
    </nc>
    <odxf/>
    <ndxf/>
  </rcc>
  <rcc rId="6648" sId="1" odxf="1" dxf="1">
    <nc r="H540">
      <v>149.98500000000001</v>
    </nc>
    <odxf/>
    <ndxf/>
  </rcc>
  <rcc rId="6649" sId="1" odxf="1" dxf="1">
    <nc r="I540">
      <v>27.27</v>
    </nc>
    <odxf/>
    <ndxf/>
  </rcc>
  <rcc rId="6650" sId="1" odxf="1" dxf="1">
    <nc r="J540">
      <v>600</v>
    </nc>
    <odxf/>
    <ndxf/>
  </rcc>
  <rcc rId="6651" sId="1" odxf="1" dxf="1">
    <nc r="K540">
      <v>0</v>
    </nc>
    <odxf/>
    <ndxf/>
  </rcc>
  <rcc rId="6652" sId="1" odxf="1" dxf="1" numFmtId="19">
    <nc r="L540">
      <v>46234.166666666664</v>
    </nc>
    <odxf/>
    <ndxf/>
  </rcc>
  <rcc rId="6653" sId="1" odxf="1" dxf="1" numFmtId="19">
    <nc r="M540">
      <v>46238.319444444445</v>
    </nc>
    <odxf/>
    <ndxf/>
  </rcc>
  <rfmt sheetId="1" sqref="N540" start="0" length="0">
    <dxf/>
  </rfmt>
  <rfmt sheetId="1" sqref="O540" start="0" length="0">
    <dxf/>
  </rfmt>
  <rfmt sheetId="1" sqref="P540" start="0" length="0">
    <dxf/>
  </rfmt>
  <rfmt sheetId="1" sqref="Q540" start="0" length="0">
    <dxf/>
  </rfmt>
  <rfmt sheetId="1" sqref="R540" start="0" length="0">
    <dxf/>
  </rfmt>
  <rfmt sheetId="1" sqref="S540" start="0" length="0">
    <dxf/>
  </rfmt>
  <rfmt sheetId="1" sqref="T540" start="0" length="0">
    <dxf/>
  </rfmt>
  <rfmt sheetId="1" sqref="U540" start="0" length="0">
    <dxf/>
  </rfmt>
  <rfmt sheetId="1" sqref="V540" start="0" length="0">
    <dxf/>
  </rfmt>
  <rfmt sheetId="1" sqref="W540" start="0" length="0">
    <dxf/>
  </rfmt>
  <rfmt sheetId="1" sqref="X540" start="0" length="0">
    <dxf/>
  </rfmt>
  <rfmt sheetId="1" sqref="Y540" start="0" length="0">
    <dxf/>
  </rfmt>
  <rfmt sheetId="1" sqref="Z540" start="0" length="0">
    <dxf/>
  </rfmt>
  <rcc rId="6654" sId="1" odxf="1" dxf="1">
    <nc r="AA540" t="inlineStr">
      <is>
        <t>1</t>
      </is>
    </nc>
    <odxf/>
    <ndxf/>
  </rcc>
  <rcc rId="6655" sId="1" odxf="1" dxf="1">
    <nc r="AB540" t="inlineStr">
      <is>
        <t>0</t>
      </is>
    </nc>
    <odxf/>
    <ndxf/>
  </rcc>
  <rfmt sheetId="1" sqref="A540:XFD540" start="0" length="0">
    <dxf/>
  </rfmt>
  <rcc rId="6656" sId="1" odxf="1" dxf="1">
    <nc r="A541" t="inlineStr">
      <is>
        <t>Zone 3</t>
      </is>
    </nc>
    <odxf/>
    <ndxf/>
  </rcc>
  <rcc rId="6657" sId="1" odxf="1" dxf="1">
    <nc r="B541" t="inlineStr">
      <is>
        <t>Lopro QC S3</t>
      </is>
    </nc>
    <odxf/>
    <ndxf/>
  </rcc>
  <rcc rId="6658" sId="1" odxf="1" dxf="1">
    <nc r="C541">
      <v>5.5</v>
    </nc>
    <odxf/>
    <ndxf/>
  </rcc>
  <rcc rId="6659" sId="1" odxf="1" dxf="1">
    <nc r="D541" t="inlineStr">
      <is>
        <t>24-014</t>
      </is>
    </nc>
    <odxf/>
    <ndxf/>
  </rcc>
  <rcc rId="6660" sId="1" odxf="1" dxf="1">
    <nc r="E541" t="inlineStr">
      <is>
        <t>W1027658/1</t>
      </is>
    </nc>
    <odxf/>
    <ndxf/>
  </rcc>
  <rcc rId="6661" sId="1" odxf="1" dxf="1">
    <nc r="F541" t="inlineStr">
      <is>
        <t>VER1/0270-1083</t>
      </is>
    </nc>
    <odxf/>
    <ndxf/>
  </rcc>
  <rcc rId="6662" sId="1" odxf="1" dxf="1">
    <nc r="G541" t="inlineStr">
      <is>
        <t>Spectrum QC HA S3</t>
      </is>
    </nc>
    <odxf/>
    <ndxf/>
  </rcc>
  <rcc rId="6663" sId="1" odxf="1" dxf="1">
    <nc r="H541">
      <v>75.02</v>
    </nc>
    <odxf/>
    <ndxf/>
  </rcc>
  <rcc rId="6664" sId="1" odxf="1" dxf="1">
    <nc r="I541">
      <v>13.64</v>
    </nc>
    <odxf/>
    <ndxf/>
  </rcc>
  <rcc rId="6665" sId="1" odxf="1" dxf="1">
    <nc r="J541">
      <v>300</v>
    </nc>
    <odxf/>
    <ndxf/>
  </rcc>
  <rcc rId="6666" sId="1" odxf="1" dxf="1">
    <nc r="K541">
      <v>0</v>
    </nc>
    <odxf/>
    <ndxf/>
  </rcc>
  <rcc rId="6667" sId="1" odxf="1" dxf="1" numFmtId="19">
    <nc r="L541">
      <v>46238.326388888891</v>
    </nc>
    <odxf/>
    <ndxf/>
  </rcc>
  <rcc rId="6668" sId="1" odxf="1" dxf="1" numFmtId="19">
    <nc r="M541">
      <v>46238.909722222219</v>
    </nc>
    <odxf/>
    <ndxf/>
  </rcc>
  <rfmt sheetId="1" sqref="N541" start="0" length="0">
    <dxf/>
  </rfmt>
  <rfmt sheetId="1" sqref="O541" start="0" length="0">
    <dxf/>
  </rfmt>
  <rfmt sheetId="1" sqref="P541" start="0" length="0">
    <dxf/>
  </rfmt>
  <rfmt sheetId="1" sqref="Q541" start="0" length="0">
    <dxf/>
  </rfmt>
  <rfmt sheetId="1" sqref="R541" start="0" length="0">
    <dxf/>
  </rfmt>
  <rfmt sheetId="1" sqref="S541" start="0" length="0">
    <dxf/>
  </rfmt>
  <rfmt sheetId="1" sqref="T541" start="0" length="0">
    <dxf/>
  </rfmt>
  <rfmt sheetId="1" sqref="U541" start="0" length="0">
    <dxf/>
  </rfmt>
  <rfmt sheetId="1" sqref="V541" start="0" length="0">
    <dxf/>
  </rfmt>
  <rfmt sheetId="1" sqref="W541" start="0" length="0">
    <dxf/>
  </rfmt>
  <rfmt sheetId="1" sqref="X541" start="0" length="0">
    <dxf/>
  </rfmt>
  <rfmt sheetId="1" sqref="Y541" start="0" length="0">
    <dxf/>
  </rfmt>
  <rfmt sheetId="1" sqref="Z541" start="0" length="0">
    <dxf/>
  </rfmt>
  <rcc rId="6669" sId="1" odxf="1" dxf="1">
    <nc r="AA541" t="inlineStr">
      <is>
        <t>1</t>
      </is>
    </nc>
    <odxf/>
    <ndxf/>
  </rcc>
  <rcc rId="6670" sId="1" odxf="1" dxf="1">
    <nc r="AB541" t="inlineStr">
      <is>
        <t>0</t>
      </is>
    </nc>
    <odxf/>
    <ndxf/>
  </rcc>
  <rfmt sheetId="1" sqref="A541:XFD541" start="0" length="0">
    <dxf/>
  </rfmt>
  <rfmt sheetId="1" sqref="A542" start="0" length="0">
    <dxf>
      <fill>
        <patternFill patternType="solid">
          <bgColor theme="0" tint="-4.9989318521683403E-2"/>
        </patternFill>
      </fill>
    </dxf>
  </rfmt>
  <rfmt sheetId="1" sqref="B542" start="0" length="0">
    <dxf>
      <fill>
        <patternFill patternType="solid">
          <bgColor theme="0" tint="-4.9989318521683403E-2"/>
        </patternFill>
      </fill>
    </dxf>
  </rfmt>
  <rfmt sheetId="1" sqref="C542" start="0" length="0">
    <dxf>
      <fill>
        <patternFill patternType="solid">
          <bgColor theme="0" tint="-4.9989318521683403E-2"/>
        </patternFill>
      </fill>
    </dxf>
  </rfmt>
  <rfmt sheetId="1" sqref="D542" start="0" length="0">
    <dxf>
      <fill>
        <patternFill patternType="solid">
          <bgColor theme="0" tint="-4.9989318521683403E-2"/>
        </patternFill>
      </fill>
    </dxf>
  </rfmt>
  <rfmt sheetId="1" sqref="E542" start="0" length="0">
    <dxf>
      <fill>
        <patternFill patternType="solid">
          <bgColor theme="0" tint="-4.9989318521683403E-2"/>
        </patternFill>
      </fill>
    </dxf>
  </rfmt>
  <rfmt sheetId="1" sqref="F542" start="0" length="0">
    <dxf>
      <fill>
        <patternFill patternType="solid">
          <bgColor theme="0" tint="-4.9989318521683403E-2"/>
        </patternFill>
      </fill>
    </dxf>
  </rfmt>
  <rfmt sheetId="1" sqref="G542" start="0" length="0">
    <dxf>
      <fill>
        <patternFill patternType="solid">
          <bgColor theme="0" tint="-4.9989318521683403E-2"/>
        </patternFill>
      </fill>
    </dxf>
  </rfmt>
  <rfmt sheetId="1" sqref="H542" start="0" length="0">
    <dxf>
      <fill>
        <patternFill patternType="solid">
          <bgColor theme="0" tint="-4.9989318521683403E-2"/>
        </patternFill>
      </fill>
    </dxf>
  </rfmt>
  <rfmt sheetId="1" sqref="I542" start="0" length="0">
    <dxf>
      <fill>
        <patternFill patternType="solid">
          <bgColor theme="0" tint="-4.9989318521683403E-2"/>
        </patternFill>
      </fill>
    </dxf>
  </rfmt>
  <rfmt sheetId="1" sqref="J542" start="0" length="0">
    <dxf>
      <fill>
        <patternFill patternType="solid">
          <bgColor theme="0" tint="-4.9989318521683403E-2"/>
        </patternFill>
      </fill>
    </dxf>
  </rfmt>
  <rfmt sheetId="1" sqref="K542" start="0" length="0">
    <dxf>
      <fill>
        <patternFill patternType="solid">
          <bgColor theme="0" tint="-4.9989318521683403E-2"/>
        </patternFill>
      </fill>
    </dxf>
  </rfmt>
  <rfmt sheetId="1" sqref="L542" start="0" length="0">
    <dxf>
      <fill>
        <patternFill patternType="solid">
          <bgColor theme="0" tint="-4.9989318521683403E-2"/>
        </patternFill>
      </fill>
    </dxf>
  </rfmt>
  <rfmt sheetId="1" sqref="M542" start="0" length="0">
    <dxf>
      <fill>
        <patternFill patternType="solid">
          <bgColor theme="0" tint="-4.9989318521683403E-2"/>
        </patternFill>
      </fill>
    </dxf>
  </rfmt>
  <rfmt sheetId="1" sqref="N542" start="0" length="0">
    <dxf>
      <fill>
        <patternFill patternType="solid">
          <bgColor theme="0" tint="-4.9989318521683403E-2"/>
        </patternFill>
      </fill>
    </dxf>
  </rfmt>
  <rfmt sheetId="1" sqref="O542" start="0" length="0">
    <dxf>
      <fill>
        <patternFill patternType="solid">
          <bgColor theme="0" tint="-4.9989318521683403E-2"/>
        </patternFill>
      </fill>
    </dxf>
  </rfmt>
  <rfmt sheetId="1" sqref="P542" start="0" length="0">
    <dxf>
      <fill>
        <patternFill patternType="solid">
          <bgColor theme="0" tint="-4.9989318521683403E-2"/>
        </patternFill>
      </fill>
    </dxf>
  </rfmt>
  <rfmt sheetId="1" sqref="Q542" start="0" length="0">
    <dxf>
      <fill>
        <patternFill patternType="solid">
          <bgColor theme="0" tint="-4.9989318521683403E-2"/>
        </patternFill>
      </fill>
    </dxf>
  </rfmt>
  <rfmt sheetId="1" sqref="R542" start="0" length="0">
    <dxf>
      <fill>
        <patternFill patternType="solid">
          <bgColor theme="0" tint="-4.9989318521683403E-2"/>
        </patternFill>
      </fill>
    </dxf>
  </rfmt>
  <rfmt sheetId="1" sqref="S542" start="0" length="0">
    <dxf>
      <fill>
        <patternFill patternType="solid">
          <bgColor theme="0" tint="-4.9989318521683403E-2"/>
        </patternFill>
      </fill>
    </dxf>
  </rfmt>
  <rfmt sheetId="1" sqref="T542" start="0" length="0">
    <dxf>
      <fill>
        <patternFill patternType="solid">
          <bgColor theme="0" tint="-4.9989318521683403E-2"/>
        </patternFill>
      </fill>
    </dxf>
  </rfmt>
  <rfmt sheetId="1" sqref="U542" start="0" length="0">
    <dxf>
      <fill>
        <patternFill patternType="solid">
          <bgColor theme="0" tint="-4.9989318521683403E-2"/>
        </patternFill>
      </fill>
    </dxf>
  </rfmt>
  <rfmt sheetId="1" sqref="V542" start="0" length="0">
    <dxf>
      <fill>
        <patternFill patternType="solid">
          <bgColor theme="0" tint="-4.9989318521683403E-2"/>
        </patternFill>
      </fill>
    </dxf>
  </rfmt>
  <rfmt sheetId="1" sqref="W542" start="0" length="0">
    <dxf>
      <fill>
        <patternFill patternType="solid">
          <bgColor theme="0" tint="-4.9989318521683403E-2"/>
        </patternFill>
      </fill>
    </dxf>
  </rfmt>
  <rfmt sheetId="1" sqref="X542" start="0" length="0">
    <dxf>
      <fill>
        <patternFill patternType="solid">
          <bgColor theme="0" tint="-4.9989318521683403E-2"/>
        </patternFill>
      </fill>
    </dxf>
  </rfmt>
  <rfmt sheetId="1" sqref="Y542" start="0" length="0">
    <dxf>
      <fill>
        <patternFill patternType="solid">
          <bgColor theme="0" tint="-4.9989318521683403E-2"/>
        </patternFill>
      </fill>
    </dxf>
  </rfmt>
  <rfmt sheetId="1" sqref="Z542" start="0" length="0">
    <dxf>
      <fill>
        <patternFill patternType="solid">
          <bgColor theme="0" tint="-4.9989318521683403E-2"/>
        </patternFill>
      </fill>
    </dxf>
  </rfmt>
  <rfmt sheetId="1" sqref="AA542" start="0" length="0">
    <dxf>
      <fill>
        <patternFill patternType="solid">
          <bgColor theme="0" tint="-4.9989318521683403E-2"/>
        </patternFill>
      </fill>
    </dxf>
  </rfmt>
  <rfmt sheetId="1" sqref="AB542" start="0" length="0">
    <dxf>
      <fill>
        <patternFill patternType="solid">
          <bgColor theme="0" tint="-4.9989318521683403E-2"/>
        </patternFill>
      </fill>
    </dxf>
  </rfmt>
  <rfmt sheetId="1" sqref="A542:XFD542" start="0" length="0">
    <dxf>
      <fill>
        <patternFill patternType="solid">
          <bgColor theme="0" tint="-4.9989318521683403E-2"/>
        </patternFill>
      </fill>
    </dxf>
  </rfmt>
  <rcc rId="6671" sId="1" odxf="1" dxf="1">
    <nc r="A543" t="inlineStr">
      <is>
        <t>Zone 3</t>
      </is>
    </nc>
    <odxf/>
    <ndxf/>
  </rcc>
  <rcc rId="6672" sId="1" odxf="1" dxf="1">
    <nc r="B543" t="inlineStr">
      <is>
        <t>Lopro QC S3</t>
      </is>
    </nc>
    <odxf/>
    <ndxf/>
  </rcc>
  <rcc rId="6673" sId="1" odxf="1" dxf="1">
    <nc r="C543">
      <v>5.5</v>
    </nc>
    <odxf/>
    <ndxf/>
  </rcc>
  <rcc rId="6674" sId="1" odxf="1" dxf="1">
    <nc r="D543" t="inlineStr">
      <is>
        <t>24-014</t>
      </is>
    </nc>
    <odxf/>
    <ndxf/>
  </rcc>
  <rcc rId="6675" sId="1" odxf="1" dxf="1">
    <nc r="E543" t="inlineStr">
      <is>
        <t>W1028591/1</t>
      </is>
    </nc>
    <odxf/>
    <ndxf/>
  </rcc>
  <rcc rId="6676" sId="1" odxf="1" dxf="1">
    <nc r="F543" t="inlineStr">
      <is>
        <t>VER1/0270-1083</t>
      </is>
    </nc>
    <odxf/>
    <ndxf/>
  </rcc>
  <rcc rId="6677" sId="1" odxf="1" dxf="1">
    <nc r="G543" t="inlineStr">
      <is>
        <t>Spectrum QC HA S3</t>
      </is>
    </nc>
    <odxf/>
    <ndxf/>
  </rcc>
  <rcc rId="6678" sId="1" odxf="1" dxf="1">
    <nc r="H543">
      <v>149.98500000000001</v>
    </nc>
    <odxf/>
    <ndxf/>
  </rcc>
  <rcc rId="6679" sId="1" odxf="1" dxf="1">
    <nc r="I543">
      <v>27.27</v>
    </nc>
    <odxf/>
    <ndxf/>
  </rcc>
  <rcc rId="6680" sId="1" odxf="1" dxf="1">
    <nc r="J543">
      <v>600</v>
    </nc>
    <odxf/>
    <ndxf/>
  </rcc>
  <rcc rId="6681" sId="1" odxf="1" dxf="1">
    <nc r="K543">
      <v>0</v>
    </nc>
    <odxf/>
    <ndxf/>
  </rcc>
  <rcc rId="6682" sId="1" odxf="1" dxf="1" numFmtId="19">
    <nc r="L543">
      <v>46238.916666666664</v>
    </nc>
    <odxf/>
    <ndxf/>
  </rcc>
  <rcc rId="6683" sId="1" odxf="1" dxf="1" numFmtId="19">
    <nc r="M543">
      <v>46240.069444444445</v>
    </nc>
    <odxf/>
    <ndxf/>
  </rcc>
  <rfmt sheetId="1" sqref="N543" start="0" length="0">
    <dxf/>
  </rfmt>
  <rfmt sheetId="1" sqref="O543" start="0" length="0">
    <dxf/>
  </rfmt>
  <rfmt sheetId="1" sqref="P543" start="0" length="0">
    <dxf/>
  </rfmt>
  <rfmt sheetId="1" sqref="Q543" start="0" length="0">
    <dxf/>
  </rfmt>
  <rfmt sheetId="1" sqref="R543" start="0" length="0">
    <dxf/>
  </rfmt>
  <rfmt sheetId="1" sqref="S543" start="0" length="0">
    <dxf/>
  </rfmt>
  <rfmt sheetId="1" sqref="T543" start="0" length="0">
    <dxf/>
  </rfmt>
  <rfmt sheetId="1" sqref="U543" start="0" length="0">
    <dxf/>
  </rfmt>
  <rfmt sheetId="1" sqref="V543" start="0" length="0">
    <dxf/>
  </rfmt>
  <rfmt sheetId="1" sqref="W543" start="0" length="0">
    <dxf/>
  </rfmt>
  <rfmt sheetId="1" sqref="X543" start="0" length="0">
    <dxf/>
  </rfmt>
  <rfmt sheetId="1" sqref="Y543" start="0" length="0">
    <dxf/>
  </rfmt>
  <rfmt sheetId="1" sqref="Z543" start="0" length="0">
    <dxf/>
  </rfmt>
  <rcc rId="6684" sId="1" odxf="1" dxf="1">
    <nc r="AA543" t="inlineStr">
      <is>
        <t>1</t>
      </is>
    </nc>
    <odxf/>
    <ndxf/>
  </rcc>
  <rcc rId="6685" sId="1" odxf="1" dxf="1">
    <nc r="AB543" t="inlineStr">
      <is>
        <t>0</t>
      </is>
    </nc>
    <odxf/>
    <ndxf/>
  </rcc>
  <rfmt sheetId="1" sqref="A543:XFD543" start="0" length="0">
    <dxf/>
  </rfmt>
  <rcc rId="6686" sId="1" odxf="1" dxf="1">
    <nc r="A544" t="inlineStr">
      <is>
        <t>Zone 3</t>
      </is>
    </nc>
    <odxf/>
    <ndxf/>
  </rcc>
  <rcc rId="6687" sId="1" odxf="1" dxf="1">
    <nc r="B544" t="inlineStr">
      <is>
        <t>Lopro QC S3</t>
      </is>
    </nc>
    <odxf/>
    <ndxf/>
  </rcc>
  <rcc rId="6688" sId="1" odxf="1" dxf="1">
    <nc r="C544">
      <v>5.5</v>
    </nc>
    <odxf/>
    <ndxf/>
  </rcc>
  <rcc rId="6689" sId="1" odxf="1" dxf="1">
    <nc r="D544" t="inlineStr">
      <is>
        <t>24-014</t>
      </is>
    </nc>
    <odxf/>
    <ndxf/>
  </rcc>
  <rcc rId="6690" sId="1" odxf="1" dxf="1">
    <nc r="E544" t="inlineStr">
      <is>
        <t>W1028592/1</t>
      </is>
    </nc>
    <odxf/>
    <ndxf/>
  </rcc>
  <rcc rId="6691" sId="1" odxf="1" dxf="1">
    <nc r="F544" t="inlineStr">
      <is>
        <t>VER1/0270-1083</t>
      </is>
    </nc>
    <odxf/>
    <ndxf/>
  </rcc>
  <rcc rId="6692" sId="1" odxf="1" dxf="1">
    <nc r="G544" t="inlineStr">
      <is>
        <t>Spectrum QC HA S3</t>
      </is>
    </nc>
    <odxf/>
    <ndxf/>
  </rcc>
  <rcc rId="6693" sId="1" odxf="1" dxf="1">
    <nc r="H544">
      <v>149.98500000000001</v>
    </nc>
    <odxf/>
    <ndxf/>
  </rcc>
  <rcc rId="6694" sId="1" odxf="1" dxf="1">
    <nc r="I544">
      <v>27.27</v>
    </nc>
    <odxf/>
    <ndxf/>
  </rcc>
  <rcc rId="6695" sId="1" odxf="1" dxf="1">
    <nc r="J544">
      <v>600</v>
    </nc>
    <odxf/>
    <ndxf/>
  </rcc>
  <rcc rId="6696" sId="1" odxf="1" dxf="1">
    <nc r="K544">
      <v>0</v>
    </nc>
    <odxf/>
    <ndxf/>
  </rcc>
  <rcc rId="6697" sId="1" odxf="1" dxf="1" numFmtId="19">
    <nc r="L544">
      <v>46240.076388888891</v>
    </nc>
    <odxf/>
    <ndxf/>
  </rcc>
  <rcc rId="6698" sId="1" odxf="1" dxf="1" numFmtId="19">
    <nc r="M544">
      <v>46241.229166666664</v>
    </nc>
    <odxf/>
    <ndxf/>
  </rcc>
  <rfmt sheetId="1" sqref="N544" start="0" length="0">
    <dxf/>
  </rfmt>
  <rfmt sheetId="1" sqref="O544" start="0" length="0">
    <dxf/>
  </rfmt>
  <rfmt sheetId="1" sqref="P544" start="0" length="0">
    <dxf/>
  </rfmt>
  <rfmt sheetId="1" sqref="Q544" start="0" length="0">
    <dxf/>
  </rfmt>
  <rfmt sheetId="1" sqref="R544" start="0" length="0">
    <dxf/>
  </rfmt>
  <rfmt sheetId="1" sqref="S544" start="0" length="0">
    <dxf/>
  </rfmt>
  <rfmt sheetId="1" sqref="T544" start="0" length="0">
    <dxf/>
  </rfmt>
  <rfmt sheetId="1" sqref="U544" start="0" length="0">
    <dxf/>
  </rfmt>
  <rfmt sheetId="1" sqref="V544" start="0" length="0">
    <dxf/>
  </rfmt>
  <rfmt sheetId="1" sqref="W544" start="0" length="0">
    <dxf/>
  </rfmt>
  <rfmt sheetId="1" sqref="X544" start="0" length="0">
    <dxf/>
  </rfmt>
  <rfmt sheetId="1" sqref="Y544" start="0" length="0">
    <dxf/>
  </rfmt>
  <rfmt sheetId="1" sqref="Z544" start="0" length="0">
    <dxf/>
  </rfmt>
  <rcc rId="6699" sId="1" odxf="1" dxf="1">
    <nc r="AA544" t="inlineStr">
      <is>
        <t>1</t>
      </is>
    </nc>
    <odxf/>
    <ndxf/>
  </rcc>
  <rcc rId="6700" sId="1" odxf="1" dxf="1">
    <nc r="AB544" t="inlineStr">
      <is>
        <t>0</t>
      </is>
    </nc>
    <odxf/>
    <ndxf/>
  </rcc>
  <rfmt sheetId="1" sqref="A544:XFD544" start="0" length="0">
    <dxf/>
  </rfmt>
  <rcc rId="6701" sId="1" odxf="1" dxf="1">
    <nc r="A545" t="inlineStr">
      <is>
        <t>Zone 3</t>
      </is>
    </nc>
    <odxf/>
    <ndxf/>
  </rcc>
  <rcc rId="6702" sId="1" odxf="1" dxf="1">
    <nc r="B545" t="inlineStr">
      <is>
        <t>Lopro QC S3</t>
      </is>
    </nc>
    <odxf/>
    <ndxf/>
  </rcc>
  <rcc rId="6703" sId="1" odxf="1" dxf="1">
    <nc r="C545">
      <v>5.5</v>
    </nc>
    <odxf/>
    <ndxf/>
  </rcc>
  <rcc rId="6704" sId="1" odxf="1" dxf="1">
    <nc r="D545" t="inlineStr">
      <is>
        <t>24-014</t>
      </is>
    </nc>
    <odxf/>
    <ndxf/>
  </rcc>
  <rcc rId="6705" sId="1" odxf="1" dxf="1">
    <nc r="E545" t="inlineStr">
      <is>
        <t>W1028593/1</t>
      </is>
    </nc>
    <odxf/>
    <ndxf/>
  </rcc>
  <rcc rId="6706" sId="1" odxf="1" dxf="1">
    <nc r="F545" t="inlineStr">
      <is>
        <t>VER1/0270-1083</t>
      </is>
    </nc>
    <odxf/>
    <ndxf/>
  </rcc>
  <rcc rId="6707" sId="1" odxf="1" dxf="1">
    <nc r="G545" t="inlineStr">
      <is>
        <t>Spectrum QC HA S3</t>
      </is>
    </nc>
    <odxf/>
    <ndxf/>
  </rcc>
  <rcc rId="6708" sId="1" odxf="1" dxf="1">
    <nc r="H545">
      <v>149.98500000000001</v>
    </nc>
    <odxf/>
    <ndxf/>
  </rcc>
  <rcc rId="6709" sId="1" odxf="1" dxf="1">
    <nc r="I545">
      <v>27.27</v>
    </nc>
    <odxf/>
    <ndxf/>
  </rcc>
  <rcc rId="6710" sId="1" odxf="1" dxf="1">
    <nc r="J545">
      <v>600</v>
    </nc>
    <odxf/>
    <ndxf/>
  </rcc>
  <rcc rId="6711" sId="1" odxf="1" dxf="1">
    <nc r="K545">
      <v>0</v>
    </nc>
    <odxf/>
    <ndxf/>
  </rcc>
  <rcc rId="6712" sId="1" odxf="1" dxf="1" numFmtId="19">
    <nc r="L545">
      <v>46241.236111111109</v>
    </nc>
    <odxf/>
    <ndxf/>
  </rcc>
  <rcc rId="6713" sId="1" odxf="1" dxf="1" numFmtId="19">
    <nc r="M545">
      <v>46244.388888888891</v>
    </nc>
    <odxf/>
    <ndxf/>
  </rcc>
  <rfmt sheetId="1" sqref="N545" start="0" length="0">
    <dxf/>
  </rfmt>
  <rfmt sheetId="1" sqref="O545" start="0" length="0">
    <dxf/>
  </rfmt>
  <rfmt sheetId="1" sqref="P545" start="0" length="0">
    <dxf/>
  </rfmt>
  <rfmt sheetId="1" sqref="Q545" start="0" length="0">
    <dxf/>
  </rfmt>
  <rfmt sheetId="1" sqref="R545" start="0" length="0">
    <dxf/>
  </rfmt>
  <rfmt sheetId="1" sqref="S545" start="0" length="0">
    <dxf/>
  </rfmt>
  <rfmt sheetId="1" sqref="T545" start="0" length="0">
    <dxf/>
  </rfmt>
  <rfmt sheetId="1" sqref="U545" start="0" length="0">
    <dxf/>
  </rfmt>
  <rfmt sheetId="1" sqref="V545" start="0" length="0">
    <dxf/>
  </rfmt>
  <rfmt sheetId="1" sqref="W545" start="0" length="0">
    <dxf/>
  </rfmt>
  <rfmt sheetId="1" sqref="X545" start="0" length="0">
    <dxf/>
  </rfmt>
  <rfmt sheetId="1" sqref="Y545" start="0" length="0">
    <dxf/>
  </rfmt>
  <rfmt sheetId="1" sqref="Z545" start="0" length="0">
    <dxf/>
  </rfmt>
  <rcc rId="6714" sId="1" odxf="1" dxf="1">
    <nc r="AA545" t="inlineStr">
      <is>
        <t>1</t>
      </is>
    </nc>
    <odxf/>
    <ndxf/>
  </rcc>
  <rcc rId="6715" sId="1" odxf="1" dxf="1">
    <nc r="AB545" t="inlineStr">
      <is>
        <t>0</t>
      </is>
    </nc>
    <odxf/>
    <ndxf/>
  </rcc>
  <rfmt sheetId="1" sqref="A545:XFD545" start="0" length="0">
    <dxf/>
  </rfmt>
  <rcc rId="6716" sId="1" odxf="1" dxf="1">
    <nc r="A546" t="inlineStr">
      <is>
        <t>Zone 3</t>
      </is>
    </nc>
    <odxf/>
    <ndxf/>
  </rcc>
  <rcc rId="6717" sId="1" odxf="1" dxf="1">
    <nc r="B546" t="inlineStr">
      <is>
        <t>Lopro QC S3</t>
      </is>
    </nc>
    <odxf/>
    <ndxf/>
  </rcc>
  <rcc rId="6718" sId="1" odxf="1" dxf="1">
    <nc r="C546">
      <v>5.5</v>
    </nc>
    <odxf/>
    <ndxf/>
  </rcc>
  <rcc rId="6719" sId="1" odxf="1" dxf="1">
    <nc r="D546" t="inlineStr">
      <is>
        <t>24-014</t>
      </is>
    </nc>
    <odxf/>
    <ndxf/>
  </rcc>
  <rcc rId="6720" sId="1" odxf="1" dxf="1">
    <nc r="E546" t="inlineStr">
      <is>
        <t>W1028594/1</t>
      </is>
    </nc>
    <odxf/>
    <ndxf/>
  </rcc>
  <rcc rId="6721" sId="1" odxf="1" dxf="1">
    <nc r="F546" t="inlineStr">
      <is>
        <t>VER1/0270-1083</t>
      </is>
    </nc>
    <odxf/>
    <ndxf/>
  </rcc>
  <rcc rId="6722" sId="1" odxf="1" dxf="1">
    <nc r="G546" t="inlineStr">
      <is>
        <t>Spectrum QC HA S3</t>
      </is>
    </nc>
    <odxf/>
    <ndxf/>
  </rcc>
  <rcc rId="6723" sId="1" odxf="1" dxf="1">
    <nc r="H546">
      <v>149.98500000000001</v>
    </nc>
    <odxf/>
    <ndxf/>
  </rcc>
  <rcc rId="6724" sId="1" odxf="1" dxf="1">
    <nc r="I546">
      <v>27.27</v>
    </nc>
    <odxf/>
    <ndxf/>
  </rcc>
  <rcc rId="6725" sId="1" odxf="1" dxf="1">
    <nc r="J546">
      <v>600</v>
    </nc>
    <odxf/>
    <ndxf/>
  </rcc>
  <rcc rId="6726" sId="1" odxf="1" dxf="1">
    <nc r="K546">
      <v>0</v>
    </nc>
    <odxf/>
    <ndxf/>
  </rcc>
  <rcc rId="6727" sId="1" odxf="1" dxf="1" numFmtId="19">
    <nc r="L546">
      <v>46244.395833333336</v>
    </nc>
    <odxf/>
    <ndxf/>
  </rcc>
  <rcc rId="6728" sId="1" odxf="1" dxf="1" numFmtId="19">
    <nc r="M546">
      <v>46245.548611111109</v>
    </nc>
    <odxf/>
    <ndxf/>
  </rcc>
  <rfmt sheetId="1" sqref="N546" start="0" length="0">
    <dxf/>
  </rfmt>
  <rfmt sheetId="1" sqref="O546" start="0" length="0">
    <dxf/>
  </rfmt>
  <rfmt sheetId="1" sqref="P546" start="0" length="0">
    <dxf/>
  </rfmt>
  <rfmt sheetId="1" sqref="Q546" start="0" length="0">
    <dxf/>
  </rfmt>
  <rfmt sheetId="1" sqref="R546" start="0" length="0">
    <dxf/>
  </rfmt>
  <rfmt sheetId="1" sqref="S546" start="0" length="0">
    <dxf/>
  </rfmt>
  <rfmt sheetId="1" sqref="T546" start="0" length="0">
    <dxf/>
  </rfmt>
  <rfmt sheetId="1" sqref="U546" start="0" length="0">
    <dxf/>
  </rfmt>
  <rfmt sheetId="1" sqref="V546" start="0" length="0">
    <dxf/>
  </rfmt>
  <rfmt sheetId="1" sqref="W546" start="0" length="0">
    <dxf/>
  </rfmt>
  <rfmt sheetId="1" sqref="X546" start="0" length="0">
    <dxf/>
  </rfmt>
  <rfmt sheetId="1" sqref="Y546" start="0" length="0">
    <dxf/>
  </rfmt>
  <rfmt sheetId="1" sqref="Z546" start="0" length="0">
    <dxf/>
  </rfmt>
  <rcc rId="6729" sId="1" odxf="1" dxf="1">
    <nc r="AA546" t="inlineStr">
      <is>
        <t>1</t>
      </is>
    </nc>
    <odxf/>
    <ndxf/>
  </rcc>
  <rcc rId="6730" sId="1" odxf="1" dxf="1">
    <nc r="AB546" t="inlineStr">
      <is>
        <t>0</t>
      </is>
    </nc>
    <odxf/>
    <ndxf/>
  </rcc>
  <rfmt sheetId="1" sqref="A546:XFD546" start="0" length="0">
    <dxf/>
  </rfmt>
  <rcc rId="6731" sId="1" odxf="1" dxf="1">
    <nc r="A547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732" sId="1" odxf="1" dxf="1">
    <nc r="B547" t="inlineStr">
      <is>
        <t>Lopro QC S3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733" sId="1" odxf="1" dxf="1">
    <nc r="C547">
      <v>5.5</v>
    </nc>
    <odxf>
      <border outline="0">
        <bottom/>
      </border>
    </odxf>
    <ndxf>
      <border outline="0">
        <bottom style="medium">
          <color indexed="64"/>
        </bottom>
      </border>
    </ndxf>
  </rcc>
  <rcc rId="6734" sId="1" odxf="1" dxf="1">
    <nc r="D547" t="inlineStr">
      <is>
        <t>24-014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735" sId="1" odxf="1" dxf="1">
    <nc r="E547" t="inlineStr">
      <is>
        <t>W1028595/1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736" sId="1" odxf="1" dxf="1">
    <nc r="F547" t="inlineStr">
      <is>
        <t>VER1/0270-1083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737" sId="1" odxf="1" dxf="1">
    <nc r="G547" t="inlineStr">
      <is>
        <t>Spectrum QC HA S3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738" sId="1" odxf="1" dxf="1">
    <nc r="H547">
      <v>75.02</v>
    </nc>
    <odxf>
      <border outline="0">
        <bottom/>
      </border>
    </odxf>
    <ndxf>
      <border outline="0">
        <bottom style="medium">
          <color indexed="64"/>
        </bottom>
      </border>
    </ndxf>
  </rcc>
  <rcc rId="6739" sId="1" odxf="1" dxf="1">
    <nc r="I547">
      <v>13.64</v>
    </nc>
    <odxf>
      <border outline="0">
        <bottom/>
      </border>
    </odxf>
    <ndxf>
      <border outline="0">
        <bottom style="medium">
          <color indexed="64"/>
        </bottom>
      </border>
    </ndxf>
  </rcc>
  <rcc rId="6740" sId="1" odxf="1" dxf="1">
    <nc r="J547">
      <v>300</v>
    </nc>
    <odxf>
      <border outline="0">
        <bottom/>
      </border>
    </odxf>
    <ndxf>
      <border outline="0">
        <bottom style="medium">
          <color indexed="64"/>
        </bottom>
      </border>
    </ndxf>
  </rcc>
  <rcc rId="6741" sId="1" odxf="1" dxf="1">
    <nc r="K547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6742" sId="1" odxf="1" dxf="1" numFmtId="19">
    <nc r="L547">
      <v>46245.555555555555</v>
    </nc>
    <odxf>
      <border outline="0">
        <bottom/>
      </border>
    </odxf>
    <ndxf>
      <border outline="0">
        <bottom style="medium">
          <color indexed="64"/>
        </bottom>
      </border>
    </ndxf>
  </rcc>
  <rcc rId="6743" sId="1" odxf="1" dxf="1" numFmtId="19">
    <nc r="M547">
      <v>46246.138888888891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547" start="0" length="0">
    <dxf>
      <border outline="0">
        <bottom style="medium">
          <color indexed="64"/>
        </bottom>
      </border>
    </dxf>
  </rfmt>
  <rfmt sheetId="1" sqref="O547" start="0" length="0">
    <dxf>
      <border outline="0">
        <bottom style="medium">
          <color indexed="64"/>
        </bottom>
      </border>
    </dxf>
  </rfmt>
  <rfmt sheetId="1" sqref="P547" start="0" length="0">
    <dxf>
      <border outline="0">
        <bottom style="medium">
          <color indexed="64"/>
        </bottom>
      </border>
    </dxf>
  </rfmt>
  <rfmt sheetId="1" sqref="Q547" start="0" length="0">
    <dxf>
      <border outline="0">
        <bottom style="medium">
          <color indexed="64"/>
        </bottom>
      </border>
    </dxf>
  </rfmt>
  <rfmt sheetId="1" sqref="R547" start="0" length="0">
    <dxf>
      <border outline="0">
        <bottom style="medium">
          <color indexed="64"/>
        </bottom>
      </border>
    </dxf>
  </rfmt>
  <rfmt sheetId="1" sqref="S547" start="0" length="0">
    <dxf>
      <border outline="0">
        <bottom style="medium">
          <color indexed="64"/>
        </bottom>
      </border>
    </dxf>
  </rfmt>
  <rfmt sheetId="1" sqref="T547" start="0" length="0">
    <dxf>
      <border outline="0">
        <bottom style="medium">
          <color indexed="64"/>
        </bottom>
      </border>
    </dxf>
  </rfmt>
  <rfmt sheetId="1" sqref="U547" start="0" length="0">
    <dxf>
      <border outline="0">
        <bottom style="medium">
          <color indexed="64"/>
        </bottom>
      </border>
    </dxf>
  </rfmt>
  <rfmt sheetId="1" sqref="V547" start="0" length="0">
    <dxf>
      <border outline="0">
        <bottom style="medium">
          <color indexed="64"/>
        </bottom>
      </border>
    </dxf>
  </rfmt>
  <rfmt sheetId="1" sqref="W547" start="0" length="0">
    <dxf>
      <border outline="0">
        <bottom style="medium">
          <color indexed="64"/>
        </bottom>
      </border>
    </dxf>
  </rfmt>
  <rfmt sheetId="1" sqref="X547" start="0" length="0">
    <dxf>
      <border outline="0">
        <bottom style="medium">
          <color indexed="64"/>
        </bottom>
      </border>
    </dxf>
  </rfmt>
  <rfmt sheetId="1" sqref="Y547" start="0" length="0">
    <dxf>
      <border outline="0">
        <bottom style="medium">
          <color indexed="64"/>
        </bottom>
      </border>
    </dxf>
  </rfmt>
  <rfmt sheetId="1" sqref="Z547" start="0" length="0">
    <dxf>
      <border outline="0">
        <bottom style="medium">
          <color indexed="64"/>
        </bottom>
      </border>
    </dxf>
  </rfmt>
  <rcc rId="6744" sId="1" odxf="1" dxf="1">
    <nc r="AA547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6745" sId="1" odxf="1" dxf="1">
    <nc r="AB547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547:XFD547" start="0" length="0">
    <dxf>
      <border outline="0">
        <bottom style="medium">
          <color indexed="64"/>
        </bottom>
      </border>
    </dxf>
  </rfmt>
  <rcc rId="6746" sId="1" odxf="1" dxf="1">
    <nc r="A548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47" sId="1" odxf="1" dxf="1">
    <nc r="B548" t="inlineStr">
      <is>
        <t>Lopro QC S4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48" sId="1" odxf="1" dxf="1">
    <nc r="C548">
      <v>5.5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49" sId="1" odxf="1" dxf="1">
    <nc r="D548" t="inlineStr">
      <is>
        <t>24-015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50" sId="1" odxf="1" dxf="1">
    <nc r="E548" t="inlineStr">
      <is>
        <t>W1027552/1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51" sId="1" odxf="1" dxf="1">
    <nc r="F548" t="inlineStr">
      <is>
        <t>VER1/0270-1084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52" sId="1" odxf="1" dxf="1">
    <nc r="G548" t="inlineStr">
      <is>
        <t>Spectrum QC HA S4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53" sId="1" odxf="1" dxf="1">
    <nc r="H548">
      <v>149.98500000000001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54" sId="1" odxf="1" dxf="1">
    <nc r="I548">
      <v>27.27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55" sId="1" odxf="1" dxf="1">
    <nc r="J548">
      <v>600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56" sId="1" odxf="1" dxf="1">
    <nc r="K548">
      <v>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57" sId="1" odxf="1" dxf="1" numFmtId="19">
    <nc r="L548">
      <v>46209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58" sId="1" odxf="1" dxf="1" numFmtId="19">
    <nc r="M548">
      <v>46210.152777777781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N548" start="0" length="0">
    <dxf>
      <fill>
        <patternFill patternType="solid">
          <bgColor theme="8" tint="0.39997558519241921"/>
        </patternFill>
      </fill>
    </dxf>
  </rfmt>
  <rcc rId="6759" sId="1" odxf="1" dxf="1">
    <nc r="O548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P548" start="0" length="0">
    <dxf>
      <fill>
        <patternFill patternType="solid">
          <bgColor theme="8" tint="0.39997558519241921"/>
        </patternFill>
      </fill>
    </dxf>
  </rfmt>
  <rfmt sheetId="1" sqref="Q548" start="0" length="0">
    <dxf>
      <fill>
        <patternFill patternType="solid">
          <bgColor theme="8" tint="0.39997558519241921"/>
        </patternFill>
      </fill>
    </dxf>
  </rfmt>
  <rfmt sheetId="1" sqref="R548" start="0" length="0">
    <dxf>
      <fill>
        <patternFill patternType="solid">
          <bgColor theme="8" tint="0.39997558519241921"/>
        </patternFill>
      </fill>
    </dxf>
  </rfmt>
  <rfmt sheetId="1" sqref="S548" start="0" length="0">
    <dxf>
      <fill>
        <patternFill patternType="solid">
          <bgColor theme="8" tint="0.39997558519241921"/>
        </patternFill>
      </fill>
    </dxf>
  </rfmt>
  <rfmt sheetId="1" sqref="T548" start="0" length="0">
    <dxf>
      <fill>
        <patternFill patternType="solid">
          <bgColor theme="8" tint="0.39997558519241921"/>
        </patternFill>
      </fill>
    </dxf>
  </rfmt>
  <rfmt sheetId="1" sqref="U548" start="0" length="0">
    <dxf>
      <fill>
        <patternFill patternType="solid">
          <bgColor theme="8" tint="0.39997558519241921"/>
        </patternFill>
      </fill>
    </dxf>
  </rfmt>
  <rfmt sheetId="1" sqref="V548" start="0" length="0">
    <dxf>
      <fill>
        <patternFill patternType="solid">
          <bgColor theme="8" tint="0.39997558519241921"/>
        </patternFill>
      </fill>
    </dxf>
  </rfmt>
  <rfmt sheetId="1" sqref="W548" start="0" length="0">
    <dxf>
      <fill>
        <patternFill patternType="solid">
          <bgColor theme="8" tint="0.39997558519241921"/>
        </patternFill>
      </fill>
    </dxf>
  </rfmt>
  <rfmt sheetId="1" sqref="X548" start="0" length="0">
    <dxf>
      <fill>
        <patternFill patternType="solid">
          <bgColor theme="8" tint="0.39997558519241921"/>
        </patternFill>
      </fill>
    </dxf>
  </rfmt>
  <rfmt sheetId="1" sqref="Y548" start="0" length="0">
    <dxf>
      <fill>
        <patternFill patternType="solid">
          <bgColor theme="8" tint="0.39997558519241921"/>
        </patternFill>
      </fill>
    </dxf>
  </rfmt>
  <rfmt sheetId="1" sqref="Z548" start="0" length="0">
    <dxf>
      <fill>
        <patternFill patternType="solid">
          <bgColor theme="8" tint="0.39997558519241921"/>
        </patternFill>
      </fill>
    </dxf>
  </rfmt>
  <rcc rId="6760" sId="1" odxf="1" dxf="1">
    <nc r="AA548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6761" sId="1" odxf="1" dxf="1">
    <nc r="AB548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A548:XFD548" start="0" length="0">
    <dxf>
      <fill>
        <patternFill patternType="solid">
          <bgColor theme="8" tint="0.39997558519241921"/>
        </patternFill>
      </fill>
    </dxf>
  </rfmt>
  <rcc rId="6762" sId="1" odxf="1" dxf="1">
    <nc r="A549" t="inlineStr">
      <is>
        <t>Zone 3</t>
      </is>
    </nc>
    <odxf/>
    <ndxf/>
  </rcc>
  <rcc rId="6763" sId="1" odxf="1" dxf="1">
    <nc r="B549" t="inlineStr">
      <is>
        <t>Lopro QC S4</t>
      </is>
    </nc>
    <odxf/>
    <ndxf/>
  </rcc>
  <rcc rId="6764" sId="1" odxf="1" dxf="1">
    <nc r="C549">
      <v>5.5</v>
    </nc>
    <odxf/>
    <ndxf/>
  </rcc>
  <rcc rId="6765" sId="1" odxf="1" dxf="1">
    <nc r="D549" t="inlineStr">
      <is>
        <t>24-015</t>
      </is>
    </nc>
    <odxf/>
    <ndxf/>
  </rcc>
  <rcc rId="6766" sId="1" odxf="1" dxf="1">
    <nc r="E549" t="inlineStr">
      <is>
        <t>W1029429/Cel</t>
      </is>
    </nc>
    <odxf>
      <fill>
        <patternFill patternType="none">
          <bgColor indexed="65"/>
        </patternFill>
      </fill>
    </odxf>
    <ndxf>
      <fill>
        <patternFill patternType="solid">
          <bgColor theme="4" tint="0.79998168889431442"/>
        </patternFill>
      </fill>
    </ndxf>
  </rcc>
  <rcc rId="6767" sId="1" odxf="1" dxf="1">
    <nc r="F549" t="inlineStr">
      <is>
        <t>VER1/0270-1084</t>
      </is>
    </nc>
    <odxf/>
    <ndxf/>
  </rcc>
  <rcc rId="6768" sId="1" odxf="1" dxf="1">
    <nc r="G549" t="inlineStr">
      <is>
        <t>Spectrum QC HA S4</t>
      </is>
    </nc>
    <odxf/>
    <ndxf/>
  </rcc>
  <rcc rId="6769" sId="1" odxf="1" dxf="1">
    <nc r="H549">
      <v>2.5299999999999998</v>
    </nc>
    <odxf/>
    <ndxf/>
  </rcc>
  <rcc rId="6770" sId="1" odxf="1" dxf="1">
    <nc r="I549">
      <v>0.1</v>
    </nc>
    <odxf/>
    <ndxf/>
  </rcc>
  <rcc rId="6771" sId="1" odxf="1" dxf="1">
    <nc r="J549">
      <v>10.199999999999999</v>
    </nc>
    <odxf/>
    <ndxf/>
  </rcc>
  <rcc rId="6772" sId="1" odxf="1" dxf="1">
    <nc r="K549">
      <v>8</v>
    </nc>
    <odxf/>
    <ndxf/>
  </rcc>
  <rcc rId="6773" sId="1" odxf="1" dxf="1" numFmtId="19">
    <nc r="L549">
      <v>46208.958333333336</v>
    </nc>
    <odxf/>
    <ndxf/>
  </rcc>
  <rcc rId="6774" sId="1" odxf="1" dxf="1" numFmtId="19">
    <nc r="M549">
      <v>46208.958333333336</v>
    </nc>
    <odxf/>
    <ndxf/>
  </rcc>
  <rfmt sheetId="1" sqref="N549" start="0" length="0">
    <dxf>
      <fill>
        <patternFill patternType="solid">
          <bgColor theme="4" tint="0.79998168889431442"/>
        </patternFill>
      </fill>
    </dxf>
  </rfmt>
  <rcc rId="6775" sId="1" odxf="1" dxf="1">
    <nc r="O549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theme="4" tint="0.79998168889431442"/>
        </patternFill>
      </fill>
    </ndxf>
  </rcc>
  <rfmt sheetId="1" sqref="P549" start="0" length="0">
    <dxf>
      <fill>
        <patternFill patternType="solid">
          <bgColor theme="4" tint="0.79998168889431442"/>
        </patternFill>
      </fill>
    </dxf>
  </rfmt>
  <rfmt sheetId="1" sqref="Q549" start="0" length="0">
    <dxf>
      <fill>
        <patternFill patternType="solid">
          <bgColor theme="4" tint="0.79998168889431442"/>
        </patternFill>
      </fill>
    </dxf>
  </rfmt>
  <rfmt sheetId="1" sqref="R549" start="0" length="0">
    <dxf>
      <fill>
        <patternFill patternType="solid">
          <bgColor theme="4" tint="0.79998168889431442"/>
        </patternFill>
      </fill>
    </dxf>
  </rfmt>
  <rfmt sheetId="1" sqref="S549" start="0" length="0">
    <dxf>
      <fill>
        <patternFill patternType="solid">
          <bgColor theme="4" tint="0.79998168889431442"/>
        </patternFill>
      </fill>
    </dxf>
  </rfmt>
  <rfmt sheetId="1" sqref="T549" start="0" length="0">
    <dxf/>
  </rfmt>
  <rfmt sheetId="1" sqref="U549" start="0" length="0">
    <dxf/>
  </rfmt>
  <rfmt sheetId="1" sqref="V549" start="0" length="0">
    <dxf/>
  </rfmt>
  <rfmt sheetId="1" sqref="W549" start="0" length="0">
    <dxf/>
  </rfmt>
  <rfmt sheetId="1" sqref="X549" start="0" length="0">
    <dxf/>
  </rfmt>
  <rfmt sheetId="1" sqref="Y549" start="0" length="0">
    <dxf/>
  </rfmt>
  <rfmt sheetId="1" sqref="Z549" start="0" length="0">
    <dxf/>
  </rfmt>
  <rcc rId="6776" sId="1" odxf="1" dxf="1">
    <nc r="AA549" t="inlineStr">
      <is>
        <t>Cel</t>
      </is>
    </nc>
    <odxf/>
    <ndxf/>
  </rcc>
  <rcc rId="6777" sId="1" odxf="1" dxf="1">
    <nc r="AB549" t="inlineStr">
      <is>
        <t>0</t>
      </is>
    </nc>
    <odxf/>
    <ndxf/>
  </rcc>
  <rfmt sheetId="1" sqref="A549:XFD549" start="0" length="0">
    <dxf/>
  </rfmt>
  <rcc rId="6778" sId="1" odxf="1" dxf="1">
    <nc r="A550" t="inlineStr">
      <is>
        <t>Zone 3</t>
      </is>
    </nc>
    <odxf/>
    <ndxf/>
  </rcc>
  <rcc rId="6779" sId="1" odxf="1" dxf="1">
    <nc r="B550" t="inlineStr">
      <is>
        <t>Lopro QC S4</t>
      </is>
    </nc>
    <odxf/>
    <ndxf/>
  </rcc>
  <rcc rId="6780" sId="1" odxf="1" dxf="1">
    <nc r="C550">
      <v>5.5</v>
    </nc>
    <odxf/>
    <ndxf/>
  </rcc>
  <rcc rId="6781" sId="1" odxf="1" dxf="1">
    <nc r="D550" t="inlineStr">
      <is>
        <t>24-015</t>
      </is>
    </nc>
    <odxf/>
    <ndxf/>
  </rcc>
  <rcc rId="6782" sId="1" odxf="1" dxf="1">
    <nc r="E550" t="inlineStr">
      <is>
        <t>W1029430/SMI</t>
      </is>
    </nc>
    <odxf>
      <fill>
        <patternFill patternType="none">
          <bgColor indexed="65"/>
        </patternFill>
      </fill>
    </odxf>
    <ndxf>
      <fill>
        <patternFill patternType="solid">
          <bgColor theme="4" tint="0.79998168889431442"/>
        </patternFill>
      </fill>
    </ndxf>
  </rcc>
  <rcc rId="6783" sId="1" odxf="1" dxf="1">
    <nc r="F550" t="inlineStr">
      <is>
        <t>VER1/0270-1084</t>
      </is>
    </nc>
    <odxf/>
    <ndxf/>
  </rcc>
  <rcc rId="6784" sId="1" odxf="1" dxf="1">
    <nc r="G550" t="inlineStr">
      <is>
        <t>Spectrum QC HA S4</t>
      </is>
    </nc>
    <odxf/>
    <ndxf/>
  </rcc>
  <rcc rId="6785" sId="1" odxf="1" dxf="1">
    <nc r="H550">
      <v>2.5299999999999998</v>
    </nc>
    <odxf/>
    <ndxf/>
  </rcc>
  <rcc rId="6786" sId="1" odxf="1" dxf="1">
    <nc r="I550">
      <v>0.46</v>
    </nc>
    <odxf/>
    <ndxf/>
  </rcc>
  <rcc rId="6787" sId="1" odxf="1" dxf="1">
    <nc r="J550">
      <v>10.199999999999999</v>
    </nc>
    <odxf/>
    <ndxf/>
  </rcc>
  <rcc rId="6788" sId="1" odxf="1" dxf="1">
    <nc r="K550">
      <v>0</v>
    </nc>
    <odxf/>
    <ndxf/>
  </rcc>
  <rcc rId="6789" sId="1" odxf="1" dxf="1" numFmtId="19">
    <nc r="L550">
      <v>46210.159722222219</v>
    </nc>
    <odxf/>
    <ndxf/>
  </rcc>
  <rcc rId="6790" sId="1" odxf="1" dxf="1" numFmtId="19">
    <nc r="M550">
      <v>46210.194444444445</v>
    </nc>
    <odxf/>
    <ndxf/>
  </rcc>
  <rfmt sheetId="1" sqref="N550" start="0" length="0">
    <dxf>
      <fill>
        <patternFill patternType="solid">
          <bgColor theme="4" tint="0.79998168889431442"/>
        </patternFill>
      </fill>
    </dxf>
  </rfmt>
  <rcc rId="6791" sId="1" odxf="1" dxf="1">
    <nc r="O550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theme="4" tint="0.79998168889431442"/>
        </patternFill>
      </fill>
    </ndxf>
  </rcc>
  <rfmt sheetId="1" sqref="P550" start="0" length="0">
    <dxf>
      <fill>
        <patternFill patternType="solid">
          <bgColor theme="4" tint="0.79998168889431442"/>
        </patternFill>
      </fill>
    </dxf>
  </rfmt>
  <rfmt sheetId="1" sqref="Q550" start="0" length="0">
    <dxf>
      <fill>
        <patternFill patternType="solid">
          <bgColor theme="4" tint="0.79998168889431442"/>
        </patternFill>
      </fill>
    </dxf>
  </rfmt>
  <rfmt sheetId="1" sqref="R550" start="0" length="0">
    <dxf>
      <fill>
        <patternFill patternType="solid">
          <bgColor theme="4" tint="0.79998168889431442"/>
        </patternFill>
      </fill>
    </dxf>
  </rfmt>
  <rfmt sheetId="1" sqref="S550" start="0" length="0">
    <dxf>
      <fill>
        <patternFill patternType="solid">
          <bgColor theme="4" tint="0.79998168889431442"/>
        </patternFill>
      </fill>
    </dxf>
  </rfmt>
  <rfmt sheetId="1" sqref="T550" start="0" length="0">
    <dxf/>
  </rfmt>
  <rfmt sheetId="1" sqref="U550" start="0" length="0">
    <dxf/>
  </rfmt>
  <rfmt sheetId="1" sqref="V550" start="0" length="0">
    <dxf/>
  </rfmt>
  <rfmt sheetId="1" sqref="W550" start="0" length="0">
    <dxf/>
  </rfmt>
  <rfmt sheetId="1" sqref="X550" start="0" length="0">
    <dxf/>
  </rfmt>
  <rfmt sheetId="1" sqref="Y550" start="0" length="0">
    <dxf/>
  </rfmt>
  <rfmt sheetId="1" sqref="Z550" start="0" length="0">
    <dxf/>
  </rfmt>
  <rcc rId="6792" sId="1" odxf="1" dxf="1">
    <nc r="AA550" t="inlineStr">
      <is>
        <t>SMI</t>
      </is>
    </nc>
    <odxf/>
    <ndxf/>
  </rcc>
  <rcc rId="6793" sId="1" odxf="1" dxf="1">
    <nc r="AB550" t="inlineStr">
      <is>
        <t>0</t>
      </is>
    </nc>
    <odxf/>
    <ndxf/>
  </rcc>
  <rfmt sheetId="1" sqref="A550:XFD550" start="0" length="0">
    <dxf/>
  </rfmt>
  <rcc rId="6794" sId="1" odxf="1" dxf="1">
    <nc r="A551" t="inlineStr">
      <is>
        <t>Zone 3</t>
      </is>
    </nc>
    <odxf/>
    <ndxf/>
  </rcc>
  <rcc rId="6795" sId="1" odxf="1" dxf="1">
    <nc r="B551" t="inlineStr">
      <is>
        <t>Lopro QC S4</t>
      </is>
    </nc>
    <odxf/>
    <ndxf/>
  </rcc>
  <rcc rId="6796" sId="1" odxf="1" dxf="1">
    <nc r="C551">
      <v>5.5</v>
    </nc>
    <odxf/>
    <ndxf/>
  </rcc>
  <rcc rId="6797" sId="1" odxf="1" dxf="1">
    <nc r="D551" t="inlineStr">
      <is>
        <t>24-015</t>
      </is>
    </nc>
    <odxf/>
    <ndxf/>
  </rcc>
  <rcc rId="6798" sId="1" odxf="1" dxf="1">
    <nc r="E551" t="inlineStr">
      <is>
        <t>W1029272/1</t>
      </is>
    </nc>
    <odxf/>
    <ndxf/>
  </rcc>
  <rcc rId="6799" sId="1" odxf="1" dxf="1">
    <nc r="F551" t="inlineStr">
      <is>
        <t>VER1/0270-1084</t>
      </is>
    </nc>
    <odxf/>
    <ndxf/>
  </rcc>
  <rcc rId="6800" sId="1" odxf="1" dxf="1">
    <nc r="G551" t="inlineStr">
      <is>
        <t>Spectrum QC HA S4</t>
      </is>
    </nc>
    <odxf/>
    <ndxf/>
  </rcc>
  <rcc rId="6801" sId="1" odxf="1" dxf="1">
    <nc r="H551">
      <v>75.02</v>
    </nc>
    <odxf/>
    <ndxf/>
  </rcc>
  <rcc rId="6802" sId="1" odxf="1" dxf="1">
    <nc r="I551">
      <v>13.64</v>
    </nc>
    <odxf/>
    <ndxf/>
  </rcc>
  <rcc rId="6803" sId="1" odxf="1" dxf="1">
    <nc r="J551">
      <v>300</v>
    </nc>
    <odxf/>
    <ndxf/>
  </rcc>
  <rcc rId="6804" sId="1" odxf="1" dxf="1">
    <nc r="K551">
      <v>0</v>
    </nc>
    <odxf/>
    <ndxf/>
  </rcc>
  <rcc rId="6805" sId="1" odxf="1" dxf="1" numFmtId="19">
    <nc r="L551">
      <v>46210.201388888891</v>
    </nc>
    <odxf/>
    <ndxf/>
  </rcc>
  <rcc rId="6806" sId="1" odxf="1" dxf="1" numFmtId="19">
    <nc r="M551">
      <v>46210.784722222219</v>
    </nc>
    <odxf/>
    <ndxf/>
  </rcc>
  <rfmt sheetId="1" sqref="N551" start="0" length="0">
    <dxf/>
  </rfmt>
  <rfmt sheetId="1" sqref="O551" start="0" length="0">
    <dxf/>
  </rfmt>
  <rfmt sheetId="1" sqref="P551" start="0" length="0">
    <dxf/>
  </rfmt>
  <rfmt sheetId="1" sqref="Q551" start="0" length="0">
    <dxf/>
  </rfmt>
  <rfmt sheetId="1" sqref="R551" start="0" length="0">
    <dxf/>
  </rfmt>
  <rfmt sheetId="1" sqref="S551" start="0" length="0">
    <dxf/>
  </rfmt>
  <rfmt sheetId="1" sqref="T551" start="0" length="0">
    <dxf/>
  </rfmt>
  <rfmt sheetId="1" sqref="U551" start="0" length="0">
    <dxf/>
  </rfmt>
  <rfmt sheetId="1" sqref="V551" start="0" length="0">
    <dxf/>
  </rfmt>
  <rfmt sheetId="1" sqref="W551" start="0" length="0">
    <dxf/>
  </rfmt>
  <rfmt sheetId="1" sqref="X551" start="0" length="0">
    <dxf/>
  </rfmt>
  <rfmt sheetId="1" sqref="Y551" start="0" length="0">
    <dxf/>
  </rfmt>
  <rfmt sheetId="1" sqref="Z551" start="0" length="0">
    <dxf/>
  </rfmt>
  <rcc rId="6807" sId="1" odxf="1" dxf="1">
    <nc r="AA551" t="inlineStr">
      <is>
        <t>1</t>
      </is>
    </nc>
    <odxf/>
    <ndxf/>
  </rcc>
  <rcc rId="6808" sId="1" odxf="1" dxf="1">
    <nc r="AB551" t="inlineStr">
      <is>
        <t>0</t>
      </is>
    </nc>
    <odxf/>
    <ndxf/>
  </rcc>
  <rfmt sheetId="1" sqref="A551:XFD551" start="0" length="0">
    <dxf/>
  </rfmt>
  <rcc rId="6809" sId="1" odxf="1" dxf="1">
    <nc r="A552" t="inlineStr">
      <is>
        <t>Zone 3</t>
      </is>
    </nc>
    <odxf/>
    <ndxf/>
  </rcc>
  <rcc rId="6810" sId="1" odxf="1" dxf="1">
    <nc r="B552" t="inlineStr">
      <is>
        <t>Lopro QC S4</t>
      </is>
    </nc>
    <odxf/>
    <ndxf/>
  </rcc>
  <rcc rId="6811" sId="1" odxf="1" dxf="1">
    <nc r="C552">
      <v>5.5</v>
    </nc>
    <odxf/>
    <ndxf/>
  </rcc>
  <rcc rId="6812" sId="1" odxf="1" dxf="1">
    <nc r="D552" t="inlineStr">
      <is>
        <t>24-015</t>
      </is>
    </nc>
    <odxf/>
    <ndxf/>
  </rcc>
  <rcc rId="6813" sId="1" odxf="1" dxf="1">
    <nc r="E552" t="inlineStr">
      <is>
        <t>W1027566/1</t>
      </is>
    </nc>
    <odxf/>
    <ndxf/>
  </rcc>
  <rcc rId="6814" sId="1" odxf="1" dxf="1">
    <nc r="F552" t="inlineStr">
      <is>
        <t>VER1/0270-1146</t>
      </is>
    </nc>
    <odxf/>
    <ndxf/>
  </rcc>
  <rcc rId="6815" sId="1" odxf="1" dxf="1">
    <nc r="G552" t="inlineStr">
      <is>
        <t>QC ECO ,HA S4, NS, GS SPECTRUM BOX-10</t>
      </is>
    </nc>
    <odxf/>
    <ndxf/>
  </rcc>
  <rcc rId="6816" sId="1" odxf="1" dxf="1">
    <nc r="H552">
      <v>75.02</v>
    </nc>
    <odxf/>
    <ndxf/>
  </rcc>
  <rcc rId="6817" sId="1" odxf="1" dxf="1">
    <nc r="I552">
      <v>13.64</v>
    </nc>
    <odxf/>
    <ndxf/>
  </rcc>
  <rcc rId="6818" sId="1" odxf="1" dxf="1">
    <nc r="J552">
      <v>300</v>
    </nc>
    <odxf/>
    <ndxf/>
  </rcc>
  <rcc rId="6819" sId="1" odxf="1" dxf="1">
    <nc r="K552">
      <v>0</v>
    </nc>
    <odxf/>
    <ndxf/>
  </rcc>
  <rcc rId="6820" sId="1" odxf="1" dxf="1" numFmtId="19">
    <nc r="L552">
      <v>46210.791666666664</v>
    </nc>
    <odxf/>
    <ndxf/>
  </rcc>
  <rcc rId="6821" sId="1" odxf="1" dxf="1" numFmtId="19">
    <nc r="M552">
      <v>46211.375</v>
    </nc>
    <odxf/>
    <ndxf/>
  </rcc>
  <rfmt sheetId="1" sqref="N552" start="0" length="0">
    <dxf/>
  </rfmt>
  <rcc rId="6822" sId="1" odxf="1" dxf="1">
    <nc r="O552" t="inlineStr">
      <is>
        <t>P</t>
      </is>
    </nc>
    <odxf/>
    <ndxf/>
  </rcc>
  <rfmt sheetId="1" sqref="P552" start="0" length="0">
    <dxf/>
  </rfmt>
  <rfmt sheetId="1" sqref="Q552" start="0" length="0">
    <dxf/>
  </rfmt>
  <rfmt sheetId="1" sqref="R552" start="0" length="0">
    <dxf/>
  </rfmt>
  <rfmt sheetId="1" sqref="S552" start="0" length="0">
    <dxf/>
  </rfmt>
  <rfmt sheetId="1" sqref="T552" start="0" length="0">
    <dxf/>
  </rfmt>
  <rfmt sheetId="1" sqref="U552" start="0" length="0">
    <dxf/>
  </rfmt>
  <rfmt sheetId="1" sqref="V552" start="0" length="0">
    <dxf/>
  </rfmt>
  <rfmt sheetId="1" sqref="W552" start="0" length="0">
    <dxf/>
  </rfmt>
  <rfmt sheetId="1" sqref="X552" start="0" length="0">
    <dxf/>
  </rfmt>
  <rfmt sheetId="1" sqref="Y552" start="0" length="0">
    <dxf/>
  </rfmt>
  <rfmt sheetId="1" sqref="Z552" start="0" length="0">
    <dxf/>
  </rfmt>
  <rcc rId="6823" sId="1" odxf="1" dxf="1">
    <nc r="AA552" t="inlineStr">
      <is>
        <t>1</t>
      </is>
    </nc>
    <odxf/>
    <ndxf/>
  </rcc>
  <rcc rId="6824" sId="1" odxf="1" dxf="1">
    <nc r="AB552" t="inlineStr">
      <is>
        <t>0</t>
      </is>
    </nc>
    <odxf/>
    <ndxf/>
  </rcc>
  <rfmt sheetId="1" sqref="A552:XFD552" start="0" length="0">
    <dxf/>
  </rfmt>
  <rcc rId="6825" sId="1" odxf="1" dxf="1">
    <nc r="A553" t="inlineStr">
      <is>
        <t>Zone 3</t>
      </is>
    </nc>
    <odxf/>
    <ndxf/>
  </rcc>
  <rcc rId="6826" sId="1" odxf="1" dxf="1">
    <nc r="B553" t="inlineStr">
      <is>
        <t>Lopro QC S4</t>
      </is>
    </nc>
    <odxf/>
    <ndxf/>
  </rcc>
  <rcc rId="6827" sId="1" odxf="1" dxf="1">
    <nc r="C553">
      <v>4</v>
    </nc>
    <odxf/>
    <ndxf/>
  </rcc>
  <rfmt sheetId="1" sqref="D553" start="0" length="0">
    <dxf/>
  </rfmt>
  <rcc rId="6828" sId="1" odxf="1" dxf="1">
    <nc r="E553" t="inlineStr">
      <is>
        <t>W1027541/1</t>
      </is>
    </nc>
    <odxf/>
    <ndxf/>
  </rcc>
  <rcc rId="6829" sId="1" odxf="1" dxf="1">
    <nc r="F553" t="inlineStr">
      <is>
        <t>VER1/0270-1145</t>
      </is>
    </nc>
    <odxf/>
    <ndxf/>
  </rcc>
  <rcc rId="6830" sId="1" odxf="1" dxf="1">
    <nc r="G553" t="inlineStr">
      <is>
        <t>QC ECO ,HA S3, NS, GS SPECTRUM BOX-10</t>
      </is>
    </nc>
    <odxf/>
    <ndxf/>
  </rcc>
  <rcc rId="6831" sId="1" odxf="1" dxf="1">
    <nc r="H553">
      <v>133.32</v>
    </nc>
    <odxf/>
    <ndxf/>
  </rcc>
  <rcc rId="6832" sId="1" odxf="1" dxf="1">
    <nc r="I553">
      <v>33.33</v>
    </nc>
    <odxf/>
    <ndxf/>
  </rcc>
  <rcc rId="6833" sId="1" odxf="1" dxf="1">
    <nc r="J553">
      <v>600</v>
    </nc>
    <odxf/>
    <ndxf/>
  </rcc>
  <rcc rId="6834" sId="1" odxf="1" dxf="1">
    <nc r="K553">
      <v>0</v>
    </nc>
    <odxf/>
    <ndxf/>
  </rcc>
  <rcc rId="6835" sId="1" odxf="1" dxf="1" numFmtId="19">
    <nc r="L553">
      <v>46211.381944444445</v>
    </nc>
    <odxf/>
    <ndxf/>
  </rcc>
  <rcc rId="6836" sId="1" odxf="1" dxf="1" numFmtId="19">
    <nc r="M553">
      <v>46212.784722222219</v>
    </nc>
    <odxf/>
    <ndxf/>
  </rcc>
  <rfmt sheetId="1" sqref="N553" start="0" length="0">
    <dxf/>
  </rfmt>
  <rfmt sheetId="1" sqref="O553" start="0" length="0">
    <dxf/>
  </rfmt>
  <rfmt sheetId="1" sqref="P553" start="0" length="0">
    <dxf/>
  </rfmt>
  <rfmt sheetId="1" sqref="Q553" start="0" length="0">
    <dxf/>
  </rfmt>
  <rfmt sheetId="1" sqref="R553" start="0" length="0">
    <dxf/>
  </rfmt>
  <rfmt sheetId="1" sqref="S553" start="0" length="0">
    <dxf/>
  </rfmt>
  <rfmt sheetId="1" sqref="T553" start="0" length="0">
    <dxf/>
  </rfmt>
  <rfmt sheetId="1" sqref="U553" start="0" length="0">
    <dxf/>
  </rfmt>
  <rfmt sheetId="1" sqref="V553" start="0" length="0">
    <dxf/>
  </rfmt>
  <rfmt sheetId="1" sqref="W553" start="0" length="0">
    <dxf/>
  </rfmt>
  <rfmt sheetId="1" sqref="X553" start="0" length="0">
    <dxf/>
  </rfmt>
  <rfmt sheetId="1" sqref="Y553" start="0" length="0">
    <dxf/>
  </rfmt>
  <rfmt sheetId="1" sqref="Z553" start="0" length="0">
    <dxf/>
  </rfmt>
  <rcc rId="6837" sId="1" odxf="1" dxf="1">
    <nc r="AA553" t="inlineStr">
      <is>
        <t>1</t>
      </is>
    </nc>
    <odxf/>
    <ndxf/>
  </rcc>
  <rcc rId="6838" sId="1" odxf="1" dxf="1">
    <nc r="AB553" t="inlineStr">
      <is>
        <t>0</t>
      </is>
    </nc>
    <odxf/>
    <ndxf/>
  </rcc>
  <rfmt sheetId="1" sqref="A553:XFD553" start="0" length="0">
    <dxf/>
  </rfmt>
  <rcc rId="6839" sId="1" odxf="1" dxf="1">
    <nc r="A554" t="inlineStr">
      <is>
        <t>Zone 3</t>
      </is>
    </nc>
    <odxf/>
    <ndxf/>
  </rcc>
  <rcc rId="6840" sId="1" odxf="1" dxf="1">
    <nc r="B554" t="inlineStr">
      <is>
        <t>Lopro QC S4</t>
      </is>
    </nc>
    <odxf/>
    <ndxf/>
  </rcc>
  <rcc rId="6841" sId="1" odxf="1" dxf="1">
    <nc r="C554">
      <v>4</v>
    </nc>
    <odxf/>
    <ndxf/>
  </rcc>
  <rfmt sheetId="1" sqref="D554" start="0" length="0">
    <dxf/>
  </rfmt>
  <rcc rId="6842" sId="1" odxf="1" dxf="1">
    <nc r="E554" t="inlineStr">
      <is>
        <t>W1029078/1</t>
      </is>
    </nc>
    <odxf/>
    <ndxf/>
  </rcc>
  <rcc rId="6843" sId="1" odxf="1" dxf="1">
    <nc r="F554" t="inlineStr">
      <is>
        <t>VER1/0270-1145</t>
      </is>
    </nc>
    <odxf/>
    <ndxf/>
  </rcc>
  <rcc rId="6844" sId="1" odxf="1" dxf="1">
    <nc r="G554" t="inlineStr">
      <is>
        <t>QC ECO ,HA S3, NS, GS SPECTRUM BOX-10</t>
      </is>
    </nc>
    <odxf/>
    <ndxf/>
  </rcc>
  <rcc rId="6845" sId="1" odxf="1" dxf="1">
    <nc r="H554">
      <v>133.32</v>
    </nc>
    <odxf/>
    <ndxf/>
  </rcc>
  <rcc rId="6846" sId="1" odxf="1" dxf="1">
    <nc r="I554">
      <v>33.33</v>
    </nc>
    <odxf/>
    <ndxf/>
  </rcc>
  <rcc rId="6847" sId="1" odxf="1" dxf="1">
    <nc r="J554">
      <v>600</v>
    </nc>
    <odxf/>
    <ndxf/>
  </rcc>
  <rcc rId="6848" sId="1" odxf="1" dxf="1">
    <nc r="K554">
      <v>0</v>
    </nc>
    <odxf/>
    <ndxf/>
  </rcc>
  <rcc rId="6849" sId="1" odxf="1" dxf="1" numFmtId="19">
    <nc r="L554">
      <v>46212.791666666664</v>
    </nc>
    <odxf/>
    <ndxf/>
  </rcc>
  <rcc rId="6850" sId="1" odxf="1" dxf="1" numFmtId="19">
    <nc r="M554">
      <v>46216.194444444445</v>
    </nc>
    <odxf/>
    <ndxf/>
  </rcc>
  <rfmt sheetId="1" sqref="N554" start="0" length="0">
    <dxf/>
  </rfmt>
  <rfmt sheetId="1" sqref="O554" start="0" length="0">
    <dxf/>
  </rfmt>
  <rfmt sheetId="1" sqref="P554" start="0" length="0">
    <dxf/>
  </rfmt>
  <rfmt sheetId="1" sqref="Q554" start="0" length="0">
    <dxf/>
  </rfmt>
  <rfmt sheetId="1" sqref="R554" start="0" length="0">
    <dxf/>
  </rfmt>
  <rfmt sheetId="1" sqref="S554" start="0" length="0">
    <dxf/>
  </rfmt>
  <rfmt sheetId="1" sqref="T554" start="0" length="0">
    <dxf/>
  </rfmt>
  <rfmt sheetId="1" sqref="U554" start="0" length="0">
    <dxf/>
  </rfmt>
  <rfmt sheetId="1" sqref="V554" start="0" length="0">
    <dxf/>
  </rfmt>
  <rfmt sheetId="1" sqref="W554" start="0" length="0">
    <dxf/>
  </rfmt>
  <rfmt sheetId="1" sqref="X554" start="0" length="0">
    <dxf/>
  </rfmt>
  <rfmt sheetId="1" sqref="Y554" start="0" length="0">
    <dxf/>
  </rfmt>
  <rfmt sheetId="1" sqref="Z554" start="0" length="0">
    <dxf/>
  </rfmt>
  <rcc rId="6851" sId="1" odxf="1" dxf="1">
    <nc r="AA554" t="inlineStr">
      <is>
        <t>1</t>
      </is>
    </nc>
    <odxf/>
    <ndxf/>
  </rcc>
  <rcc rId="6852" sId="1" odxf="1" dxf="1">
    <nc r="AB554" t="inlineStr">
      <is>
        <t>0</t>
      </is>
    </nc>
    <odxf/>
    <ndxf/>
  </rcc>
  <rfmt sheetId="1" sqref="A554:XFD554" start="0" length="0">
    <dxf/>
  </rfmt>
  <rcc rId="6853" sId="1" odxf="1" dxf="1">
    <nc r="A555" t="inlineStr">
      <is>
        <t>Zone 3</t>
      </is>
    </nc>
    <odxf/>
    <ndxf/>
  </rcc>
  <rcc rId="6854" sId="1" odxf="1" dxf="1">
    <nc r="B555" t="inlineStr">
      <is>
        <t>Lopro QC S4</t>
      </is>
    </nc>
    <odxf/>
    <ndxf/>
  </rcc>
  <rcc rId="6855" sId="1" odxf="1" dxf="1">
    <nc r="C555">
      <v>5.5</v>
    </nc>
    <odxf/>
    <ndxf/>
  </rcc>
  <rfmt sheetId="1" sqref="D555" start="0" length="0">
    <dxf/>
  </rfmt>
  <rcc rId="6856" sId="1" odxf="1" dxf="1">
    <nc r="E555" t="inlineStr">
      <is>
        <t>W1024226/1</t>
      </is>
    </nc>
    <odxf/>
    <ndxf/>
  </rcc>
  <rcc rId="6857" sId="1" odxf="1" dxf="1">
    <nc r="F555" t="inlineStr">
      <is>
        <t>VER1/0270-1145</t>
      </is>
    </nc>
    <odxf/>
    <ndxf/>
  </rcc>
  <rcc rId="6858" sId="1" odxf="1" dxf="1">
    <nc r="G555" t="inlineStr">
      <is>
        <t>QC ECO ,HA S3, NS, GS SPECTRUM BOX-10</t>
      </is>
    </nc>
    <odxf/>
    <ndxf/>
  </rcc>
  <rcc rId="6859" sId="1" odxf="1" dxf="1">
    <nc r="H555">
      <v>75.02</v>
    </nc>
    <odxf/>
    <ndxf/>
  </rcc>
  <rcc rId="6860" sId="1" odxf="1" dxf="1">
    <nc r="I555">
      <v>13.64</v>
    </nc>
    <odxf/>
    <ndxf/>
  </rcc>
  <rcc rId="6861" sId="1" odxf="1" dxf="1">
    <nc r="J555">
      <v>300</v>
    </nc>
    <odxf/>
    <ndxf/>
  </rcc>
  <rcc rId="6862" sId="1" odxf="1" dxf="1">
    <nc r="K555">
      <v>0</v>
    </nc>
    <odxf/>
    <ndxf/>
  </rcc>
  <rcc rId="6863" sId="1" odxf="1" dxf="1" numFmtId="19">
    <nc r="L555">
      <v>46216.201388888891</v>
    </nc>
    <odxf/>
    <ndxf/>
  </rcc>
  <rcc rId="6864" sId="1" odxf="1" dxf="1" numFmtId="19">
    <nc r="M555">
      <v>46216.784722222219</v>
    </nc>
    <odxf/>
    <ndxf/>
  </rcc>
  <rfmt sheetId="1" sqref="N555" start="0" length="0">
    <dxf/>
  </rfmt>
  <rfmt sheetId="1" sqref="O555" start="0" length="0">
    <dxf/>
  </rfmt>
  <rfmt sheetId="1" sqref="P555" start="0" length="0">
    <dxf/>
  </rfmt>
  <rfmt sheetId="1" sqref="Q555" start="0" length="0">
    <dxf/>
  </rfmt>
  <rfmt sheetId="1" sqref="R555" start="0" length="0">
    <dxf/>
  </rfmt>
  <rfmt sheetId="1" sqref="S555" start="0" length="0">
    <dxf/>
  </rfmt>
  <rfmt sheetId="1" sqref="T555" start="0" length="0">
    <dxf/>
  </rfmt>
  <rfmt sheetId="1" sqref="U555" start="0" length="0">
    <dxf/>
  </rfmt>
  <rfmt sheetId="1" sqref="V555" start="0" length="0">
    <dxf/>
  </rfmt>
  <rfmt sheetId="1" sqref="W555" start="0" length="0">
    <dxf/>
  </rfmt>
  <rfmt sheetId="1" sqref="X555" start="0" length="0">
    <dxf/>
  </rfmt>
  <rfmt sheetId="1" sqref="Y555" start="0" length="0">
    <dxf/>
  </rfmt>
  <rfmt sheetId="1" sqref="Z555" start="0" length="0">
    <dxf/>
  </rfmt>
  <rcc rId="6865" sId="1" odxf="1" dxf="1">
    <nc r="AA555" t="inlineStr">
      <is>
        <t>1</t>
      </is>
    </nc>
    <odxf/>
    <ndxf/>
  </rcc>
  <rcc rId="6866" sId="1" odxf="1" dxf="1">
    <nc r="AB555" t="inlineStr">
      <is>
        <t>0</t>
      </is>
    </nc>
    <odxf/>
    <ndxf/>
  </rcc>
  <rfmt sheetId="1" sqref="A555:XFD555" start="0" length="0">
    <dxf/>
  </rfmt>
  <rfmt sheetId="1" sqref="A556" start="0" length="0">
    <dxf>
      <fill>
        <patternFill patternType="solid">
          <bgColor theme="0" tint="-4.9989318521683403E-2"/>
        </patternFill>
      </fill>
    </dxf>
  </rfmt>
  <rfmt sheetId="1" sqref="B556" start="0" length="0">
    <dxf>
      <fill>
        <patternFill patternType="solid">
          <bgColor theme="0" tint="-4.9989318521683403E-2"/>
        </patternFill>
      </fill>
    </dxf>
  </rfmt>
  <rfmt sheetId="1" sqref="C556" start="0" length="0">
    <dxf>
      <fill>
        <patternFill patternType="solid">
          <bgColor theme="0" tint="-4.9989318521683403E-2"/>
        </patternFill>
      </fill>
    </dxf>
  </rfmt>
  <rfmt sheetId="1" sqref="D556" start="0" length="0">
    <dxf>
      <fill>
        <patternFill patternType="solid">
          <bgColor theme="0" tint="-4.9989318521683403E-2"/>
        </patternFill>
      </fill>
    </dxf>
  </rfmt>
  <rfmt sheetId="1" sqref="E556" start="0" length="0">
    <dxf>
      <fill>
        <patternFill patternType="solid">
          <bgColor theme="0" tint="-4.9989318521683403E-2"/>
        </patternFill>
      </fill>
    </dxf>
  </rfmt>
  <rfmt sheetId="1" sqref="F556" start="0" length="0">
    <dxf>
      <fill>
        <patternFill patternType="solid">
          <bgColor theme="0" tint="-4.9989318521683403E-2"/>
        </patternFill>
      </fill>
    </dxf>
  </rfmt>
  <rfmt sheetId="1" sqref="G556" start="0" length="0">
    <dxf>
      <fill>
        <patternFill patternType="solid">
          <bgColor theme="0" tint="-4.9989318521683403E-2"/>
        </patternFill>
      </fill>
    </dxf>
  </rfmt>
  <rfmt sheetId="1" sqref="H556" start="0" length="0">
    <dxf>
      <fill>
        <patternFill patternType="solid">
          <bgColor theme="0" tint="-4.9989318521683403E-2"/>
        </patternFill>
      </fill>
    </dxf>
  </rfmt>
  <rfmt sheetId="1" sqref="I556" start="0" length="0">
    <dxf>
      <fill>
        <patternFill patternType="solid">
          <bgColor theme="0" tint="-4.9989318521683403E-2"/>
        </patternFill>
      </fill>
    </dxf>
  </rfmt>
  <rfmt sheetId="1" sqref="J556" start="0" length="0">
    <dxf>
      <fill>
        <patternFill patternType="solid">
          <bgColor theme="0" tint="-4.9989318521683403E-2"/>
        </patternFill>
      </fill>
    </dxf>
  </rfmt>
  <rfmt sheetId="1" sqref="K556" start="0" length="0">
    <dxf>
      <fill>
        <patternFill patternType="solid">
          <bgColor theme="0" tint="-4.9989318521683403E-2"/>
        </patternFill>
      </fill>
    </dxf>
  </rfmt>
  <rfmt sheetId="1" sqref="L556" start="0" length="0">
    <dxf>
      <fill>
        <patternFill patternType="solid">
          <bgColor theme="0" tint="-4.9989318521683403E-2"/>
        </patternFill>
      </fill>
    </dxf>
  </rfmt>
  <rfmt sheetId="1" sqref="M556" start="0" length="0">
    <dxf>
      <fill>
        <patternFill patternType="solid">
          <bgColor theme="0" tint="-4.9989318521683403E-2"/>
        </patternFill>
      </fill>
    </dxf>
  </rfmt>
  <rfmt sheetId="1" sqref="N556" start="0" length="0">
    <dxf>
      <fill>
        <patternFill patternType="solid">
          <bgColor theme="0" tint="-4.9989318521683403E-2"/>
        </patternFill>
      </fill>
    </dxf>
  </rfmt>
  <rfmt sheetId="1" sqref="O556" start="0" length="0">
    <dxf>
      <fill>
        <patternFill patternType="solid">
          <bgColor theme="0" tint="-4.9989318521683403E-2"/>
        </patternFill>
      </fill>
    </dxf>
  </rfmt>
  <rfmt sheetId="1" sqref="P556" start="0" length="0">
    <dxf>
      <fill>
        <patternFill patternType="solid">
          <bgColor theme="0" tint="-4.9989318521683403E-2"/>
        </patternFill>
      </fill>
    </dxf>
  </rfmt>
  <rfmt sheetId="1" sqref="Q556" start="0" length="0">
    <dxf>
      <fill>
        <patternFill patternType="solid">
          <bgColor theme="0" tint="-4.9989318521683403E-2"/>
        </patternFill>
      </fill>
    </dxf>
  </rfmt>
  <rfmt sheetId="1" sqref="R556" start="0" length="0">
    <dxf>
      <fill>
        <patternFill patternType="solid">
          <bgColor theme="0" tint="-4.9989318521683403E-2"/>
        </patternFill>
      </fill>
    </dxf>
  </rfmt>
  <rfmt sheetId="1" sqref="S556" start="0" length="0">
    <dxf>
      <fill>
        <patternFill patternType="solid">
          <bgColor theme="0" tint="-4.9989318521683403E-2"/>
        </patternFill>
      </fill>
    </dxf>
  </rfmt>
  <rfmt sheetId="1" sqref="T556" start="0" length="0">
    <dxf>
      <fill>
        <patternFill patternType="solid">
          <bgColor theme="0" tint="-4.9989318521683403E-2"/>
        </patternFill>
      </fill>
    </dxf>
  </rfmt>
  <rfmt sheetId="1" sqref="U556" start="0" length="0">
    <dxf>
      <fill>
        <patternFill patternType="solid">
          <bgColor theme="0" tint="-4.9989318521683403E-2"/>
        </patternFill>
      </fill>
    </dxf>
  </rfmt>
  <rfmt sheetId="1" sqref="V556" start="0" length="0">
    <dxf>
      <fill>
        <patternFill patternType="solid">
          <bgColor theme="0" tint="-4.9989318521683403E-2"/>
        </patternFill>
      </fill>
    </dxf>
  </rfmt>
  <rfmt sheetId="1" sqref="W556" start="0" length="0">
    <dxf>
      <fill>
        <patternFill patternType="solid">
          <bgColor theme="0" tint="-4.9989318521683403E-2"/>
        </patternFill>
      </fill>
    </dxf>
  </rfmt>
  <rfmt sheetId="1" sqref="X556" start="0" length="0">
    <dxf>
      <fill>
        <patternFill patternType="solid">
          <bgColor theme="0" tint="-4.9989318521683403E-2"/>
        </patternFill>
      </fill>
    </dxf>
  </rfmt>
  <rfmt sheetId="1" sqref="Y556" start="0" length="0">
    <dxf>
      <fill>
        <patternFill patternType="solid">
          <bgColor theme="0" tint="-4.9989318521683403E-2"/>
        </patternFill>
      </fill>
    </dxf>
  </rfmt>
  <rfmt sheetId="1" sqref="Z556" start="0" length="0">
    <dxf>
      <fill>
        <patternFill patternType="solid">
          <bgColor theme="0" tint="-4.9989318521683403E-2"/>
        </patternFill>
      </fill>
    </dxf>
  </rfmt>
  <rfmt sheetId="1" sqref="AA556" start="0" length="0">
    <dxf>
      <fill>
        <patternFill patternType="solid">
          <bgColor theme="0" tint="-4.9989318521683403E-2"/>
        </patternFill>
      </fill>
    </dxf>
  </rfmt>
  <rfmt sheetId="1" sqref="AB556" start="0" length="0">
    <dxf>
      <fill>
        <patternFill patternType="solid">
          <bgColor theme="0" tint="-4.9989318521683403E-2"/>
        </patternFill>
      </fill>
    </dxf>
  </rfmt>
  <rfmt sheetId="1" sqref="A556:XFD556" start="0" length="0">
    <dxf>
      <fill>
        <patternFill patternType="solid">
          <bgColor theme="0" tint="-4.9989318521683403E-2"/>
        </patternFill>
      </fill>
    </dxf>
  </rfmt>
  <rcc rId="6867" sId="1" odxf="1" dxf="1">
    <nc r="A557" t="inlineStr">
      <is>
        <t>Zone 3</t>
      </is>
    </nc>
    <odxf/>
    <ndxf/>
  </rcc>
  <rcc rId="6868" sId="1" odxf="1" dxf="1">
    <nc r="B557" t="inlineStr">
      <is>
        <t>Lopro QC S4</t>
      </is>
    </nc>
    <odxf/>
    <ndxf/>
  </rcc>
  <rcc rId="6869" sId="1" odxf="1" dxf="1">
    <nc r="C557">
      <v>5.5</v>
    </nc>
    <odxf/>
    <ndxf/>
  </rcc>
  <rcc rId="6870" sId="1" odxf="1" dxf="1">
    <nc r="D557" t="inlineStr">
      <is>
        <t>24-015</t>
      </is>
    </nc>
    <odxf/>
    <ndxf/>
  </rcc>
  <rcc rId="6871" sId="1" odxf="1" dxf="1">
    <nc r="E557" t="inlineStr">
      <is>
        <t>W1027554/1</t>
      </is>
    </nc>
    <odxf/>
    <ndxf/>
  </rcc>
  <rcc rId="6872" sId="1" odxf="1" dxf="1">
    <nc r="F557" t="inlineStr">
      <is>
        <t>VER1/0270-1084</t>
      </is>
    </nc>
    <odxf/>
    <ndxf/>
  </rcc>
  <rcc rId="6873" sId="1" odxf="1" dxf="1">
    <nc r="G557" t="inlineStr">
      <is>
        <t>Spectrum QC HA S4</t>
      </is>
    </nc>
    <odxf/>
    <ndxf/>
  </rcc>
  <rcc rId="6874" sId="1" odxf="1" dxf="1">
    <nc r="H557">
      <v>149.98500000000001</v>
    </nc>
    <odxf/>
    <ndxf/>
  </rcc>
  <rcc rId="6875" sId="1" odxf="1" dxf="1">
    <nc r="I557">
      <v>27.27</v>
    </nc>
    <odxf/>
    <ndxf/>
  </rcc>
  <rcc rId="6876" sId="1" odxf="1" dxf="1">
    <nc r="J557">
      <v>600</v>
    </nc>
    <odxf/>
    <ndxf/>
  </rcc>
  <rcc rId="6877" sId="1" odxf="1" dxf="1">
    <nc r="K557">
      <v>0</v>
    </nc>
    <odxf/>
    <ndxf/>
  </rcc>
  <rcc rId="6878" sId="1" odxf="1" dxf="1" numFmtId="19">
    <nc r="L557">
      <v>46216.791666666664</v>
    </nc>
    <odxf/>
    <ndxf/>
  </rcc>
  <rcc rId="6879" sId="1" odxf="1" dxf="1" numFmtId="19">
    <nc r="M557">
      <v>46217.944444444445</v>
    </nc>
    <odxf/>
    <ndxf/>
  </rcc>
  <rfmt sheetId="1" sqref="N557" start="0" length="0">
    <dxf/>
  </rfmt>
  <rfmt sheetId="1" sqref="O557" start="0" length="0">
    <dxf/>
  </rfmt>
  <rfmt sheetId="1" sqref="P557" start="0" length="0">
    <dxf/>
  </rfmt>
  <rfmt sheetId="1" sqref="Q557" start="0" length="0">
    <dxf/>
  </rfmt>
  <rfmt sheetId="1" sqref="R557" start="0" length="0">
    <dxf/>
  </rfmt>
  <rfmt sheetId="1" sqref="S557" start="0" length="0">
    <dxf/>
  </rfmt>
  <rfmt sheetId="1" sqref="T557" start="0" length="0">
    <dxf/>
  </rfmt>
  <rfmt sheetId="1" sqref="U557" start="0" length="0">
    <dxf/>
  </rfmt>
  <rfmt sheetId="1" sqref="V557" start="0" length="0">
    <dxf/>
  </rfmt>
  <rfmt sheetId="1" sqref="W557" start="0" length="0">
    <dxf/>
  </rfmt>
  <rfmt sheetId="1" sqref="X557" start="0" length="0">
    <dxf/>
  </rfmt>
  <rfmt sheetId="1" sqref="Y557" start="0" length="0">
    <dxf/>
  </rfmt>
  <rfmt sheetId="1" sqref="Z557" start="0" length="0">
    <dxf/>
  </rfmt>
  <rcc rId="6880" sId="1" odxf="1" dxf="1">
    <nc r="AA557" t="inlineStr">
      <is>
        <t>1</t>
      </is>
    </nc>
    <odxf/>
    <ndxf/>
  </rcc>
  <rcc rId="6881" sId="1" odxf="1" dxf="1">
    <nc r="AB557" t="inlineStr">
      <is>
        <t>0</t>
      </is>
    </nc>
    <odxf/>
    <ndxf/>
  </rcc>
  <rfmt sheetId="1" sqref="A557:XFD557" start="0" length="0">
    <dxf/>
  </rfmt>
  <rcc rId="6882" sId="1" odxf="1" dxf="1">
    <nc r="A558" t="inlineStr">
      <is>
        <t>Zone 3</t>
      </is>
    </nc>
    <odxf/>
    <ndxf/>
  </rcc>
  <rcc rId="6883" sId="1" odxf="1" dxf="1">
    <nc r="B558" t="inlineStr">
      <is>
        <t>Lopro QC S4</t>
      </is>
    </nc>
    <odxf/>
    <ndxf/>
  </rcc>
  <rcc rId="6884" sId="1" odxf="1" dxf="1">
    <nc r="C558">
      <v>5.5</v>
    </nc>
    <odxf/>
    <ndxf/>
  </rcc>
  <rcc rId="6885" sId="1" odxf="1" dxf="1">
    <nc r="D558" t="inlineStr">
      <is>
        <t>24-015</t>
      </is>
    </nc>
    <odxf/>
    <ndxf/>
  </rcc>
  <rcc rId="6886" sId="1" odxf="1" dxf="1">
    <nc r="E558" t="inlineStr">
      <is>
        <t>W1027555/1</t>
      </is>
    </nc>
    <odxf/>
    <ndxf/>
  </rcc>
  <rcc rId="6887" sId="1" odxf="1" dxf="1">
    <nc r="F558" t="inlineStr">
      <is>
        <t>VER1/0270-1084</t>
      </is>
    </nc>
    <odxf/>
    <ndxf/>
  </rcc>
  <rcc rId="6888" sId="1" odxf="1" dxf="1">
    <nc r="G558" t="inlineStr">
      <is>
        <t>Spectrum QC HA S4</t>
      </is>
    </nc>
    <odxf/>
    <ndxf/>
  </rcc>
  <rcc rId="6889" sId="1" odxf="1" dxf="1">
    <nc r="H558">
      <v>149.98500000000001</v>
    </nc>
    <odxf/>
    <ndxf/>
  </rcc>
  <rcc rId="6890" sId="1" odxf="1" dxf="1">
    <nc r="I558">
      <v>27.27</v>
    </nc>
    <odxf/>
    <ndxf/>
  </rcc>
  <rcc rId="6891" sId="1" odxf="1" dxf="1">
    <nc r="J558">
      <v>600</v>
    </nc>
    <odxf/>
    <ndxf/>
  </rcc>
  <rcc rId="6892" sId="1" odxf="1" dxf="1">
    <nc r="K558">
      <v>0</v>
    </nc>
    <odxf/>
    <ndxf/>
  </rcc>
  <rcc rId="6893" sId="1" odxf="1" dxf="1" numFmtId="19">
    <nc r="L558">
      <v>46217.951388888891</v>
    </nc>
    <odxf/>
    <ndxf/>
  </rcc>
  <rcc rId="6894" sId="1" odxf="1" dxf="1" numFmtId="19">
    <nc r="M558">
      <v>46219.104166666664</v>
    </nc>
    <odxf/>
    <ndxf/>
  </rcc>
  <rfmt sheetId="1" sqref="N558" start="0" length="0">
    <dxf/>
  </rfmt>
  <rfmt sheetId="1" sqref="O558" start="0" length="0">
    <dxf/>
  </rfmt>
  <rfmt sheetId="1" sqref="P558" start="0" length="0">
    <dxf/>
  </rfmt>
  <rfmt sheetId="1" sqref="Q558" start="0" length="0">
    <dxf/>
  </rfmt>
  <rfmt sheetId="1" sqref="R558" start="0" length="0">
    <dxf/>
  </rfmt>
  <rfmt sheetId="1" sqref="S558" start="0" length="0">
    <dxf/>
  </rfmt>
  <rfmt sheetId="1" sqref="T558" start="0" length="0">
    <dxf/>
  </rfmt>
  <rfmt sheetId="1" sqref="U558" start="0" length="0">
    <dxf/>
  </rfmt>
  <rfmt sheetId="1" sqref="V558" start="0" length="0">
    <dxf/>
  </rfmt>
  <rfmt sheetId="1" sqref="W558" start="0" length="0">
    <dxf/>
  </rfmt>
  <rfmt sheetId="1" sqref="X558" start="0" length="0">
    <dxf/>
  </rfmt>
  <rfmt sheetId="1" sqref="Y558" start="0" length="0">
    <dxf/>
  </rfmt>
  <rfmt sheetId="1" sqref="Z558" start="0" length="0">
    <dxf/>
  </rfmt>
  <rcc rId="6895" sId="1" odxf="1" dxf="1">
    <nc r="AA558" t="inlineStr">
      <is>
        <t>1</t>
      </is>
    </nc>
    <odxf/>
    <ndxf/>
  </rcc>
  <rcc rId="6896" sId="1" odxf="1" dxf="1">
    <nc r="AB558" t="inlineStr">
      <is>
        <t>0</t>
      </is>
    </nc>
    <odxf/>
    <ndxf/>
  </rcc>
  <rfmt sheetId="1" sqref="A558:XFD558" start="0" length="0">
    <dxf/>
  </rfmt>
  <rcc rId="6897" sId="1" odxf="1" dxf="1">
    <nc r="A559" t="inlineStr">
      <is>
        <t>Zone 3</t>
      </is>
    </nc>
    <odxf/>
    <ndxf/>
  </rcc>
  <rcc rId="6898" sId="1" odxf="1" dxf="1">
    <nc r="B559" t="inlineStr">
      <is>
        <t>Lopro QC S4</t>
      </is>
    </nc>
    <odxf/>
    <ndxf/>
  </rcc>
  <rcc rId="6899" sId="1" odxf="1" dxf="1">
    <nc r="C559">
      <v>5.5</v>
    </nc>
    <odxf/>
    <ndxf/>
  </rcc>
  <rcc rId="6900" sId="1" odxf="1" dxf="1">
    <nc r="D559" t="inlineStr">
      <is>
        <t>24-015</t>
      </is>
    </nc>
    <odxf/>
    <ndxf/>
  </rcc>
  <rcc rId="6901" sId="1" odxf="1" dxf="1">
    <nc r="E559" t="inlineStr">
      <is>
        <t>W1027558/1</t>
      </is>
    </nc>
    <odxf/>
    <ndxf/>
  </rcc>
  <rcc rId="6902" sId="1" odxf="1" dxf="1">
    <nc r="F559" t="inlineStr">
      <is>
        <t>VER1/0270-1084</t>
      </is>
    </nc>
    <odxf/>
    <ndxf/>
  </rcc>
  <rcc rId="6903" sId="1" odxf="1" dxf="1">
    <nc r="G559" t="inlineStr">
      <is>
        <t>Spectrum QC HA S4</t>
      </is>
    </nc>
    <odxf/>
    <ndxf/>
  </rcc>
  <rcc rId="6904" sId="1" odxf="1" dxf="1">
    <nc r="H559">
      <v>75.02</v>
    </nc>
    <odxf/>
    <ndxf/>
  </rcc>
  <rcc rId="6905" sId="1" odxf="1" dxf="1">
    <nc r="I559">
      <v>13.64</v>
    </nc>
    <odxf/>
    <ndxf/>
  </rcc>
  <rcc rId="6906" sId="1" odxf="1" dxf="1">
    <nc r="J559">
      <v>300</v>
    </nc>
    <odxf/>
    <ndxf/>
  </rcc>
  <rcc rId="6907" sId="1" odxf="1" dxf="1">
    <nc r="K559">
      <v>0</v>
    </nc>
    <odxf/>
    <ndxf/>
  </rcc>
  <rcc rId="6908" sId="1" odxf="1" dxf="1" numFmtId="19">
    <nc r="L559">
      <v>46219.111111111109</v>
    </nc>
    <odxf/>
    <ndxf/>
  </rcc>
  <rcc rId="6909" sId="1" odxf="1" dxf="1" numFmtId="19">
    <nc r="M559">
      <v>46219.694444444445</v>
    </nc>
    <odxf/>
    <ndxf/>
  </rcc>
  <rfmt sheetId="1" sqref="N559" start="0" length="0">
    <dxf/>
  </rfmt>
  <rfmt sheetId="1" sqref="O559" start="0" length="0">
    <dxf/>
  </rfmt>
  <rfmt sheetId="1" sqref="P559" start="0" length="0">
    <dxf/>
  </rfmt>
  <rfmt sheetId="1" sqref="Q559" start="0" length="0">
    <dxf/>
  </rfmt>
  <rfmt sheetId="1" sqref="R559" start="0" length="0">
    <dxf/>
  </rfmt>
  <rfmt sheetId="1" sqref="S559" start="0" length="0">
    <dxf/>
  </rfmt>
  <rfmt sheetId="1" sqref="T559" start="0" length="0">
    <dxf/>
  </rfmt>
  <rfmt sheetId="1" sqref="U559" start="0" length="0">
    <dxf/>
  </rfmt>
  <rfmt sheetId="1" sqref="V559" start="0" length="0">
    <dxf/>
  </rfmt>
  <rfmt sheetId="1" sqref="W559" start="0" length="0">
    <dxf/>
  </rfmt>
  <rfmt sheetId="1" sqref="X559" start="0" length="0">
    <dxf/>
  </rfmt>
  <rfmt sheetId="1" sqref="Y559" start="0" length="0">
    <dxf/>
  </rfmt>
  <rfmt sheetId="1" sqref="Z559" start="0" length="0">
    <dxf/>
  </rfmt>
  <rcc rId="6910" sId="1" odxf="1" dxf="1">
    <nc r="AA559" t="inlineStr">
      <is>
        <t>1</t>
      </is>
    </nc>
    <odxf/>
    <ndxf/>
  </rcc>
  <rcc rId="6911" sId="1" odxf="1" dxf="1">
    <nc r="AB559" t="inlineStr">
      <is>
        <t>0</t>
      </is>
    </nc>
    <odxf/>
    <ndxf/>
  </rcc>
  <rfmt sheetId="1" sqref="A559:XFD559" start="0" length="0">
    <dxf/>
  </rfmt>
  <rcc rId="6912" sId="1" odxf="1" dxf="1">
    <nc r="A560" t="inlineStr">
      <is>
        <t>Zone 3</t>
      </is>
    </nc>
    <odxf/>
    <ndxf/>
  </rcc>
  <rcc rId="6913" sId="1" odxf="1" dxf="1">
    <nc r="B560" t="inlineStr">
      <is>
        <t>Lopro QC S4</t>
      </is>
    </nc>
    <odxf/>
    <ndxf/>
  </rcc>
  <rcc rId="6914" sId="1" odxf="1" dxf="1">
    <nc r="C560">
      <v>5.5</v>
    </nc>
    <odxf/>
    <ndxf/>
  </rcc>
  <rcc rId="6915" sId="1" odxf="1" dxf="1">
    <nc r="D560" t="inlineStr">
      <is>
        <t>24-015</t>
      </is>
    </nc>
    <odxf/>
    <ndxf/>
  </rcc>
  <rcc rId="6916" sId="1" odxf="1" dxf="1">
    <nc r="E560" t="inlineStr">
      <is>
        <t>W1027678/1</t>
      </is>
    </nc>
    <odxf/>
    <ndxf/>
  </rcc>
  <rcc rId="6917" sId="1" odxf="1" dxf="1">
    <nc r="F560" t="inlineStr">
      <is>
        <t>VER1/0270-1146</t>
      </is>
    </nc>
    <odxf/>
    <ndxf/>
  </rcc>
  <rcc rId="6918" sId="1" odxf="1" dxf="1">
    <nc r="G560" t="inlineStr">
      <is>
        <t>QC ECO ,HA S4, NS, GS SPECTRUM BOX-10</t>
      </is>
    </nc>
    <odxf/>
    <ndxf/>
  </rcc>
  <rcc rId="6919" sId="1" odxf="1" dxf="1">
    <nc r="H560">
      <v>149.98500000000001</v>
    </nc>
    <odxf/>
    <ndxf/>
  </rcc>
  <rcc rId="6920" sId="1" odxf="1" dxf="1">
    <nc r="I560">
      <v>27.27</v>
    </nc>
    <odxf/>
    <ndxf/>
  </rcc>
  <rcc rId="6921" sId="1" odxf="1" dxf="1">
    <nc r="J560">
      <v>600</v>
    </nc>
    <odxf/>
    <ndxf/>
  </rcc>
  <rcc rId="6922" sId="1" odxf="1" dxf="1">
    <nc r="K560">
      <v>0</v>
    </nc>
    <odxf/>
    <ndxf/>
  </rcc>
  <rcc rId="6923" sId="1" odxf="1" dxf="1" numFmtId="19">
    <nc r="L560">
      <v>46219.701388888891</v>
    </nc>
    <odxf/>
    <ndxf/>
  </rcc>
  <rcc rId="6924" sId="1" odxf="1" dxf="1" numFmtId="19">
    <nc r="M560">
      <v>46220.854166666664</v>
    </nc>
    <odxf/>
    <ndxf/>
  </rcc>
  <rfmt sheetId="1" sqref="N560" start="0" length="0">
    <dxf/>
  </rfmt>
  <rfmt sheetId="1" sqref="O560" start="0" length="0">
    <dxf/>
  </rfmt>
  <rfmt sheetId="1" sqref="P560" start="0" length="0">
    <dxf/>
  </rfmt>
  <rfmt sheetId="1" sqref="Q560" start="0" length="0">
    <dxf/>
  </rfmt>
  <rfmt sheetId="1" sqref="R560" start="0" length="0">
    <dxf/>
  </rfmt>
  <rfmt sheetId="1" sqref="S560" start="0" length="0">
    <dxf/>
  </rfmt>
  <rfmt sheetId="1" sqref="T560" start="0" length="0">
    <dxf/>
  </rfmt>
  <rfmt sheetId="1" sqref="U560" start="0" length="0">
    <dxf/>
  </rfmt>
  <rfmt sheetId="1" sqref="V560" start="0" length="0">
    <dxf/>
  </rfmt>
  <rfmt sheetId="1" sqref="W560" start="0" length="0">
    <dxf/>
  </rfmt>
  <rfmt sheetId="1" sqref="X560" start="0" length="0">
    <dxf/>
  </rfmt>
  <rfmt sheetId="1" sqref="Y560" start="0" length="0">
    <dxf/>
  </rfmt>
  <rfmt sheetId="1" sqref="Z560" start="0" length="0">
    <dxf/>
  </rfmt>
  <rcc rId="6925" sId="1" odxf="1" dxf="1">
    <nc r="AA560" t="inlineStr">
      <is>
        <t>1</t>
      </is>
    </nc>
    <odxf/>
    <ndxf/>
  </rcc>
  <rcc rId="6926" sId="1" odxf="1" dxf="1">
    <nc r="AB560" t="inlineStr">
      <is>
        <t>0</t>
      </is>
    </nc>
    <odxf/>
    <ndxf/>
  </rcc>
  <rfmt sheetId="1" sqref="A560:XFD560" start="0" length="0">
    <dxf/>
  </rfmt>
  <rcc rId="6927" sId="1" odxf="1" dxf="1">
    <nc r="A561" t="inlineStr">
      <is>
        <t>Zone 3</t>
      </is>
    </nc>
    <odxf/>
    <ndxf/>
  </rcc>
  <rcc rId="6928" sId="1" odxf="1" dxf="1">
    <nc r="B561" t="inlineStr">
      <is>
        <t>Lopro QC S4</t>
      </is>
    </nc>
    <odxf/>
    <ndxf/>
  </rcc>
  <rcc rId="6929" sId="1" odxf="1" dxf="1">
    <nc r="C561">
      <v>5.5</v>
    </nc>
    <odxf/>
    <ndxf/>
  </rcc>
  <rcc rId="6930" sId="1" odxf="1" dxf="1">
    <nc r="D561" t="inlineStr">
      <is>
        <t>24-015</t>
      </is>
    </nc>
    <odxf/>
    <ndxf/>
  </rcc>
  <rcc rId="6931" sId="1" odxf="1" dxf="1">
    <nc r="E561" t="inlineStr">
      <is>
        <t>W1028664/1</t>
      </is>
    </nc>
    <odxf/>
    <ndxf/>
  </rcc>
  <rcc rId="6932" sId="1" odxf="1" dxf="1">
    <nc r="F561" t="inlineStr">
      <is>
        <t>VER1/0270-1146</t>
      </is>
    </nc>
    <odxf/>
    <ndxf/>
  </rcc>
  <rcc rId="6933" sId="1" odxf="1" dxf="1">
    <nc r="G561" t="inlineStr">
      <is>
        <t>QC ECO ,HA S4, NS, GS SPECTRUM BOX-10</t>
      </is>
    </nc>
    <odxf/>
    <ndxf/>
  </rcc>
  <rcc rId="6934" sId="1" odxf="1" dxf="1">
    <nc r="H561">
      <v>149.98500000000001</v>
    </nc>
    <odxf/>
    <ndxf/>
  </rcc>
  <rcc rId="6935" sId="1" odxf="1" dxf="1">
    <nc r="I561">
      <v>27.27</v>
    </nc>
    <odxf/>
    <ndxf/>
  </rcc>
  <rcc rId="6936" sId="1" odxf="1" dxf="1">
    <nc r="J561">
      <v>600</v>
    </nc>
    <odxf/>
    <ndxf/>
  </rcc>
  <rcc rId="6937" sId="1" odxf="1" dxf="1">
    <nc r="K561">
      <v>0</v>
    </nc>
    <odxf/>
    <ndxf/>
  </rcc>
  <rcc rId="6938" sId="1" odxf="1" dxf="1" numFmtId="19">
    <nc r="L561">
      <v>46220.861111111109</v>
    </nc>
    <odxf/>
    <ndxf/>
  </rcc>
  <rcc rId="6939" sId="1" odxf="1" dxf="1" numFmtId="19">
    <nc r="M561">
      <v>46224.013888888891</v>
    </nc>
    <odxf/>
    <ndxf/>
  </rcc>
  <rfmt sheetId="1" sqref="N561" start="0" length="0">
    <dxf/>
  </rfmt>
  <rfmt sheetId="1" sqref="O561" start="0" length="0">
    <dxf/>
  </rfmt>
  <rfmt sheetId="1" sqref="P561" start="0" length="0">
    <dxf/>
  </rfmt>
  <rfmt sheetId="1" sqref="Q561" start="0" length="0">
    <dxf/>
  </rfmt>
  <rfmt sheetId="1" sqref="R561" start="0" length="0">
    <dxf/>
  </rfmt>
  <rfmt sheetId="1" sqref="S561" start="0" length="0">
    <dxf/>
  </rfmt>
  <rfmt sheetId="1" sqref="T561" start="0" length="0">
    <dxf/>
  </rfmt>
  <rfmt sheetId="1" sqref="U561" start="0" length="0">
    <dxf/>
  </rfmt>
  <rfmt sheetId="1" sqref="V561" start="0" length="0">
    <dxf/>
  </rfmt>
  <rfmt sheetId="1" sqref="W561" start="0" length="0">
    <dxf/>
  </rfmt>
  <rfmt sheetId="1" sqref="X561" start="0" length="0">
    <dxf/>
  </rfmt>
  <rfmt sheetId="1" sqref="Y561" start="0" length="0">
    <dxf/>
  </rfmt>
  <rfmt sheetId="1" sqref="Z561" start="0" length="0">
    <dxf/>
  </rfmt>
  <rcc rId="6940" sId="1" odxf="1" dxf="1">
    <nc r="AA561" t="inlineStr">
      <is>
        <t>1</t>
      </is>
    </nc>
    <odxf/>
    <ndxf/>
  </rcc>
  <rcc rId="6941" sId="1" odxf="1" dxf="1">
    <nc r="AB561" t="inlineStr">
      <is>
        <t>0</t>
      </is>
    </nc>
    <odxf/>
    <ndxf/>
  </rcc>
  <rfmt sheetId="1" sqref="A561:XFD561" start="0" length="0">
    <dxf/>
  </rfmt>
  <rfmt sheetId="1" sqref="A562" start="0" length="0">
    <dxf>
      <fill>
        <patternFill patternType="solid">
          <bgColor theme="0" tint="-4.9989318521683403E-2"/>
        </patternFill>
      </fill>
    </dxf>
  </rfmt>
  <rfmt sheetId="1" sqref="B562" start="0" length="0">
    <dxf>
      <fill>
        <patternFill patternType="solid">
          <bgColor theme="0" tint="-4.9989318521683403E-2"/>
        </patternFill>
      </fill>
    </dxf>
  </rfmt>
  <rfmt sheetId="1" sqref="C562" start="0" length="0">
    <dxf>
      <fill>
        <patternFill patternType="solid">
          <bgColor theme="0" tint="-4.9989318521683403E-2"/>
        </patternFill>
      </fill>
    </dxf>
  </rfmt>
  <rfmt sheetId="1" sqref="D562" start="0" length="0">
    <dxf>
      <fill>
        <patternFill patternType="solid">
          <bgColor theme="0" tint="-4.9989318521683403E-2"/>
        </patternFill>
      </fill>
    </dxf>
  </rfmt>
  <rfmt sheetId="1" sqref="E562" start="0" length="0">
    <dxf>
      <fill>
        <patternFill patternType="solid">
          <bgColor theme="0" tint="-4.9989318521683403E-2"/>
        </patternFill>
      </fill>
    </dxf>
  </rfmt>
  <rfmt sheetId="1" sqref="F562" start="0" length="0">
    <dxf>
      <fill>
        <patternFill patternType="solid">
          <bgColor theme="0" tint="-4.9989318521683403E-2"/>
        </patternFill>
      </fill>
    </dxf>
  </rfmt>
  <rfmt sheetId="1" sqref="G562" start="0" length="0">
    <dxf>
      <fill>
        <patternFill patternType="solid">
          <bgColor theme="0" tint="-4.9989318521683403E-2"/>
        </patternFill>
      </fill>
    </dxf>
  </rfmt>
  <rfmt sheetId="1" sqref="H562" start="0" length="0">
    <dxf>
      <fill>
        <patternFill patternType="solid">
          <bgColor theme="0" tint="-4.9989318521683403E-2"/>
        </patternFill>
      </fill>
    </dxf>
  </rfmt>
  <rfmt sheetId="1" sqref="I562" start="0" length="0">
    <dxf>
      <fill>
        <patternFill patternType="solid">
          <bgColor theme="0" tint="-4.9989318521683403E-2"/>
        </patternFill>
      </fill>
    </dxf>
  </rfmt>
  <rfmt sheetId="1" sqref="J562" start="0" length="0">
    <dxf>
      <fill>
        <patternFill patternType="solid">
          <bgColor theme="0" tint="-4.9989318521683403E-2"/>
        </patternFill>
      </fill>
    </dxf>
  </rfmt>
  <rfmt sheetId="1" sqref="K562" start="0" length="0">
    <dxf>
      <fill>
        <patternFill patternType="solid">
          <bgColor theme="0" tint="-4.9989318521683403E-2"/>
        </patternFill>
      </fill>
    </dxf>
  </rfmt>
  <rfmt sheetId="1" sqref="L562" start="0" length="0">
    <dxf>
      <fill>
        <patternFill patternType="solid">
          <bgColor theme="0" tint="-4.9989318521683403E-2"/>
        </patternFill>
      </fill>
    </dxf>
  </rfmt>
  <rfmt sheetId="1" sqref="M562" start="0" length="0">
    <dxf>
      <fill>
        <patternFill patternType="solid">
          <bgColor theme="0" tint="-4.9989318521683403E-2"/>
        </patternFill>
      </fill>
    </dxf>
  </rfmt>
  <rfmt sheetId="1" sqref="N562" start="0" length="0">
    <dxf>
      <fill>
        <patternFill patternType="solid">
          <bgColor theme="0" tint="-4.9989318521683403E-2"/>
        </patternFill>
      </fill>
    </dxf>
  </rfmt>
  <rfmt sheetId="1" sqref="O562" start="0" length="0">
    <dxf>
      <fill>
        <patternFill patternType="solid">
          <bgColor theme="0" tint="-4.9989318521683403E-2"/>
        </patternFill>
      </fill>
    </dxf>
  </rfmt>
  <rfmt sheetId="1" sqref="P562" start="0" length="0">
    <dxf>
      <fill>
        <patternFill patternType="solid">
          <bgColor theme="0" tint="-4.9989318521683403E-2"/>
        </patternFill>
      </fill>
    </dxf>
  </rfmt>
  <rfmt sheetId="1" sqref="Q562" start="0" length="0">
    <dxf>
      <fill>
        <patternFill patternType="solid">
          <bgColor theme="0" tint="-4.9989318521683403E-2"/>
        </patternFill>
      </fill>
    </dxf>
  </rfmt>
  <rfmt sheetId="1" sqref="R562" start="0" length="0">
    <dxf>
      <fill>
        <patternFill patternType="solid">
          <bgColor theme="0" tint="-4.9989318521683403E-2"/>
        </patternFill>
      </fill>
    </dxf>
  </rfmt>
  <rfmt sheetId="1" sqref="S562" start="0" length="0">
    <dxf>
      <fill>
        <patternFill patternType="solid">
          <bgColor theme="0" tint="-4.9989318521683403E-2"/>
        </patternFill>
      </fill>
    </dxf>
  </rfmt>
  <rfmt sheetId="1" sqref="T562" start="0" length="0">
    <dxf>
      <fill>
        <patternFill patternType="solid">
          <bgColor theme="0" tint="-4.9989318521683403E-2"/>
        </patternFill>
      </fill>
    </dxf>
  </rfmt>
  <rfmt sheetId="1" sqref="U562" start="0" length="0">
    <dxf>
      <fill>
        <patternFill patternType="solid">
          <bgColor theme="0" tint="-4.9989318521683403E-2"/>
        </patternFill>
      </fill>
    </dxf>
  </rfmt>
  <rfmt sheetId="1" sqref="V562" start="0" length="0">
    <dxf>
      <fill>
        <patternFill patternType="solid">
          <bgColor theme="0" tint="-4.9989318521683403E-2"/>
        </patternFill>
      </fill>
    </dxf>
  </rfmt>
  <rfmt sheetId="1" sqref="W562" start="0" length="0">
    <dxf>
      <fill>
        <patternFill patternType="solid">
          <bgColor theme="0" tint="-4.9989318521683403E-2"/>
        </patternFill>
      </fill>
    </dxf>
  </rfmt>
  <rfmt sheetId="1" sqref="X562" start="0" length="0">
    <dxf>
      <fill>
        <patternFill patternType="solid">
          <bgColor theme="0" tint="-4.9989318521683403E-2"/>
        </patternFill>
      </fill>
    </dxf>
  </rfmt>
  <rfmt sheetId="1" sqref="Y562" start="0" length="0">
    <dxf>
      <fill>
        <patternFill patternType="solid">
          <bgColor theme="0" tint="-4.9989318521683403E-2"/>
        </patternFill>
      </fill>
    </dxf>
  </rfmt>
  <rfmt sheetId="1" sqref="Z562" start="0" length="0">
    <dxf>
      <fill>
        <patternFill patternType="solid">
          <bgColor theme="0" tint="-4.9989318521683403E-2"/>
        </patternFill>
      </fill>
    </dxf>
  </rfmt>
  <rfmt sheetId="1" sqref="AA562" start="0" length="0">
    <dxf>
      <fill>
        <patternFill patternType="solid">
          <bgColor theme="0" tint="-4.9989318521683403E-2"/>
        </patternFill>
      </fill>
    </dxf>
  </rfmt>
  <rfmt sheetId="1" sqref="AB562" start="0" length="0">
    <dxf>
      <fill>
        <patternFill patternType="solid">
          <bgColor theme="0" tint="-4.9989318521683403E-2"/>
        </patternFill>
      </fill>
    </dxf>
  </rfmt>
  <rfmt sheetId="1" sqref="A562:XFD562" start="0" length="0">
    <dxf>
      <fill>
        <patternFill patternType="solid">
          <bgColor theme="0" tint="-4.9989318521683403E-2"/>
        </patternFill>
      </fill>
    </dxf>
  </rfmt>
  <rcc rId="6942" sId="1" odxf="1" dxf="1">
    <nc r="A563" t="inlineStr">
      <is>
        <t>Zone 3</t>
      </is>
    </nc>
    <odxf/>
    <ndxf/>
  </rcc>
  <rcc rId="6943" sId="1" odxf="1" dxf="1">
    <nc r="B563" t="inlineStr">
      <is>
        <t>Lopro QC S4</t>
      </is>
    </nc>
    <odxf/>
    <ndxf/>
  </rcc>
  <rcc rId="6944" sId="1" odxf="1" dxf="1">
    <nc r="C563">
      <v>5.5</v>
    </nc>
    <odxf/>
    <ndxf/>
  </rcc>
  <rcc rId="6945" sId="1" odxf="1" dxf="1">
    <nc r="D563" t="inlineStr">
      <is>
        <t>24-015</t>
      </is>
    </nc>
    <odxf/>
    <ndxf/>
  </rcc>
  <rcc rId="6946" sId="1" odxf="1" dxf="1">
    <nc r="E563" t="inlineStr">
      <is>
        <t>W1027556/1</t>
      </is>
    </nc>
    <odxf/>
    <ndxf/>
  </rcc>
  <rcc rId="6947" sId="1" odxf="1" dxf="1">
    <nc r="F563" t="inlineStr">
      <is>
        <t>VER1/0270-1084</t>
      </is>
    </nc>
    <odxf/>
    <ndxf/>
  </rcc>
  <rcc rId="6948" sId="1" odxf="1" dxf="1">
    <nc r="G563" t="inlineStr">
      <is>
        <t>Spectrum QC HA S4</t>
      </is>
    </nc>
    <odxf/>
    <ndxf/>
  </rcc>
  <rcc rId="6949" sId="1" odxf="1" dxf="1">
    <nc r="H563">
      <v>149.98500000000001</v>
    </nc>
    <odxf/>
    <ndxf/>
  </rcc>
  <rcc rId="6950" sId="1" odxf="1" dxf="1">
    <nc r="I563">
      <v>27.27</v>
    </nc>
    <odxf/>
    <ndxf/>
  </rcc>
  <rcc rId="6951" sId="1" odxf="1" dxf="1">
    <nc r="J563">
      <v>600</v>
    </nc>
    <odxf/>
    <ndxf/>
  </rcc>
  <rcc rId="6952" sId="1" odxf="1" dxf="1">
    <nc r="K563">
      <v>0</v>
    </nc>
    <odxf/>
    <ndxf/>
  </rcc>
  <rcc rId="6953" sId="1" odxf="1" dxf="1" numFmtId="19">
    <nc r="L563">
      <v>46227.555555555555</v>
    </nc>
    <odxf/>
    <ndxf/>
  </rcc>
  <rcc rId="6954" sId="1" odxf="1" dxf="1" numFmtId="19">
    <nc r="M563">
      <v>46230.708333333336</v>
    </nc>
    <odxf/>
    <ndxf/>
  </rcc>
  <rfmt sheetId="1" sqref="N563" start="0" length="0">
    <dxf/>
  </rfmt>
  <rfmt sheetId="1" sqref="O563" start="0" length="0">
    <dxf/>
  </rfmt>
  <rfmt sheetId="1" sqref="P563" start="0" length="0">
    <dxf/>
  </rfmt>
  <rfmt sheetId="1" sqref="Q563" start="0" length="0">
    <dxf/>
  </rfmt>
  <rfmt sheetId="1" sqref="R563" start="0" length="0">
    <dxf/>
  </rfmt>
  <rfmt sheetId="1" sqref="S563" start="0" length="0">
    <dxf/>
  </rfmt>
  <rfmt sheetId="1" sqref="T563" start="0" length="0">
    <dxf/>
  </rfmt>
  <rfmt sheetId="1" sqref="U563" start="0" length="0">
    <dxf/>
  </rfmt>
  <rfmt sheetId="1" sqref="V563" start="0" length="0">
    <dxf/>
  </rfmt>
  <rfmt sheetId="1" sqref="W563" start="0" length="0">
    <dxf/>
  </rfmt>
  <rfmt sheetId="1" sqref="X563" start="0" length="0">
    <dxf/>
  </rfmt>
  <rfmt sheetId="1" sqref="Y563" start="0" length="0">
    <dxf/>
  </rfmt>
  <rfmt sheetId="1" sqref="Z563" start="0" length="0">
    <dxf/>
  </rfmt>
  <rcc rId="6955" sId="1" odxf="1" dxf="1">
    <nc r="AA563" t="inlineStr">
      <is>
        <t>1</t>
      </is>
    </nc>
    <odxf/>
    <ndxf/>
  </rcc>
  <rcc rId="6956" sId="1" odxf="1" dxf="1">
    <nc r="AB563" t="inlineStr">
      <is>
        <t>0</t>
      </is>
    </nc>
    <odxf/>
    <ndxf/>
  </rcc>
  <rfmt sheetId="1" sqref="A563:XFD563" start="0" length="0">
    <dxf/>
  </rfmt>
  <rcc rId="6957" sId="1" odxf="1" dxf="1">
    <nc r="A564" t="inlineStr">
      <is>
        <t>Zone 3</t>
      </is>
    </nc>
    <odxf/>
    <ndxf/>
  </rcc>
  <rcc rId="6958" sId="1" odxf="1" dxf="1">
    <nc r="B564" t="inlineStr">
      <is>
        <t>Lopro QC S4</t>
      </is>
    </nc>
    <odxf/>
    <ndxf/>
  </rcc>
  <rcc rId="6959" sId="1" odxf="1" dxf="1">
    <nc r="C564">
      <v>5.5</v>
    </nc>
    <odxf/>
    <ndxf/>
  </rcc>
  <rcc rId="6960" sId="1" odxf="1" dxf="1">
    <nc r="D564" t="inlineStr">
      <is>
        <t>24-015</t>
      </is>
    </nc>
    <odxf/>
    <ndxf/>
  </rcc>
  <rcc rId="6961" sId="1" odxf="1" dxf="1">
    <nc r="E564" t="inlineStr">
      <is>
        <t>W1027557/1</t>
      </is>
    </nc>
    <odxf/>
    <ndxf/>
  </rcc>
  <rcc rId="6962" sId="1" odxf="1" dxf="1">
    <nc r="F564" t="inlineStr">
      <is>
        <t>VER1/0270-1084</t>
      </is>
    </nc>
    <odxf/>
    <ndxf/>
  </rcc>
  <rcc rId="6963" sId="1" odxf="1" dxf="1">
    <nc r="G564" t="inlineStr">
      <is>
        <t>Spectrum QC HA S4</t>
      </is>
    </nc>
    <odxf/>
    <ndxf/>
  </rcc>
  <rcc rId="6964" sId="1" odxf="1" dxf="1">
    <nc r="H564">
      <v>149.98500000000001</v>
    </nc>
    <odxf/>
    <ndxf/>
  </rcc>
  <rcc rId="6965" sId="1" odxf="1" dxf="1">
    <nc r="I564">
      <v>27.27</v>
    </nc>
    <odxf/>
    <ndxf/>
  </rcc>
  <rcc rId="6966" sId="1" odxf="1" dxf="1">
    <nc r="J564">
      <v>600</v>
    </nc>
    <odxf/>
    <ndxf/>
  </rcc>
  <rcc rId="6967" sId="1" odxf="1" dxf="1">
    <nc r="K564">
      <v>0</v>
    </nc>
    <odxf/>
    <ndxf/>
  </rcc>
  <rcc rId="6968" sId="1" odxf="1" dxf="1" numFmtId="19">
    <nc r="L564">
      <v>46230.715277777781</v>
    </nc>
    <odxf/>
    <ndxf/>
  </rcc>
  <rcc rId="6969" sId="1" odxf="1" dxf="1" numFmtId="19">
    <nc r="M564">
      <v>46231.868055555555</v>
    </nc>
    <odxf/>
    <ndxf/>
  </rcc>
  <rfmt sheetId="1" sqref="N564" start="0" length="0">
    <dxf/>
  </rfmt>
  <rfmt sheetId="1" sqref="O564" start="0" length="0">
    <dxf/>
  </rfmt>
  <rfmt sheetId="1" sqref="P564" start="0" length="0">
    <dxf/>
  </rfmt>
  <rfmt sheetId="1" sqref="Q564" start="0" length="0">
    <dxf/>
  </rfmt>
  <rfmt sheetId="1" sqref="R564" start="0" length="0">
    <dxf/>
  </rfmt>
  <rfmt sheetId="1" sqref="S564" start="0" length="0">
    <dxf/>
  </rfmt>
  <rfmt sheetId="1" sqref="T564" start="0" length="0">
    <dxf/>
  </rfmt>
  <rfmt sheetId="1" sqref="U564" start="0" length="0">
    <dxf/>
  </rfmt>
  <rfmt sheetId="1" sqref="V564" start="0" length="0">
    <dxf/>
  </rfmt>
  <rfmt sheetId="1" sqref="W564" start="0" length="0">
    <dxf/>
  </rfmt>
  <rfmt sheetId="1" sqref="X564" start="0" length="0">
    <dxf/>
  </rfmt>
  <rfmt sheetId="1" sqref="Y564" start="0" length="0">
    <dxf/>
  </rfmt>
  <rfmt sheetId="1" sqref="Z564" start="0" length="0">
    <dxf/>
  </rfmt>
  <rcc rId="6970" sId="1" odxf="1" dxf="1">
    <nc r="AA564" t="inlineStr">
      <is>
        <t>1</t>
      </is>
    </nc>
    <odxf/>
    <ndxf/>
  </rcc>
  <rcc rId="6971" sId="1" odxf="1" dxf="1">
    <nc r="AB564" t="inlineStr">
      <is>
        <t>0</t>
      </is>
    </nc>
    <odxf/>
    <ndxf/>
  </rcc>
  <rfmt sheetId="1" sqref="A564:XFD564" start="0" length="0">
    <dxf/>
  </rfmt>
  <rcc rId="6972" sId="1" odxf="1" dxf="1">
    <nc r="A565" t="inlineStr">
      <is>
        <t>Zone 3</t>
      </is>
    </nc>
    <odxf/>
    <ndxf/>
  </rcc>
  <rcc rId="6973" sId="1" odxf="1" dxf="1">
    <nc r="B565" t="inlineStr">
      <is>
        <t>Lopro QC S4</t>
      </is>
    </nc>
    <odxf/>
    <ndxf/>
  </rcc>
  <rcc rId="6974" sId="1" odxf="1" dxf="1">
    <nc r="C565">
      <v>4</v>
    </nc>
    <odxf/>
    <ndxf/>
  </rcc>
  <rfmt sheetId="1" sqref="D565" start="0" length="0">
    <dxf/>
  </rfmt>
  <rcc rId="6975" sId="1" odxf="1" dxf="1">
    <nc r="E565" t="inlineStr">
      <is>
        <t>W1027542/1</t>
      </is>
    </nc>
    <odxf/>
    <ndxf/>
  </rcc>
  <rcc rId="6976" sId="1" odxf="1" dxf="1">
    <nc r="F565" t="inlineStr">
      <is>
        <t>VER1/0270-1145</t>
      </is>
    </nc>
    <odxf/>
    <ndxf/>
  </rcc>
  <rcc rId="6977" sId="1" odxf="1" dxf="1">
    <nc r="G565" t="inlineStr">
      <is>
        <t>QC ECO ,HA S3, NS, GS SPECTRUM BOX-10</t>
      </is>
    </nc>
    <odxf/>
    <ndxf/>
  </rcc>
  <rcc rId="6978" sId="1" odxf="1" dxf="1">
    <nc r="H565">
      <v>133.32</v>
    </nc>
    <odxf/>
    <ndxf/>
  </rcc>
  <rcc rId="6979" sId="1" odxf="1" dxf="1">
    <nc r="I565">
      <v>33.33</v>
    </nc>
    <odxf/>
    <ndxf/>
  </rcc>
  <rcc rId="6980" sId="1" odxf="1" dxf="1">
    <nc r="J565">
      <v>600</v>
    </nc>
    <odxf/>
    <ndxf/>
  </rcc>
  <rcc rId="6981" sId="1" odxf="1" dxf="1">
    <nc r="K565">
      <v>0</v>
    </nc>
    <odxf/>
    <ndxf/>
  </rcc>
  <rcc rId="6982" sId="1" odxf="1" dxf="1" numFmtId="19">
    <nc r="L565">
      <v>46224.020833333336</v>
    </nc>
    <odxf/>
    <ndxf/>
  </rcc>
  <rcc rId="6983" sId="1" odxf="1" dxf="1" numFmtId="19">
    <nc r="M565">
      <v>46225.423611111109</v>
    </nc>
    <odxf/>
    <ndxf/>
  </rcc>
  <rfmt sheetId="1" sqref="N565" start="0" length="0">
    <dxf/>
  </rfmt>
  <rfmt sheetId="1" sqref="O565" start="0" length="0">
    <dxf/>
  </rfmt>
  <rfmt sheetId="1" sqref="P565" start="0" length="0">
    <dxf/>
  </rfmt>
  <rfmt sheetId="1" sqref="Q565" start="0" length="0">
    <dxf/>
  </rfmt>
  <rfmt sheetId="1" sqref="R565" start="0" length="0">
    <dxf/>
  </rfmt>
  <rfmt sheetId="1" sqref="S565" start="0" length="0">
    <dxf/>
  </rfmt>
  <rfmt sheetId="1" sqref="T565" start="0" length="0">
    <dxf/>
  </rfmt>
  <rfmt sheetId="1" sqref="U565" start="0" length="0">
    <dxf/>
  </rfmt>
  <rfmt sheetId="1" sqref="V565" start="0" length="0">
    <dxf/>
  </rfmt>
  <rfmt sheetId="1" sqref="W565" start="0" length="0">
    <dxf/>
  </rfmt>
  <rfmt sheetId="1" sqref="X565" start="0" length="0">
    <dxf/>
  </rfmt>
  <rfmt sheetId="1" sqref="Y565" start="0" length="0">
    <dxf/>
  </rfmt>
  <rfmt sheetId="1" sqref="Z565" start="0" length="0">
    <dxf/>
  </rfmt>
  <rcc rId="6984" sId="1" odxf="1" dxf="1">
    <nc r="AA565" t="inlineStr">
      <is>
        <t>1</t>
      </is>
    </nc>
    <odxf/>
    <ndxf/>
  </rcc>
  <rcc rId="6985" sId="1" odxf="1" dxf="1">
    <nc r="AB565" t="inlineStr">
      <is>
        <t>0</t>
      </is>
    </nc>
    <odxf/>
    <ndxf/>
  </rcc>
  <rfmt sheetId="1" sqref="A565:XFD565" start="0" length="0">
    <dxf/>
  </rfmt>
  <rcc rId="6986" sId="1" odxf="1" dxf="1">
    <nc r="A566" t="inlineStr">
      <is>
        <t>Zone 3</t>
      </is>
    </nc>
    <odxf/>
    <ndxf/>
  </rcc>
  <rcc rId="6987" sId="1" odxf="1" dxf="1">
    <nc r="B566" t="inlineStr">
      <is>
        <t>Lopro QC S4</t>
      </is>
    </nc>
    <odxf/>
    <ndxf/>
  </rcc>
  <rcc rId="6988" sId="1" odxf="1" dxf="1">
    <nc r="C566">
      <v>4</v>
    </nc>
    <odxf/>
    <ndxf/>
  </rcc>
  <rfmt sheetId="1" sqref="D566" start="0" length="0">
    <dxf/>
  </rfmt>
  <rcc rId="6989" sId="1" odxf="1" dxf="1">
    <nc r="E566" t="inlineStr">
      <is>
        <t>W1027543/1</t>
      </is>
    </nc>
    <odxf/>
    <ndxf/>
  </rcc>
  <rcc rId="6990" sId="1" odxf="1" dxf="1">
    <nc r="F566" t="inlineStr">
      <is>
        <t>VER1/0270-1145</t>
      </is>
    </nc>
    <odxf/>
    <ndxf/>
  </rcc>
  <rcc rId="6991" sId="1" odxf="1" dxf="1">
    <nc r="G566" t="inlineStr">
      <is>
        <t>QC ECO ,HA S3, NS, GS SPECTRUM BOX-10</t>
      </is>
    </nc>
    <odxf/>
    <ndxf/>
  </rcc>
  <rcc rId="6992" sId="1" odxf="1" dxf="1">
    <nc r="H566">
      <v>133.32</v>
    </nc>
    <odxf/>
    <ndxf/>
  </rcc>
  <rcc rId="6993" sId="1" odxf="1" dxf="1">
    <nc r="I566">
      <v>33.33</v>
    </nc>
    <odxf/>
    <ndxf/>
  </rcc>
  <rcc rId="6994" sId="1" odxf="1" dxf="1">
    <nc r="J566">
      <v>600</v>
    </nc>
    <odxf/>
    <ndxf/>
  </rcc>
  <rcc rId="6995" sId="1" odxf="1" dxf="1">
    <nc r="K566">
      <v>0</v>
    </nc>
    <odxf/>
    <ndxf/>
  </rcc>
  <rcc rId="6996" sId="1" odxf="1" dxf="1" numFmtId="19">
    <nc r="L566">
      <v>46225.430555555555</v>
    </nc>
    <odxf/>
    <ndxf/>
  </rcc>
  <rcc rId="6997" sId="1" odxf="1" dxf="1" numFmtId="19">
    <nc r="M566">
      <v>46226.833333333336</v>
    </nc>
    <odxf/>
    <ndxf/>
  </rcc>
  <rfmt sheetId="1" sqref="N566" start="0" length="0">
    <dxf/>
  </rfmt>
  <rfmt sheetId="1" sqref="O566" start="0" length="0">
    <dxf/>
  </rfmt>
  <rfmt sheetId="1" sqref="P566" start="0" length="0">
    <dxf/>
  </rfmt>
  <rfmt sheetId="1" sqref="Q566" start="0" length="0">
    <dxf/>
  </rfmt>
  <rfmt sheetId="1" sqref="R566" start="0" length="0">
    <dxf/>
  </rfmt>
  <rfmt sheetId="1" sqref="S566" start="0" length="0">
    <dxf/>
  </rfmt>
  <rfmt sheetId="1" sqref="T566" start="0" length="0">
    <dxf/>
  </rfmt>
  <rfmt sheetId="1" sqref="U566" start="0" length="0">
    <dxf/>
  </rfmt>
  <rfmt sheetId="1" sqref="V566" start="0" length="0">
    <dxf/>
  </rfmt>
  <rfmt sheetId="1" sqref="W566" start="0" length="0">
    <dxf/>
  </rfmt>
  <rfmt sheetId="1" sqref="X566" start="0" length="0">
    <dxf/>
  </rfmt>
  <rfmt sheetId="1" sqref="Y566" start="0" length="0">
    <dxf/>
  </rfmt>
  <rfmt sheetId="1" sqref="Z566" start="0" length="0">
    <dxf/>
  </rfmt>
  <rcc rId="6998" sId="1" odxf="1" dxf="1">
    <nc r="AA566" t="inlineStr">
      <is>
        <t>1</t>
      </is>
    </nc>
    <odxf/>
    <ndxf/>
  </rcc>
  <rcc rId="6999" sId="1" odxf="1" dxf="1">
    <nc r="AB566" t="inlineStr">
      <is>
        <t>0</t>
      </is>
    </nc>
    <odxf/>
    <ndxf/>
  </rcc>
  <rfmt sheetId="1" sqref="A566:XFD566" start="0" length="0">
    <dxf/>
  </rfmt>
  <rcc rId="7000" sId="1" odxf="1" dxf="1">
    <nc r="A567" t="inlineStr">
      <is>
        <t>Zone 3</t>
      </is>
    </nc>
    <odxf/>
    <ndxf/>
  </rcc>
  <rcc rId="7001" sId="1" odxf="1" dxf="1">
    <nc r="B567" t="inlineStr">
      <is>
        <t>Lopro QC S4</t>
      </is>
    </nc>
    <odxf/>
    <ndxf/>
  </rcc>
  <rcc rId="7002" sId="1" odxf="1" dxf="1">
    <nc r="C567">
      <v>4</v>
    </nc>
    <odxf/>
    <ndxf/>
  </rcc>
  <rfmt sheetId="1" sqref="D567" start="0" length="0">
    <dxf/>
  </rfmt>
  <rcc rId="7003" sId="1" odxf="1" dxf="1">
    <nc r="E567" t="inlineStr">
      <is>
        <t>W1027544/1</t>
      </is>
    </nc>
    <odxf/>
    <ndxf/>
  </rcc>
  <rcc rId="7004" sId="1" odxf="1" dxf="1">
    <nc r="F567" t="inlineStr">
      <is>
        <t>VER1/0270-1145</t>
      </is>
    </nc>
    <odxf/>
    <ndxf/>
  </rcc>
  <rcc rId="7005" sId="1" odxf="1" dxf="1">
    <nc r="G567" t="inlineStr">
      <is>
        <t>QC ECO ,HA S3, NS, GS SPECTRUM BOX-10</t>
      </is>
    </nc>
    <odxf/>
    <ndxf/>
  </rcc>
  <rcc rId="7006" sId="1" odxf="1" dxf="1">
    <nc r="H567">
      <v>66.680000000000007</v>
    </nc>
    <odxf/>
    <ndxf/>
  </rcc>
  <rcc rId="7007" sId="1" odxf="1" dxf="1">
    <nc r="I567">
      <v>16.670000000000002</v>
    </nc>
    <odxf/>
    <ndxf/>
  </rcc>
  <rcc rId="7008" sId="1" odxf="1" dxf="1">
    <nc r="J567">
      <v>300</v>
    </nc>
    <odxf/>
    <ndxf/>
  </rcc>
  <rcc rId="7009" sId="1" odxf="1" dxf="1">
    <nc r="K567">
      <v>0</v>
    </nc>
    <odxf/>
    <ndxf/>
  </rcc>
  <rcc rId="7010" sId="1" odxf="1" dxf="1" numFmtId="19">
    <nc r="L567">
      <v>46226.840277777781</v>
    </nc>
    <odxf/>
    <ndxf/>
  </rcc>
  <rcc rId="7011" sId="1" odxf="1" dxf="1" numFmtId="19">
    <nc r="M567">
      <v>46227.548611111109</v>
    </nc>
    <odxf/>
    <ndxf/>
  </rcc>
  <rfmt sheetId="1" sqref="N567" start="0" length="0">
    <dxf/>
  </rfmt>
  <rfmt sheetId="1" sqref="O567" start="0" length="0">
    <dxf/>
  </rfmt>
  <rfmt sheetId="1" sqref="P567" start="0" length="0">
    <dxf/>
  </rfmt>
  <rfmt sheetId="1" sqref="Q567" start="0" length="0">
    <dxf/>
  </rfmt>
  <rfmt sheetId="1" sqref="R567" start="0" length="0">
    <dxf/>
  </rfmt>
  <rfmt sheetId="1" sqref="S567" start="0" length="0">
    <dxf/>
  </rfmt>
  <rfmt sheetId="1" sqref="T567" start="0" length="0">
    <dxf/>
  </rfmt>
  <rfmt sheetId="1" sqref="U567" start="0" length="0">
    <dxf/>
  </rfmt>
  <rfmt sheetId="1" sqref="V567" start="0" length="0">
    <dxf/>
  </rfmt>
  <rfmt sheetId="1" sqref="W567" start="0" length="0">
    <dxf/>
  </rfmt>
  <rfmt sheetId="1" sqref="X567" start="0" length="0">
    <dxf/>
  </rfmt>
  <rfmt sheetId="1" sqref="Y567" start="0" length="0">
    <dxf/>
  </rfmt>
  <rfmt sheetId="1" sqref="Z567" start="0" length="0">
    <dxf/>
  </rfmt>
  <rcc rId="7012" sId="1" odxf="1" dxf="1">
    <nc r="AA567" t="inlineStr">
      <is>
        <t>1</t>
      </is>
    </nc>
    <odxf/>
    <ndxf/>
  </rcc>
  <rcc rId="7013" sId="1" odxf="1" dxf="1">
    <nc r="AB567" t="inlineStr">
      <is>
        <t>0</t>
      </is>
    </nc>
    <odxf/>
    <ndxf/>
  </rcc>
  <rfmt sheetId="1" sqref="A567:XFD567" start="0" length="0">
    <dxf/>
  </rfmt>
  <rfmt sheetId="1" sqref="A568" start="0" length="0">
    <dxf>
      <fill>
        <patternFill patternType="solid">
          <bgColor theme="0" tint="-4.9989318521683403E-2"/>
        </patternFill>
      </fill>
    </dxf>
  </rfmt>
  <rfmt sheetId="1" sqref="B568" start="0" length="0">
    <dxf>
      <fill>
        <patternFill patternType="solid">
          <bgColor theme="0" tint="-4.9989318521683403E-2"/>
        </patternFill>
      </fill>
    </dxf>
  </rfmt>
  <rfmt sheetId="1" sqref="C568" start="0" length="0">
    <dxf>
      <fill>
        <patternFill patternType="solid">
          <bgColor theme="0" tint="-4.9989318521683403E-2"/>
        </patternFill>
      </fill>
    </dxf>
  </rfmt>
  <rfmt sheetId="1" sqref="D568" start="0" length="0">
    <dxf>
      <fill>
        <patternFill patternType="solid">
          <bgColor theme="0" tint="-4.9989318521683403E-2"/>
        </patternFill>
      </fill>
    </dxf>
  </rfmt>
  <rfmt sheetId="1" sqref="E568" start="0" length="0">
    <dxf>
      <fill>
        <patternFill patternType="solid">
          <bgColor theme="0" tint="-4.9989318521683403E-2"/>
        </patternFill>
      </fill>
    </dxf>
  </rfmt>
  <rfmt sheetId="1" sqref="F568" start="0" length="0">
    <dxf>
      <fill>
        <patternFill patternType="solid">
          <bgColor theme="0" tint="-4.9989318521683403E-2"/>
        </patternFill>
      </fill>
    </dxf>
  </rfmt>
  <rfmt sheetId="1" sqref="G568" start="0" length="0">
    <dxf>
      <fill>
        <patternFill patternType="solid">
          <bgColor theme="0" tint="-4.9989318521683403E-2"/>
        </patternFill>
      </fill>
    </dxf>
  </rfmt>
  <rfmt sheetId="1" sqref="H568" start="0" length="0">
    <dxf>
      <fill>
        <patternFill patternType="solid">
          <bgColor theme="0" tint="-4.9989318521683403E-2"/>
        </patternFill>
      </fill>
    </dxf>
  </rfmt>
  <rfmt sheetId="1" sqref="I568" start="0" length="0">
    <dxf>
      <fill>
        <patternFill patternType="solid">
          <bgColor theme="0" tint="-4.9989318521683403E-2"/>
        </patternFill>
      </fill>
    </dxf>
  </rfmt>
  <rfmt sheetId="1" sqref="J568" start="0" length="0">
    <dxf>
      <fill>
        <patternFill patternType="solid">
          <bgColor theme="0" tint="-4.9989318521683403E-2"/>
        </patternFill>
      </fill>
    </dxf>
  </rfmt>
  <rfmt sheetId="1" sqref="K568" start="0" length="0">
    <dxf>
      <fill>
        <patternFill patternType="solid">
          <bgColor theme="0" tint="-4.9989318521683403E-2"/>
        </patternFill>
      </fill>
    </dxf>
  </rfmt>
  <rfmt sheetId="1" sqref="L568" start="0" length="0">
    <dxf>
      <fill>
        <patternFill patternType="solid">
          <bgColor theme="0" tint="-4.9989318521683403E-2"/>
        </patternFill>
      </fill>
    </dxf>
  </rfmt>
  <rfmt sheetId="1" sqref="M568" start="0" length="0">
    <dxf>
      <fill>
        <patternFill patternType="solid">
          <bgColor theme="0" tint="-4.9989318521683403E-2"/>
        </patternFill>
      </fill>
    </dxf>
  </rfmt>
  <rfmt sheetId="1" sqref="N568" start="0" length="0">
    <dxf>
      <fill>
        <patternFill patternType="solid">
          <bgColor theme="0" tint="-4.9989318521683403E-2"/>
        </patternFill>
      </fill>
    </dxf>
  </rfmt>
  <rfmt sheetId="1" sqref="O568" start="0" length="0">
    <dxf>
      <fill>
        <patternFill patternType="solid">
          <bgColor theme="0" tint="-4.9989318521683403E-2"/>
        </patternFill>
      </fill>
    </dxf>
  </rfmt>
  <rfmt sheetId="1" sqref="P568" start="0" length="0">
    <dxf>
      <fill>
        <patternFill patternType="solid">
          <bgColor theme="0" tint="-4.9989318521683403E-2"/>
        </patternFill>
      </fill>
    </dxf>
  </rfmt>
  <rfmt sheetId="1" sqref="Q568" start="0" length="0">
    <dxf>
      <fill>
        <patternFill patternType="solid">
          <bgColor theme="0" tint="-4.9989318521683403E-2"/>
        </patternFill>
      </fill>
    </dxf>
  </rfmt>
  <rfmt sheetId="1" sqref="R568" start="0" length="0">
    <dxf>
      <fill>
        <patternFill patternType="solid">
          <bgColor theme="0" tint="-4.9989318521683403E-2"/>
        </patternFill>
      </fill>
    </dxf>
  </rfmt>
  <rfmt sheetId="1" sqref="S568" start="0" length="0">
    <dxf>
      <fill>
        <patternFill patternType="solid">
          <bgColor theme="0" tint="-4.9989318521683403E-2"/>
        </patternFill>
      </fill>
    </dxf>
  </rfmt>
  <rfmt sheetId="1" sqref="T568" start="0" length="0">
    <dxf>
      <fill>
        <patternFill patternType="solid">
          <bgColor theme="0" tint="-4.9989318521683403E-2"/>
        </patternFill>
      </fill>
    </dxf>
  </rfmt>
  <rfmt sheetId="1" sqref="U568" start="0" length="0">
    <dxf>
      <fill>
        <patternFill patternType="solid">
          <bgColor theme="0" tint="-4.9989318521683403E-2"/>
        </patternFill>
      </fill>
    </dxf>
  </rfmt>
  <rfmt sheetId="1" sqref="V568" start="0" length="0">
    <dxf>
      <fill>
        <patternFill patternType="solid">
          <bgColor theme="0" tint="-4.9989318521683403E-2"/>
        </patternFill>
      </fill>
    </dxf>
  </rfmt>
  <rfmt sheetId="1" sqref="W568" start="0" length="0">
    <dxf>
      <fill>
        <patternFill patternType="solid">
          <bgColor theme="0" tint="-4.9989318521683403E-2"/>
        </patternFill>
      </fill>
    </dxf>
  </rfmt>
  <rfmt sheetId="1" sqref="X568" start="0" length="0">
    <dxf>
      <fill>
        <patternFill patternType="solid">
          <bgColor theme="0" tint="-4.9989318521683403E-2"/>
        </patternFill>
      </fill>
    </dxf>
  </rfmt>
  <rfmt sheetId="1" sqref="Y568" start="0" length="0">
    <dxf>
      <fill>
        <patternFill patternType="solid">
          <bgColor theme="0" tint="-4.9989318521683403E-2"/>
        </patternFill>
      </fill>
    </dxf>
  </rfmt>
  <rfmt sheetId="1" sqref="Z568" start="0" length="0">
    <dxf>
      <fill>
        <patternFill patternType="solid">
          <bgColor theme="0" tint="-4.9989318521683403E-2"/>
        </patternFill>
      </fill>
    </dxf>
  </rfmt>
  <rfmt sheetId="1" sqref="AA568" start="0" length="0">
    <dxf>
      <fill>
        <patternFill patternType="solid">
          <bgColor theme="0" tint="-4.9989318521683403E-2"/>
        </patternFill>
      </fill>
    </dxf>
  </rfmt>
  <rfmt sheetId="1" sqref="AB568" start="0" length="0">
    <dxf>
      <fill>
        <patternFill patternType="solid">
          <bgColor theme="0" tint="-4.9989318521683403E-2"/>
        </patternFill>
      </fill>
    </dxf>
  </rfmt>
  <rfmt sheetId="1" sqref="A568:XFD568" start="0" length="0">
    <dxf>
      <fill>
        <patternFill patternType="solid">
          <bgColor theme="0" tint="-4.9989318521683403E-2"/>
        </patternFill>
      </fill>
    </dxf>
  </rfmt>
  <rcc rId="7014" sId="1" odxf="1" dxf="1">
    <nc r="A569" t="inlineStr">
      <is>
        <t>Zone 3</t>
      </is>
    </nc>
    <odxf/>
    <ndxf/>
  </rcc>
  <rcc rId="7015" sId="1" odxf="1" dxf="1">
    <nc r="B569" t="inlineStr">
      <is>
        <t>Lopro QC S4</t>
      </is>
    </nc>
    <odxf/>
    <ndxf/>
  </rcc>
  <rcc rId="7016" sId="1" odxf="1" dxf="1">
    <nc r="C569">
      <v>5.5</v>
    </nc>
    <odxf/>
    <ndxf/>
  </rcc>
  <rcc rId="7017" sId="1" odxf="1" dxf="1">
    <nc r="D569" t="inlineStr">
      <is>
        <t>24-015</t>
      </is>
    </nc>
    <odxf/>
    <ndxf/>
  </rcc>
  <rcc rId="7018" sId="1" odxf="1" dxf="1">
    <nc r="E569" t="inlineStr">
      <is>
        <t>W1027559/1</t>
      </is>
    </nc>
    <odxf/>
    <ndxf/>
  </rcc>
  <rcc rId="7019" sId="1" odxf="1" dxf="1">
    <nc r="F569" t="inlineStr">
      <is>
        <t>VER1/0270-1084</t>
      </is>
    </nc>
    <odxf/>
    <ndxf/>
  </rcc>
  <rcc rId="7020" sId="1" odxf="1" dxf="1">
    <nc r="G569" t="inlineStr">
      <is>
        <t>Spectrum QC HA S4</t>
      </is>
    </nc>
    <odxf/>
    <ndxf/>
  </rcc>
  <rcc rId="7021" sId="1" odxf="1" dxf="1">
    <nc r="H569">
      <v>149.98500000000001</v>
    </nc>
    <odxf/>
    <ndxf/>
  </rcc>
  <rcc rId="7022" sId="1" odxf="1" dxf="1">
    <nc r="I569">
      <v>27.27</v>
    </nc>
    <odxf/>
    <ndxf/>
  </rcc>
  <rcc rId="7023" sId="1" odxf="1" dxf="1">
    <nc r="J569">
      <v>600</v>
    </nc>
    <odxf/>
    <ndxf/>
  </rcc>
  <rcc rId="7024" sId="1" odxf="1" dxf="1">
    <nc r="K569">
      <v>0</v>
    </nc>
    <odxf/>
    <ndxf/>
  </rcc>
  <rcc rId="7025" sId="1" odxf="1" dxf="1" numFmtId="19">
    <nc r="L569">
      <v>46231.875</v>
    </nc>
    <odxf/>
    <ndxf/>
  </rcc>
  <rcc rId="7026" sId="1" odxf="1" dxf="1" numFmtId="19">
    <nc r="M569">
      <v>46233.027777777781</v>
    </nc>
    <odxf/>
    <ndxf/>
  </rcc>
  <rfmt sheetId="1" sqref="N569" start="0" length="0">
    <dxf/>
  </rfmt>
  <rfmt sheetId="1" sqref="O569" start="0" length="0">
    <dxf/>
  </rfmt>
  <rfmt sheetId="1" sqref="P569" start="0" length="0">
    <dxf/>
  </rfmt>
  <rfmt sheetId="1" sqref="Q569" start="0" length="0">
    <dxf/>
  </rfmt>
  <rfmt sheetId="1" sqref="R569" start="0" length="0">
    <dxf/>
  </rfmt>
  <rfmt sheetId="1" sqref="S569" start="0" length="0">
    <dxf/>
  </rfmt>
  <rfmt sheetId="1" sqref="T569" start="0" length="0">
    <dxf/>
  </rfmt>
  <rfmt sheetId="1" sqref="U569" start="0" length="0">
    <dxf/>
  </rfmt>
  <rfmt sheetId="1" sqref="V569" start="0" length="0">
    <dxf/>
  </rfmt>
  <rfmt sheetId="1" sqref="W569" start="0" length="0">
    <dxf/>
  </rfmt>
  <rfmt sheetId="1" sqref="X569" start="0" length="0">
    <dxf/>
  </rfmt>
  <rfmt sheetId="1" sqref="Y569" start="0" length="0">
    <dxf/>
  </rfmt>
  <rfmt sheetId="1" sqref="Z569" start="0" length="0">
    <dxf/>
  </rfmt>
  <rcc rId="7027" sId="1" odxf="1" dxf="1">
    <nc r="AA569" t="inlineStr">
      <is>
        <t>1</t>
      </is>
    </nc>
    <odxf/>
    <ndxf/>
  </rcc>
  <rcc rId="7028" sId="1" odxf="1" dxf="1">
    <nc r="AB569" t="inlineStr">
      <is>
        <t>0</t>
      </is>
    </nc>
    <odxf/>
    <ndxf/>
  </rcc>
  <rfmt sheetId="1" sqref="A569:XFD569" start="0" length="0">
    <dxf/>
  </rfmt>
  <rcc rId="7029" sId="1" odxf="1" dxf="1">
    <nc r="A570" t="inlineStr">
      <is>
        <t>Zone 3</t>
      </is>
    </nc>
    <odxf/>
    <ndxf/>
  </rcc>
  <rcc rId="7030" sId="1" odxf="1" dxf="1">
    <nc r="B570" t="inlineStr">
      <is>
        <t>Lopro QC S4</t>
      </is>
    </nc>
    <odxf/>
    <ndxf/>
  </rcc>
  <rcc rId="7031" sId="1" odxf="1" dxf="1">
    <nc r="C570">
      <v>5.5</v>
    </nc>
    <odxf/>
    <ndxf/>
  </rcc>
  <rcc rId="7032" sId="1" odxf="1" dxf="1">
    <nc r="D570" t="inlineStr">
      <is>
        <t>24-015</t>
      </is>
    </nc>
    <odxf/>
    <ndxf/>
  </rcc>
  <rcc rId="7033" sId="1" odxf="1" dxf="1">
    <nc r="E570" t="inlineStr">
      <is>
        <t>W1027560/1</t>
      </is>
    </nc>
    <odxf/>
    <ndxf/>
  </rcc>
  <rcc rId="7034" sId="1" odxf="1" dxf="1">
    <nc r="F570" t="inlineStr">
      <is>
        <t>VER1/0270-1084</t>
      </is>
    </nc>
    <odxf/>
    <ndxf/>
  </rcc>
  <rcc rId="7035" sId="1" odxf="1" dxf="1">
    <nc r="G570" t="inlineStr">
      <is>
        <t>Spectrum QC HA S4</t>
      </is>
    </nc>
    <odxf/>
    <ndxf/>
  </rcc>
  <rcc rId="7036" sId="1" odxf="1" dxf="1">
    <nc r="H570">
      <v>149.98500000000001</v>
    </nc>
    <odxf/>
    <ndxf/>
  </rcc>
  <rcc rId="7037" sId="1" odxf="1" dxf="1">
    <nc r="I570">
      <v>27.27</v>
    </nc>
    <odxf/>
    <ndxf/>
  </rcc>
  <rcc rId="7038" sId="1" odxf="1" dxf="1">
    <nc r="J570">
      <v>600</v>
    </nc>
    <odxf/>
    <ndxf/>
  </rcc>
  <rcc rId="7039" sId="1" odxf="1" dxf="1">
    <nc r="K570">
      <v>0</v>
    </nc>
    <odxf/>
    <ndxf/>
  </rcc>
  <rcc rId="7040" sId="1" odxf="1" dxf="1" numFmtId="19">
    <nc r="L570">
      <v>46233.034722222219</v>
    </nc>
    <odxf/>
    <ndxf/>
  </rcc>
  <rcc rId="7041" sId="1" odxf="1" dxf="1" numFmtId="19">
    <nc r="M570">
      <v>46234.1875</v>
    </nc>
    <odxf/>
    <ndxf/>
  </rcc>
  <rfmt sheetId="1" sqref="N570" start="0" length="0">
    <dxf/>
  </rfmt>
  <rfmt sheetId="1" sqref="O570" start="0" length="0">
    <dxf/>
  </rfmt>
  <rfmt sheetId="1" sqref="P570" start="0" length="0">
    <dxf/>
  </rfmt>
  <rfmt sheetId="1" sqref="Q570" start="0" length="0">
    <dxf/>
  </rfmt>
  <rfmt sheetId="1" sqref="R570" start="0" length="0">
    <dxf/>
  </rfmt>
  <rfmt sheetId="1" sqref="S570" start="0" length="0">
    <dxf/>
  </rfmt>
  <rfmt sheetId="1" sqref="T570" start="0" length="0">
    <dxf/>
  </rfmt>
  <rfmt sheetId="1" sqref="U570" start="0" length="0">
    <dxf/>
  </rfmt>
  <rfmt sheetId="1" sqref="V570" start="0" length="0">
    <dxf/>
  </rfmt>
  <rfmt sheetId="1" sqref="W570" start="0" length="0">
    <dxf/>
  </rfmt>
  <rfmt sheetId="1" sqref="X570" start="0" length="0">
    <dxf/>
  </rfmt>
  <rfmt sheetId="1" sqref="Y570" start="0" length="0">
    <dxf/>
  </rfmt>
  <rfmt sheetId="1" sqref="Z570" start="0" length="0">
    <dxf/>
  </rfmt>
  <rcc rId="7042" sId="1" odxf="1" dxf="1">
    <nc r="AA570" t="inlineStr">
      <is>
        <t>1</t>
      </is>
    </nc>
    <odxf/>
    <ndxf/>
  </rcc>
  <rcc rId="7043" sId="1" odxf="1" dxf="1">
    <nc r="AB570" t="inlineStr">
      <is>
        <t>0</t>
      </is>
    </nc>
    <odxf/>
    <ndxf/>
  </rcc>
  <rfmt sheetId="1" sqref="A570:XFD570" start="0" length="0">
    <dxf/>
  </rfmt>
  <rcc rId="7044" sId="1" odxf="1" dxf="1">
    <nc r="A571" t="inlineStr">
      <is>
        <t>Zone 3</t>
      </is>
    </nc>
    <odxf/>
    <ndxf/>
  </rcc>
  <rcc rId="7045" sId="1" odxf="1" dxf="1">
    <nc r="B571" t="inlineStr">
      <is>
        <t>Lopro QC S4</t>
      </is>
    </nc>
    <odxf/>
    <ndxf/>
  </rcc>
  <rcc rId="7046" sId="1" odxf="1" dxf="1">
    <nc r="C571">
      <v>5.5</v>
    </nc>
    <odxf/>
    <ndxf/>
  </rcc>
  <rcc rId="7047" sId="1" odxf="1" dxf="1">
    <nc r="D571" t="inlineStr">
      <is>
        <t>24-015</t>
      </is>
    </nc>
    <odxf/>
    <ndxf/>
  </rcc>
  <rcc rId="7048" sId="1" odxf="1" dxf="1">
    <nc r="E571" t="inlineStr">
      <is>
        <t>W1028651/1</t>
      </is>
    </nc>
    <odxf/>
    <ndxf/>
  </rcc>
  <rcc rId="7049" sId="1" odxf="1" dxf="1">
    <nc r="F571" t="inlineStr">
      <is>
        <t>VER1/0270-1084</t>
      </is>
    </nc>
    <odxf/>
    <ndxf/>
  </rcc>
  <rcc rId="7050" sId="1" odxf="1" dxf="1">
    <nc r="G571" t="inlineStr">
      <is>
        <t>Spectrum QC HA S4</t>
      </is>
    </nc>
    <odxf/>
    <ndxf/>
  </rcc>
  <rcc rId="7051" sId="1" odxf="1" dxf="1">
    <nc r="H571">
      <v>75.02</v>
    </nc>
    <odxf/>
    <ndxf/>
  </rcc>
  <rcc rId="7052" sId="1" odxf="1" dxf="1">
    <nc r="I571">
      <v>13.64</v>
    </nc>
    <odxf/>
    <ndxf/>
  </rcc>
  <rcc rId="7053" sId="1" odxf="1" dxf="1">
    <nc r="J571">
      <v>300</v>
    </nc>
    <odxf/>
    <ndxf/>
  </rcc>
  <rcc rId="7054" sId="1" odxf="1" dxf="1">
    <nc r="K571">
      <v>0</v>
    </nc>
    <odxf/>
    <ndxf/>
  </rcc>
  <rcc rId="7055" sId="1" odxf="1" dxf="1" numFmtId="19">
    <nc r="L571">
      <v>46234.194444444445</v>
    </nc>
    <odxf/>
    <ndxf/>
  </rcc>
  <rcc rId="7056" sId="1" odxf="1" dxf="1" numFmtId="19">
    <nc r="M571">
      <v>46234.777777777781</v>
    </nc>
    <odxf/>
    <ndxf/>
  </rcc>
  <rfmt sheetId="1" sqref="N571" start="0" length="0">
    <dxf/>
  </rfmt>
  <rfmt sheetId="1" sqref="O571" start="0" length="0">
    <dxf/>
  </rfmt>
  <rfmt sheetId="1" sqref="P571" start="0" length="0">
    <dxf/>
  </rfmt>
  <rfmt sheetId="1" sqref="Q571" start="0" length="0">
    <dxf/>
  </rfmt>
  <rfmt sheetId="1" sqref="R571" start="0" length="0">
    <dxf/>
  </rfmt>
  <rfmt sheetId="1" sqref="S571" start="0" length="0">
    <dxf/>
  </rfmt>
  <rfmt sheetId="1" sqref="T571" start="0" length="0">
    <dxf/>
  </rfmt>
  <rfmt sheetId="1" sqref="U571" start="0" length="0">
    <dxf/>
  </rfmt>
  <rfmt sheetId="1" sqref="V571" start="0" length="0">
    <dxf/>
  </rfmt>
  <rfmt sheetId="1" sqref="W571" start="0" length="0">
    <dxf/>
  </rfmt>
  <rfmt sheetId="1" sqref="X571" start="0" length="0">
    <dxf/>
  </rfmt>
  <rfmt sheetId="1" sqref="Y571" start="0" length="0">
    <dxf/>
  </rfmt>
  <rfmt sheetId="1" sqref="Z571" start="0" length="0">
    <dxf/>
  </rfmt>
  <rcc rId="7057" sId="1" odxf="1" dxf="1">
    <nc r="AA571" t="inlineStr">
      <is>
        <t>1</t>
      </is>
    </nc>
    <odxf/>
    <ndxf/>
  </rcc>
  <rcc rId="7058" sId="1" odxf="1" dxf="1">
    <nc r="AB571" t="inlineStr">
      <is>
        <t>0</t>
      </is>
    </nc>
    <odxf/>
    <ndxf/>
  </rcc>
  <rfmt sheetId="1" sqref="A571:XFD571" start="0" length="0">
    <dxf/>
  </rfmt>
  <rcc rId="7059" sId="1" odxf="1" dxf="1">
    <nc r="A572" t="inlineStr">
      <is>
        <t>Zone 3</t>
      </is>
    </nc>
    <odxf/>
    <ndxf/>
  </rcc>
  <rcc rId="7060" sId="1" odxf="1" dxf="1">
    <nc r="B572" t="inlineStr">
      <is>
        <t>Lopro QC S4</t>
      </is>
    </nc>
    <odxf/>
    <ndxf/>
  </rcc>
  <rcc rId="7061" sId="1" odxf="1" dxf="1">
    <nc r="C572">
      <v>5.5</v>
    </nc>
    <odxf/>
    <ndxf/>
  </rcc>
  <rcc rId="7062" sId="1" odxf="1" dxf="1">
    <nc r="D572" t="inlineStr">
      <is>
        <t>24-015</t>
      </is>
    </nc>
    <odxf/>
    <ndxf/>
  </rcc>
  <rcc rId="7063" sId="1" odxf="1" dxf="1">
    <nc r="E572" t="inlineStr">
      <is>
        <t>W1028665/1</t>
      </is>
    </nc>
    <odxf/>
    <ndxf/>
  </rcc>
  <rcc rId="7064" sId="1" odxf="1" dxf="1">
    <nc r="F572" t="inlineStr">
      <is>
        <t>VER1/0270-1146</t>
      </is>
    </nc>
    <odxf/>
    <ndxf/>
  </rcc>
  <rcc rId="7065" sId="1" odxf="1" dxf="1">
    <nc r="G572" t="inlineStr">
      <is>
        <t>QC ECO ,HA S4, NS, GS SPECTRUM BOX-10</t>
      </is>
    </nc>
    <odxf/>
    <ndxf/>
  </rcc>
  <rcc rId="7066" sId="1" odxf="1" dxf="1">
    <nc r="H572">
      <v>149.98500000000001</v>
    </nc>
    <odxf/>
    <ndxf/>
  </rcc>
  <rcc rId="7067" sId="1" odxf="1" dxf="1">
    <nc r="I572">
      <v>27.27</v>
    </nc>
    <odxf/>
    <ndxf/>
  </rcc>
  <rcc rId="7068" sId="1" odxf="1" dxf="1">
    <nc r="J572">
      <v>600</v>
    </nc>
    <odxf/>
    <ndxf/>
  </rcc>
  <rcc rId="7069" sId="1" odxf="1" dxf="1">
    <nc r="K572">
      <v>0</v>
    </nc>
    <odxf/>
    <ndxf/>
  </rcc>
  <rcc rId="7070" sId="1" odxf="1" dxf="1" numFmtId="19">
    <nc r="L572">
      <v>46234.784722222219</v>
    </nc>
    <odxf/>
    <ndxf/>
  </rcc>
  <rcc rId="7071" sId="1" odxf="1" dxf="1" numFmtId="19">
    <nc r="M572">
      <v>46238.9375</v>
    </nc>
    <odxf/>
    <ndxf/>
  </rcc>
  <rfmt sheetId="1" sqref="N572" start="0" length="0">
    <dxf/>
  </rfmt>
  <rfmt sheetId="1" sqref="O572" start="0" length="0">
    <dxf/>
  </rfmt>
  <rfmt sheetId="1" sqref="P572" start="0" length="0">
    <dxf/>
  </rfmt>
  <rfmt sheetId="1" sqref="Q572" start="0" length="0">
    <dxf/>
  </rfmt>
  <rfmt sheetId="1" sqref="R572" start="0" length="0">
    <dxf/>
  </rfmt>
  <rfmt sheetId="1" sqref="S572" start="0" length="0">
    <dxf/>
  </rfmt>
  <rfmt sheetId="1" sqref="T572" start="0" length="0">
    <dxf/>
  </rfmt>
  <rfmt sheetId="1" sqref="U572" start="0" length="0">
    <dxf/>
  </rfmt>
  <rfmt sheetId="1" sqref="V572" start="0" length="0">
    <dxf/>
  </rfmt>
  <rfmt sheetId="1" sqref="W572" start="0" length="0">
    <dxf/>
  </rfmt>
  <rfmt sheetId="1" sqref="X572" start="0" length="0">
    <dxf/>
  </rfmt>
  <rfmt sheetId="1" sqref="Y572" start="0" length="0">
    <dxf/>
  </rfmt>
  <rfmt sheetId="1" sqref="Z572" start="0" length="0">
    <dxf/>
  </rfmt>
  <rcc rId="7072" sId="1" odxf="1" dxf="1">
    <nc r="AA572" t="inlineStr">
      <is>
        <t>1</t>
      </is>
    </nc>
    <odxf/>
    <ndxf/>
  </rcc>
  <rcc rId="7073" sId="1" odxf="1" dxf="1">
    <nc r="AB572" t="inlineStr">
      <is>
        <t>0</t>
      </is>
    </nc>
    <odxf/>
    <ndxf/>
  </rcc>
  <rfmt sheetId="1" sqref="A572:XFD572" start="0" length="0">
    <dxf/>
  </rfmt>
  <rcc rId="7074" sId="1" odxf="1" dxf="1">
    <nc r="A573" t="inlineStr">
      <is>
        <t>Zone 3</t>
      </is>
    </nc>
    <odxf/>
    <ndxf/>
  </rcc>
  <rcc rId="7075" sId="1" odxf="1" dxf="1">
    <nc r="B573" t="inlineStr">
      <is>
        <t>Lopro QC S4</t>
      </is>
    </nc>
    <odxf/>
    <ndxf/>
  </rcc>
  <rcc rId="7076" sId="1" odxf="1" dxf="1">
    <nc r="C573">
      <v>5.5</v>
    </nc>
    <odxf/>
    <ndxf/>
  </rcc>
  <rcc rId="7077" sId="1" odxf="1" dxf="1">
    <nc r="D573" t="inlineStr">
      <is>
        <t>24-015</t>
      </is>
    </nc>
    <odxf/>
    <ndxf/>
  </rcc>
  <rcc rId="7078" sId="1" odxf="1" dxf="1">
    <nc r="E573" t="inlineStr">
      <is>
        <t>W1028666/1</t>
      </is>
    </nc>
    <odxf/>
    <ndxf/>
  </rcc>
  <rcc rId="7079" sId="1" odxf="1" dxf="1">
    <nc r="F573" t="inlineStr">
      <is>
        <t>VER1/0270-1146</t>
      </is>
    </nc>
    <odxf/>
    <ndxf/>
  </rcc>
  <rcc rId="7080" sId="1" odxf="1" dxf="1">
    <nc r="G573" t="inlineStr">
      <is>
        <t>QC ECO ,HA S4, NS, GS SPECTRUM BOX-10</t>
      </is>
    </nc>
    <odxf/>
    <ndxf/>
  </rcc>
  <rcc rId="7081" sId="1" odxf="1" dxf="1">
    <nc r="H573">
      <v>149.98500000000001</v>
    </nc>
    <odxf/>
    <ndxf/>
  </rcc>
  <rcc rId="7082" sId="1" odxf="1" dxf="1">
    <nc r="I573">
      <v>27.27</v>
    </nc>
    <odxf/>
    <ndxf/>
  </rcc>
  <rcc rId="7083" sId="1" odxf="1" dxf="1">
    <nc r="J573">
      <v>600</v>
    </nc>
    <odxf/>
    <ndxf/>
  </rcc>
  <rcc rId="7084" sId="1" odxf="1" dxf="1">
    <nc r="K573">
      <v>0</v>
    </nc>
    <odxf/>
    <ndxf/>
  </rcc>
  <rcc rId="7085" sId="1" odxf="1" dxf="1" numFmtId="19">
    <nc r="L573">
      <v>46238.944444444445</v>
    </nc>
    <odxf/>
    <ndxf/>
  </rcc>
  <rcc rId="7086" sId="1" odxf="1" dxf="1" numFmtId="19">
    <nc r="M573">
      <v>46240.097222222219</v>
    </nc>
    <odxf/>
    <ndxf/>
  </rcc>
  <rfmt sheetId="1" sqref="N573" start="0" length="0">
    <dxf/>
  </rfmt>
  <rfmt sheetId="1" sqref="O573" start="0" length="0">
    <dxf/>
  </rfmt>
  <rfmt sheetId="1" sqref="P573" start="0" length="0">
    <dxf/>
  </rfmt>
  <rfmt sheetId="1" sqref="Q573" start="0" length="0">
    <dxf/>
  </rfmt>
  <rfmt sheetId="1" sqref="R573" start="0" length="0">
    <dxf/>
  </rfmt>
  <rfmt sheetId="1" sqref="S573" start="0" length="0">
    <dxf/>
  </rfmt>
  <rfmt sheetId="1" sqref="T573" start="0" length="0">
    <dxf/>
  </rfmt>
  <rfmt sheetId="1" sqref="U573" start="0" length="0">
    <dxf/>
  </rfmt>
  <rfmt sheetId="1" sqref="V573" start="0" length="0">
    <dxf/>
  </rfmt>
  <rfmt sheetId="1" sqref="W573" start="0" length="0">
    <dxf/>
  </rfmt>
  <rfmt sheetId="1" sqref="X573" start="0" length="0">
    <dxf/>
  </rfmt>
  <rfmt sheetId="1" sqref="Y573" start="0" length="0">
    <dxf/>
  </rfmt>
  <rfmt sheetId="1" sqref="Z573" start="0" length="0">
    <dxf/>
  </rfmt>
  <rcc rId="7087" sId="1" odxf="1" dxf="1">
    <nc r="AA573" t="inlineStr">
      <is>
        <t>1</t>
      </is>
    </nc>
    <odxf/>
    <ndxf/>
  </rcc>
  <rcc rId="7088" sId="1" odxf="1" dxf="1">
    <nc r="AB573" t="inlineStr">
      <is>
        <t>0</t>
      </is>
    </nc>
    <odxf/>
    <ndxf/>
  </rcc>
  <rfmt sheetId="1" sqref="A573:XFD573" start="0" length="0">
    <dxf/>
  </rfmt>
  <rfmt sheetId="1" sqref="A574" start="0" length="0">
    <dxf>
      <fill>
        <patternFill patternType="solid">
          <bgColor theme="0" tint="-4.9989318521683403E-2"/>
        </patternFill>
      </fill>
    </dxf>
  </rfmt>
  <rfmt sheetId="1" sqref="B574" start="0" length="0">
    <dxf>
      <fill>
        <patternFill patternType="solid">
          <bgColor theme="0" tint="-4.9989318521683403E-2"/>
        </patternFill>
      </fill>
    </dxf>
  </rfmt>
  <rfmt sheetId="1" sqref="C574" start="0" length="0">
    <dxf>
      <fill>
        <patternFill patternType="solid">
          <bgColor theme="0" tint="-4.9989318521683403E-2"/>
        </patternFill>
      </fill>
    </dxf>
  </rfmt>
  <rfmt sheetId="1" sqref="D574" start="0" length="0">
    <dxf>
      <fill>
        <patternFill patternType="solid">
          <bgColor theme="0" tint="-4.9989318521683403E-2"/>
        </patternFill>
      </fill>
    </dxf>
  </rfmt>
  <rfmt sheetId="1" sqref="E574" start="0" length="0">
    <dxf>
      <fill>
        <patternFill patternType="solid">
          <bgColor theme="0" tint="-4.9989318521683403E-2"/>
        </patternFill>
      </fill>
    </dxf>
  </rfmt>
  <rfmt sheetId="1" sqref="F574" start="0" length="0">
    <dxf>
      <fill>
        <patternFill patternType="solid">
          <bgColor theme="0" tint="-4.9989318521683403E-2"/>
        </patternFill>
      </fill>
    </dxf>
  </rfmt>
  <rfmt sheetId="1" sqref="G574" start="0" length="0">
    <dxf>
      <fill>
        <patternFill patternType="solid">
          <bgColor theme="0" tint="-4.9989318521683403E-2"/>
        </patternFill>
      </fill>
    </dxf>
  </rfmt>
  <rfmt sheetId="1" sqref="H574" start="0" length="0">
    <dxf>
      <fill>
        <patternFill patternType="solid">
          <bgColor theme="0" tint="-4.9989318521683403E-2"/>
        </patternFill>
      </fill>
    </dxf>
  </rfmt>
  <rfmt sheetId="1" sqref="I574" start="0" length="0">
    <dxf>
      <fill>
        <patternFill patternType="solid">
          <bgColor theme="0" tint="-4.9989318521683403E-2"/>
        </patternFill>
      </fill>
    </dxf>
  </rfmt>
  <rfmt sheetId="1" sqref="J574" start="0" length="0">
    <dxf>
      <fill>
        <patternFill patternType="solid">
          <bgColor theme="0" tint="-4.9989318521683403E-2"/>
        </patternFill>
      </fill>
    </dxf>
  </rfmt>
  <rfmt sheetId="1" sqref="K574" start="0" length="0">
    <dxf>
      <fill>
        <patternFill patternType="solid">
          <bgColor theme="0" tint="-4.9989318521683403E-2"/>
        </patternFill>
      </fill>
    </dxf>
  </rfmt>
  <rfmt sheetId="1" sqref="L574" start="0" length="0">
    <dxf>
      <fill>
        <patternFill patternType="solid">
          <bgColor theme="0" tint="-4.9989318521683403E-2"/>
        </patternFill>
      </fill>
    </dxf>
  </rfmt>
  <rfmt sheetId="1" sqref="M574" start="0" length="0">
    <dxf>
      <fill>
        <patternFill patternType="solid">
          <bgColor theme="0" tint="-4.9989318521683403E-2"/>
        </patternFill>
      </fill>
    </dxf>
  </rfmt>
  <rfmt sheetId="1" sqref="N574" start="0" length="0">
    <dxf>
      <fill>
        <patternFill patternType="solid">
          <bgColor theme="0" tint="-4.9989318521683403E-2"/>
        </patternFill>
      </fill>
    </dxf>
  </rfmt>
  <rfmt sheetId="1" sqref="O574" start="0" length="0">
    <dxf>
      <fill>
        <patternFill patternType="solid">
          <bgColor theme="0" tint="-4.9989318521683403E-2"/>
        </patternFill>
      </fill>
    </dxf>
  </rfmt>
  <rfmt sheetId="1" sqref="P574" start="0" length="0">
    <dxf>
      <fill>
        <patternFill patternType="solid">
          <bgColor theme="0" tint="-4.9989318521683403E-2"/>
        </patternFill>
      </fill>
    </dxf>
  </rfmt>
  <rfmt sheetId="1" sqref="Q574" start="0" length="0">
    <dxf>
      <fill>
        <patternFill patternType="solid">
          <bgColor theme="0" tint="-4.9989318521683403E-2"/>
        </patternFill>
      </fill>
    </dxf>
  </rfmt>
  <rfmt sheetId="1" sqref="R574" start="0" length="0">
    <dxf>
      <fill>
        <patternFill patternType="solid">
          <bgColor theme="0" tint="-4.9989318521683403E-2"/>
        </patternFill>
      </fill>
    </dxf>
  </rfmt>
  <rfmt sheetId="1" sqref="S574" start="0" length="0">
    <dxf>
      <fill>
        <patternFill patternType="solid">
          <bgColor theme="0" tint="-4.9989318521683403E-2"/>
        </patternFill>
      </fill>
    </dxf>
  </rfmt>
  <rfmt sheetId="1" sqref="T574" start="0" length="0">
    <dxf>
      <fill>
        <patternFill patternType="solid">
          <bgColor theme="0" tint="-4.9989318521683403E-2"/>
        </patternFill>
      </fill>
    </dxf>
  </rfmt>
  <rfmt sheetId="1" sqref="U574" start="0" length="0">
    <dxf>
      <fill>
        <patternFill patternType="solid">
          <bgColor theme="0" tint="-4.9989318521683403E-2"/>
        </patternFill>
      </fill>
    </dxf>
  </rfmt>
  <rfmt sheetId="1" sqref="V574" start="0" length="0">
    <dxf>
      <fill>
        <patternFill patternType="solid">
          <bgColor theme="0" tint="-4.9989318521683403E-2"/>
        </patternFill>
      </fill>
    </dxf>
  </rfmt>
  <rfmt sheetId="1" sqref="W574" start="0" length="0">
    <dxf>
      <fill>
        <patternFill patternType="solid">
          <bgColor theme="0" tint="-4.9989318521683403E-2"/>
        </patternFill>
      </fill>
    </dxf>
  </rfmt>
  <rfmt sheetId="1" sqref="X574" start="0" length="0">
    <dxf>
      <fill>
        <patternFill patternType="solid">
          <bgColor theme="0" tint="-4.9989318521683403E-2"/>
        </patternFill>
      </fill>
    </dxf>
  </rfmt>
  <rfmt sheetId="1" sqref="Y574" start="0" length="0">
    <dxf>
      <fill>
        <patternFill patternType="solid">
          <bgColor theme="0" tint="-4.9989318521683403E-2"/>
        </patternFill>
      </fill>
    </dxf>
  </rfmt>
  <rfmt sheetId="1" sqref="Z574" start="0" length="0">
    <dxf>
      <fill>
        <patternFill patternType="solid">
          <bgColor theme="0" tint="-4.9989318521683403E-2"/>
        </patternFill>
      </fill>
    </dxf>
  </rfmt>
  <rfmt sheetId="1" sqref="AA574" start="0" length="0">
    <dxf>
      <fill>
        <patternFill patternType="solid">
          <bgColor theme="0" tint="-4.9989318521683403E-2"/>
        </patternFill>
      </fill>
    </dxf>
  </rfmt>
  <rfmt sheetId="1" sqref="AB574" start="0" length="0">
    <dxf>
      <fill>
        <patternFill patternType="solid">
          <bgColor theme="0" tint="-4.9989318521683403E-2"/>
        </patternFill>
      </fill>
    </dxf>
  </rfmt>
  <rfmt sheetId="1" sqref="A574:XFD574" start="0" length="0">
    <dxf>
      <fill>
        <patternFill patternType="solid">
          <bgColor theme="0" tint="-4.9989318521683403E-2"/>
        </patternFill>
      </fill>
    </dxf>
  </rfmt>
  <rcc rId="7089" sId="1" odxf="1" dxf="1">
    <nc r="A575" t="inlineStr">
      <is>
        <t>Zone 3</t>
      </is>
    </nc>
    <odxf/>
    <ndxf/>
  </rcc>
  <rcc rId="7090" sId="1" odxf="1" dxf="1">
    <nc r="B575" t="inlineStr">
      <is>
        <t>Lopro QC S4</t>
      </is>
    </nc>
    <odxf/>
    <ndxf/>
  </rcc>
  <rcc rId="7091" sId="1" odxf="1" dxf="1">
    <nc r="C575">
      <v>4</v>
    </nc>
    <odxf/>
    <ndxf/>
  </rcc>
  <rfmt sheetId="1" sqref="D575" start="0" length="0">
    <dxf/>
  </rfmt>
  <rcc rId="7092" sId="1" odxf="1" dxf="1">
    <nc r="E575" t="inlineStr">
      <is>
        <t>W1028644/1</t>
      </is>
    </nc>
    <odxf/>
    <ndxf/>
  </rcc>
  <rcc rId="7093" sId="1" odxf="1" dxf="1">
    <nc r="F575" t="inlineStr">
      <is>
        <t>VER1/0270-1145</t>
      </is>
    </nc>
    <odxf/>
    <ndxf/>
  </rcc>
  <rcc rId="7094" sId="1" odxf="1" dxf="1">
    <nc r="G575" t="inlineStr">
      <is>
        <t>QC ECO ,HA S3, NS, GS SPECTRUM BOX-10</t>
      </is>
    </nc>
    <odxf/>
    <ndxf/>
  </rcc>
  <rcc rId="7095" sId="1" odxf="1" dxf="1">
    <nc r="H575">
      <v>133.32</v>
    </nc>
    <odxf/>
    <ndxf/>
  </rcc>
  <rcc rId="7096" sId="1" odxf="1" dxf="1">
    <nc r="I575">
      <v>33.33</v>
    </nc>
    <odxf/>
    <ndxf/>
  </rcc>
  <rcc rId="7097" sId="1" odxf="1" dxf="1">
    <nc r="J575">
      <v>600</v>
    </nc>
    <odxf/>
    <ndxf/>
  </rcc>
  <rcc rId="7098" sId="1" odxf="1" dxf="1">
    <nc r="K575">
      <v>0</v>
    </nc>
    <odxf/>
    <ndxf/>
  </rcc>
  <rcc rId="7099" sId="1" odxf="1" dxf="1" numFmtId="19">
    <nc r="L575">
      <v>46240.104166666664</v>
    </nc>
    <odxf/>
    <ndxf/>
  </rcc>
  <rcc rId="7100" sId="1" odxf="1" dxf="1" numFmtId="19">
    <nc r="M575">
      <v>46241.506944444445</v>
    </nc>
    <odxf/>
    <ndxf/>
  </rcc>
  <rfmt sheetId="1" sqref="N575" start="0" length="0">
    <dxf/>
  </rfmt>
  <rfmt sheetId="1" sqref="O575" start="0" length="0">
    <dxf/>
  </rfmt>
  <rfmt sheetId="1" sqref="P575" start="0" length="0">
    <dxf/>
  </rfmt>
  <rfmt sheetId="1" sqref="Q575" start="0" length="0">
    <dxf/>
  </rfmt>
  <rfmt sheetId="1" sqref="R575" start="0" length="0">
    <dxf/>
  </rfmt>
  <rfmt sheetId="1" sqref="S575" start="0" length="0">
    <dxf/>
  </rfmt>
  <rfmt sheetId="1" sqref="T575" start="0" length="0">
    <dxf/>
  </rfmt>
  <rfmt sheetId="1" sqref="U575" start="0" length="0">
    <dxf/>
  </rfmt>
  <rfmt sheetId="1" sqref="V575" start="0" length="0">
    <dxf/>
  </rfmt>
  <rfmt sheetId="1" sqref="W575" start="0" length="0">
    <dxf/>
  </rfmt>
  <rfmt sheetId="1" sqref="X575" start="0" length="0">
    <dxf/>
  </rfmt>
  <rfmt sheetId="1" sqref="Y575" start="0" length="0">
    <dxf/>
  </rfmt>
  <rfmt sheetId="1" sqref="Z575" start="0" length="0">
    <dxf/>
  </rfmt>
  <rcc rId="7101" sId="1" odxf="1" dxf="1">
    <nc r="AA575" t="inlineStr">
      <is>
        <t>1</t>
      </is>
    </nc>
    <odxf/>
    <ndxf/>
  </rcc>
  <rcc rId="7102" sId="1" odxf="1" dxf="1">
    <nc r="AB575" t="inlineStr">
      <is>
        <t>0</t>
      </is>
    </nc>
    <odxf/>
    <ndxf/>
  </rcc>
  <rfmt sheetId="1" sqref="A575:XFD575" start="0" length="0">
    <dxf/>
  </rfmt>
  <rcc rId="7103" sId="1" odxf="1" dxf="1">
    <nc r="A576" t="inlineStr">
      <is>
        <t>Zone 3</t>
      </is>
    </nc>
    <odxf/>
    <ndxf/>
  </rcc>
  <rcc rId="7104" sId="1" odxf="1" dxf="1">
    <nc r="B576" t="inlineStr">
      <is>
        <t>Lopro QC S4</t>
      </is>
    </nc>
    <odxf/>
    <ndxf/>
  </rcc>
  <rcc rId="7105" sId="1" odxf="1" dxf="1">
    <nc r="C576">
      <v>4</v>
    </nc>
    <odxf/>
    <ndxf/>
  </rcc>
  <rfmt sheetId="1" sqref="D576" start="0" length="0">
    <dxf/>
  </rfmt>
  <rcc rId="7106" sId="1" odxf="1" dxf="1">
    <nc r="E576" t="inlineStr">
      <is>
        <t>W1028645/1</t>
      </is>
    </nc>
    <odxf/>
    <ndxf/>
  </rcc>
  <rcc rId="7107" sId="1" odxf="1" dxf="1">
    <nc r="F576" t="inlineStr">
      <is>
        <t>VER1/0270-1145</t>
      </is>
    </nc>
    <odxf/>
    <ndxf/>
  </rcc>
  <rcc rId="7108" sId="1" odxf="1" dxf="1">
    <nc r="G576" t="inlineStr">
      <is>
        <t>QC ECO ,HA S3, NS, GS SPECTRUM BOX-10</t>
      </is>
    </nc>
    <odxf/>
    <ndxf/>
  </rcc>
  <rcc rId="7109" sId="1" odxf="1" dxf="1">
    <nc r="H576">
      <v>133.32</v>
    </nc>
    <odxf/>
    <ndxf/>
  </rcc>
  <rcc rId="7110" sId="1" odxf="1" dxf="1">
    <nc r="I576">
      <v>33.33</v>
    </nc>
    <odxf/>
    <ndxf/>
  </rcc>
  <rcc rId="7111" sId="1" odxf="1" dxf="1">
    <nc r="J576">
      <v>600</v>
    </nc>
    <odxf/>
    <ndxf/>
  </rcc>
  <rcc rId="7112" sId="1" odxf="1" dxf="1">
    <nc r="K576">
      <v>0</v>
    </nc>
    <odxf/>
    <ndxf/>
  </rcc>
  <rcc rId="7113" sId="1" odxf="1" dxf="1" numFmtId="19">
    <nc r="L576">
      <v>46241.513888888891</v>
    </nc>
    <odxf/>
    <ndxf/>
  </rcc>
  <rcc rId="7114" sId="1" odxf="1" dxf="1" numFmtId="19">
    <nc r="M576">
      <v>46244.916666666664</v>
    </nc>
    <odxf/>
    <ndxf/>
  </rcc>
  <rfmt sheetId="1" sqref="N576" start="0" length="0">
    <dxf/>
  </rfmt>
  <rfmt sheetId="1" sqref="O576" start="0" length="0">
    <dxf/>
  </rfmt>
  <rfmt sheetId="1" sqref="P576" start="0" length="0">
    <dxf/>
  </rfmt>
  <rfmt sheetId="1" sqref="Q576" start="0" length="0">
    <dxf/>
  </rfmt>
  <rfmt sheetId="1" sqref="R576" start="0" length="0">
    <dxf/>
  </rfmt>
  <rfmt sheetId="1" sqref="S576" start="0" length="0">
    <dxf/>
  </rfmt>
  <rfmt sheetId="1" sqref="T576" start="0" length="0">
    <dxf/>
  </rfmt>
  <rfmt sheetId="1" sqref="U576" start="0" length="0">
    <dxf/>
  </rfmt>
  <rfmt sheetId="1" sqref="V576" start="0" length="0">
    <dxf/>
  </rfmt>
  <rfmt sheetId="1" sqref="W576" start="0" length="0">
    <dxf/>
  </rfmt>
  <rfmt sheetId="1" sqref="X576" start="0" length="0">
    <dxf/>
  </rfmt>
  <rfmt sheetId="1" sqref="Y576" start="0" length="0">
    <dxf/>
  </rfmt>
  <rfmt sheetId="1" sqref="Z576" start="0" length="0">
    <dxf/>
  </rfmt>
  <rcc rId="7115" sId="1" odxf="1" dxf="1">
    <nc r="AA576" t="inlineStr">
      <is>
        <t>1</t>
      </is>
    </nc>
    <odxf/>
    <ndxf/>
  </rcc>
  <rcc rId="7116" sId="1" odxf="1" dxf="1">
    <nc r="AB576" t="inlineStr">
      <is>
        <t>0</t>
      </is>
    </nc>
    <odxf/>
    <ndxf/>
  </rcc>
  <rfmt sheetId="1" sqref="A576:XFD576" start="0" length="0">
    <dxf/>
  </rfmt>
  <rcc rId="7117" sId="1" odxf="1" dxf="1">
    <nc r="A577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118" sId="1" odxf="1" dxf="1">
    <nc r="B577" t="inlineStr">
      <is>
        <t>Lopro QC S4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119" sId="1" odxf="1" dxf="1">
    <nc r="C577">
      <v>5.5</v>
    </nc>
    <odxf>
      <border outline="0">
        <bottom/>
      </border>
    </odxf>
    <ndxf>
      <border outline="0">
        <bottom style="medium">
          <color indexed="64"/>
        </bottom>
      </border>
    </ndxf>
  </rcc>
  <rcc rId="7120" sId="1" odxf="1" dxf="1">
    <nc r="D577" t="inlineStr">
      <is>
        <t>24-015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121" sId="1" odxf="1" dxf="1">
    <nc r="E577" t="inlineStr">
      <is>
        <t>W1028652/1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122" sId="1" odxf="1" dxf="1">
    <nc r="F577" t="inlineStr">
      <is>
        <t>VER1/0270-1084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123" sId="1" odxf="1" dxf="1">
    <nc r="G577" t="inlineStr">
      <is>
        <t>Spectrum QC HA S4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124" sId="1" odxf="1" dxf="1">
    <nc r="H577">
      <v>149.98500000000001</v>
    </nc>
    <odxf>
      <border outline="0">
        <bottom/>
      </border>
    </odxf>
    <ndxf>
      <border outline="0">
        <bottom style="medium">
          <color indexed="64"/>
        </bottom>
      </border>
    </ndxf>
  </rcc>
  <rcc rId="7125" sId="1" odxf="1" dxf="1">
    <nc r="I577">
      <v>27.27</v>
    </nc>
    <odxf>
      <border outline="0">
        <bottom/>
      </border>
    </odxf>
    <ndxf>
      <border outline="0">
        <bottom style="medium">
          <color indexed="64"/>
        </bottom>
      </border>
    </ndxf>
  </rcc>
  <rcc rId="7126" sId="1" odxf="1" dxf="1">
    <nc r="J577">
      <v>600</v>
    </nc>
    <odxf>
      <border outline="0">
        <bottom/>
      </border>
    </odxf>
    <ndxf>
      <border outline="0">
        <bottom style="medium">
          <color indexed="64"/>
        </bottom>
      </border>
    </ndxf>
  </rcc>
  <rcc rId="7127" sId="1" odxf="1" dxf="1">
    <nc r="K577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7128" sId="1" odxf="1" dxf="1" numFmtId="19">
    <nc r="L577">
      <v>46244.923611111109</v>
    </nc>
    <odxf>
      <border outline="0">
        <bottom/>
      </border>
    </odxf>
    <ndxf>
      <border outline="0">
        <bottom style="medium">
          <color indexed="64"/>
        </bottom>
      </border>
    </ndxf>
  </rcc>
  <rcc rId="7129" sId="1" odxf="1" dxf="1" numFmtId="19">
    <nc r="M577">
      <v>46246.076388888891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577" start="0" length="0">
    <dxf>
      <border outline="0">
        <bottom style="medium">
          <color indexed="64"/>
        </bottom>
      </border>
    </dxf>
  </rfmt>
  <rfmt sheetId="1" sqref="O577" start="0" length="0">
    <dxf>
      <border outline="0">
        <bottom style="medium">
          <color indexed="64"/>
        </bottom>
      </border>
    </dxf>
  </rfmt>
  <rfmt sheetId="1" sqref="P577" start="0" length="0">
    <dxf>
      <border outline="0">
        <bottom style="medium">
          <color indexed="64"/>
        </bottom>
      </border>
    </dxf>
  </rfmt>
  <rfmt sheetId="1" sqref="Q577" start="0" length="0">
    <dxf>
      <border outline="0">
        <bottom style="medium">
          <color indexed="64"/>
        </bottom>
      </border>
    </dxf>
  </rfmt>
  <rfmt sheetId="1" sqref="R577" start="0" length="0">
    <dxf>
      <border outline="0">
        <bottom style="medium">
          <color indexed="64"/>
        </bottom>
      </border>
    </dxf>
  </rfmt>
  <rfmt sheetId="1" sqref="S577" start="0" length="0">
    <dxf>
      <border outline="0">
        <bottom style="medium">
          <color indexed="64"/>
        </bottom>
      </border>
    </dxf>
  </rfmt>
  <rfmt sheetId="1" sqref="T577" start="0" length="0">
    <dxf>
      <border outline="0">
        <bottom style="medium">
          <color indexed="64"/>
        </bottom>
      </border>
    </dxf>
  </rfmt>
  <rfmt sheetId="1" sqref="U577" start="0" length="0">
    <dxf>
      <border outline="0">
        <bottom style="medium">
          <color indexed="64"/>
        </bottom>
      </border>
    </dxf>
  </rfmt>
  <rfmt sheetId="1" sqref="V577" start="0" length="0">
    <dxf>
      <border outline="0">
        <bottom style="medium">
          <color indexed="64"/>
        </bottom>
      </border>
    </dxf>
  </rfmt>
  <rfmt sheetId="1" sqref="W577" start="0" length="0">
    <dxf>
      <border outline="0">
        <bottom style="medium">
          <color indexed="64"/>
        </bottom>
      </border>
    </dxf>
  </rfmt>
  <rfmt sheetId="1" sqref="X577" start="0" length="0">
    <dxf>
      <border outline="0">
        <bottom style="medium">
          <color indexed="64"/>
        </bottom>
      </border>
    </dxf>
  </rfmt>
  <rfmt sheetId="1" sqref="Y577" start="0" length="0">
    <dxf>
      <border outline="0">
        <bottom style="medium">
          <color indexed="64"/>
        </bottom>
      </border>
    </dxf>
  </rfmt>
  <rfmt sheetId="1" sqref="Z577" start="0" length="0">
    <dxf>
      <border outline="0">
        <bottom style="medium">
          <color indexed="64"/>
        </bottom>
      </border>
    </dxf>
  </rfmt>
  <rcc rId="7130" sId="1" odxf="1" dxf="1">
    <nc r="AA577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131" sId="1" odxf="1" dxf="1">
    <nc r="AB577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577:XFD577" start="0" length="0">
    <dxf>
      <border outline="0">
        <bottom style="medium">
          <color indexed="64"/>
        </bottom>
      </border>
    </dxf>
  </rfmt>
  <rcc rId="7132" sId="1" odxf="1" dxf="1">
    <nc r="A578" t="inlineStr">
      <is>
        <t>Zone 3</t>
      </is>
    </nc>
    <odxf/>
    <ndxf/>
  </rcc>
  <rcc rId="7133" sId="1" odxf="1" dxf="1">
    <nc r="B578" t="inlineStr">
      <is>
        <t>LoPro S3 HDMI</t>
      </is>
    </nc>
    <odxf/>
    <ndxf/>
  </rcc>
  <rcc rId="7134" sId="1" odxf="1" dxf="1">
    <nc r="C578">
      <v>5.5</v>
    </nc>
    <odxf/>
    <ndxf/>
  </rcc>
  <rcc rId="7135" sId="1" odxf="1" dxf="1">
    <nc r="D578" t="inlineStr">
      <is>
        <t>25-002</t>
      </is>
    </nc>
    <odxf/>
    <ndxf/>
  </rcc>
  <rcc rId="7136" sId="1" odxf="1" dxf="1">
    <nc r="E578" t="inlineStr">
      <is>
        <t>W1027601/1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137" sId="1" odxf="1" dxf="1">
    <nc r="F578" t="inlineStr">
      <is>
        <t>VER1/0270-0938</t>
      </is>
    </nc>
    <odxf/>
    <ndxf/>
  </rcc>
  <rcc rId="7138" sId="1" odxf="1" dxf="1">
    <nc r="G578" t="inlineStr">
      <is>
        <t>LoPro S3 Short Well</t>
      </is>
    </nc>
    <odxf/>
    <ndxf/>
  </rcc>
  <rcc rId="7139" sId="1" odxf="1" dxf="1">
    <nc r="H578">
      <v>149.98500000000001</v>
    </nc>
    <odxf/>
    <ndxf/>
  </rcc>
  <rcc rId="7140" sId="1" odxf="1" dxf="1">
    <nc r="I578">
      <v>27.27</v>
    </nc>
    <odxf/>
    <ndxf/>
  </rcc>
  <rcc rId="7141" sId="1" odxf="1" dxf="1">
    <nc r="J578">
      <v>600</v>
    </nc>
    <odxf/>
    <ndxf/>
  </rcc>
  <rcc rId="7142" sId="1" odxf="1" dxf="1">
    <nc r="K578">
      <v>0</v>
    </nc>
    <odxf/>
    <ndxf/>
  </rcc>
  <rcc rId="7143" sId="1" odxf="1" dxf="1" numFmtId="19">
    <nc r="L578">
      <v>46209.590277777781</v>
    </nc>
    <odxf/>
    <ndxf/>
  </rcc>
  <rcc rId="7144" sId="1" odxf="1" dxf="1" numFmtId="19">
    <nc r="M578">
      <v>46210.743055555555</v>
    </nc>
    <odxf/>
    <ndxf/>
  </rcc>
  <rfmt sheetId="1" sqref="N578" start="0" length="0">
    <dxf>
      <fill>
        <patternFill patternType="solid">
          <bgColor theme="8" tint="0.39997558519241921"/>
        </patternFill>
      </fill>
    </dxf>
  </rfmt>
  <rcc rId="7145" sId="1" odxf="1" dxf="1">
    <nc r="O578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P578" start="0" length="0">
    <dxf>
      <fill>
        <patternFill patternType="solid">
          <bgColor theme="8" tint="0.39997558519241921"/>
        </patternFill>
      </fill>
    </dxf>
  </rfmt>
  <rfmt sheetId="1" sqref="Q578" start="0" length="0">
    <dxf>
      <fill>
        <patternFill patternType="solid">
          <bgColor theme="8" tint="0.39997558519241921"/>
        </patternFill>
      </fill>
    </dxf>
  </rfmt>
  <rfmt sheetId="1" sqref="R578" start="0" length="0">
    <dxf>
      <fill>
        <patternFill patternType="solid">
          <bgColor theme="8" tint="0.39997558519241921"/>
        </patternFill>
      </fill>
    </dxf>
  </rfmt>
  <rfmt sheetId="1" sqref="S578" start="0" length="0">
    <dxf>
      <fill>
        <patternFill patternType="solid">
          <bgColor theme="8" tint="0.39997558519241921"/>
        </patternFill>
      </fill>
    </dxf>
  </rfmt>
  <rfmt sheetId="1" sqref="T578" start="0" length="0">
    <dxf/>
  </rfmt>
  <rfmt sheetId="1" sqref="U578" start="0" length="0">
    <dxf/>
  </rfmt>
  <rfmt sheetId="1" sqref="V578" start="0" length="0">
    <dxf/>
  </rfmt>
  <rfmt sheetId="1" sqref="W578" start="0" length="0">
    <dxf/>
  </rfmt>
  <rfmt sheetId="1" sqref="X578" start="0" length="0">
    <dxf/>
  </rfmt>
  <rfmt sheetId="1" sqref="Y578" start="0" length="0">
    <dxf/>
  </rfmt>
  <rfmt sheetId="1" sqref="Z578" start="0" length="0">
    <dxf/>
  </rfmt>
  <rcc rId="7146" sId="1" odxf="1" dxf="1">
    <nc r="AA578" t="inlineStr">
      <is>
        <t>1</t>
      </is>
    </nc>
    <odxf/>
    <ndxf/>
  </rcc>
  <rcc rId="7147" sId="1" odxf="1" dxf="1">
    <nc r="AB578" t="inlineStr">
      <is>
        <t>0</t>
      </is>
    </nc>
    <odxf/>
    <ndxf/>
  </rcc>
  <rfmt sheetId="1" sqref="A578:XFD578" start="0" length="0">
    <dxf/>
  </rfmt>
  <rcc rId="7148" sId="1" odxf="1" dxf="1">
    <nc r="A579" t="inlineStr">
      <is>
        <t>Zone 3</t>
      </is>
    </nc>
    <odxf/>
    <ndxf/>
  </rcc>
  <rcc rId="7149" sId="1" odxf="1" dxf="1">
    <nc r="B579" t="inlineStr">
      <is>
        <t>LoPro S3 HDMI</t>
      </is>
    </nc>
    <odxf/>
    <ndxf/>
  </rcc>
  <rcc rId="7150" sId="1" odxf="1" dxf="1">
    <nc r="C579">
      <v>5.5</v>
    </nc>
    <odxf/>
    <ndxf/>
  </rcc>
  <rcc rId="7151" sId="1" odxf="1" dxf="1">
    <nc r="D579" t="inlineStr">
      <is>
        <t>25-002</t>
      </is>
    </nc>
    <odxf/>
    <ndxf/>
  </rcc>
  <rcc rId="7152" sId="1" odxf="1" dxf="1">
    <nc r="E579" t="inlineStr">
      <is>
        <t>W1027600/1</t>
      </is>
    </nc>
    <odxf/>
    <ndxf/>
  </rcc>
  <rcc rId="7153" sId="1" odxf="1" dxf="1">
    <nc r="F579" t="inlineStr">
      <is>
        <t>VER1/0270-0938</t>
      </is>
    </nc>
    <odxf/>
    <ndxf/>
  </rcc>
  <rcc rId="7154" sId="1" odxf="1" dxf="1">
    <nc r="G579" t="inlineStr">
      <is>
        <t>LoPro S3 Short Well</t>
      </is>
    </nc>
    <odxf/>
    <ndxf/>
  </rcc>
  <rcc rId="7155" sId="1" odxf="1" dxf="1">
    <nc r="H579">
      <v>112.47499999999999</v>
    </nc>
    <odxf/>
    <ndxf/>
  </rcc>
  <rcc rId="7156" sId="1" odxf="1" dxf="1">
    <nc r="I579">
      <v>20.45</v>
    </nc>
    <odxf/>
    <ndxf/>
  </rcc>
  <rcc rId="7157" sId="1" odxf="1" dxf="1">
    <nc r="J579">
      <v>450</v>
    </nc>
    <odxf/>
    <ndxf/>
  </rcc>
  <rcc rId="7158" sId="1" odxf="1" dxf="1">
    <nc r="K579">
      <v>0</v>
    </nc>
    <odxf/>
    <ndxf/>
  </rcc>
  <rcc rId="7159" sId="1" odxf="1" dxf="1" numFmtId="19">
    <nc r="L579">
      <v>46209</v>
    </nc>
    <odxf/>
    <ndxf/>
  </rcc>
  <rcc rId="7160" sId="1" odxf="1" dxf="1" numFmtId="19">
    <nc r="M579">
      <v>46209.868055555555</v>
    </nc>
    <odxf/>
    <ndxf/>
  </rcc>
  <rfmt sheetId="1" sqref="N579" start="0" length="0">
    <dxf/>
  </rfmt>
  <rcc rId="7161" sId="1" odxf="1" dxf="1">
    <nc r="O579" t="inlineStr">
      <is>
        <t>P</t>
      </is>
    </nc>
    <odxf/>
    <ndxf/>
  </rcc>
  <rfmt sheetId="1" sqref="P579" start="0" length="0">
    <dxf/>
  </rfmt>
  <rfmt sheetId="1" sqref="Q579" start="0" length="0">
    <dxf/>
  </rfmt>
  <rfmt sheetId="1" sqref="R579" start="0" length="0">
    <dxf/>
  </rfmt>
  <rfmt sheetId="1" sqref="S579" start="0" length="0">
    <dxf/>
  </rfmt>
  <rfmt sheetId="1" sqref="T579" start="0" length="0">
    <dxf/>
  </rfmt>
  <rfmt sheetId="1" sqref="U579" start="0" length="0">
    <dxf/>
  </rfmt>
  <rfmt sheetId="1" sqref="V579" start="0" length="0">
    <dxf/>
  </rfmt>
  <rfmt sheetId="1" sqref="W579" start="0" length="0">
    <dxf/>
  </rfmt>
  <rfmt sheetId="1" sqref="X579" start="0" length="0">
    <dxf/>
  </rfmt>
  <rfmt sheetId="1" sqref="Y579" start="0" length="0">
    <dxf/>
  </rfmt>
  <rfmt sheetId="1" sqref="Z579" start="0" length="0">
    <dxf/>
  </rfmt>
  <rcc rId="7162" sId="1" odxf="1" dxf="1">
    <nc r="AA579" t="inlineStr">
      <is>
        <t>1</t>
      </is>
    </nc>
    <odxf/>
    <ndxf/>
  </rcc>
  <rcc rId="7163" sId="1" odxf="1" dxf="1">
    <nc r="AB579" t="inlineStr">
      <is>
        <t>0</t>
      </is>
    </nc>
    <odxf/>
    <ndxf/>
  </rcc>
  <rfmt sheetId="1" sqref="A579:XFD579" start="0" length="0">
    <dxf/>
  </rfmt>
  <rcc rId="7164" sId="1" odxf="1" dxf="1">
    <nc r="A580" t="inlineStr">
      <is>
        <t>Zone 3</t>
      </is>
    </nc>
    <odxf/>
    <ndxf/>
  </rcc>
  <rcc rId="7165" sId="1" odxf="1" dxf="1">
    <nc r="B580" t="inlineStr">
      <is>
        <t>LoPro S3 HDMI</t>
      </is>
    </nc>
    <odxf/>
    <ndxf/>
  </rcc>
  <rcc rId="7166" sId="1" odxf="1" dxf="1">
    <nc r="C580">
      <v>5.5</v>
    </nc>
    <odxf/>
    <ndxf/>
  </rcc>
  <rcc rId="7167" sId="1" odxf="1" dxf="1">
    <nc r="D580" t="inlineStr">
      <is>
        <t>25-002</t>
      </is>
    </nc>
    <odxf/>
    <ndxf/>
  </rcc>
  <rcc rId="7168" sId="1" odxf="1" dxf="1">
    <nc r="E580" t="inlineStr">
      <is>
        <t>W1025513/1</t>
      </is>
    </nc>
    <odxf/>
    <ndxf/>
  </rcc>
  <rcc rId="7169" sId="1" odxf="1" dxf="1">
    <nc r="F580" t="inlineStr">
      <is>
        <t>VER1/0270-1078</t>
      </is>
    </nc>
    <odxf/>
    <ndxf/>
  </rcc>
  <rcc rId="7170" sId="1" odxf="1" dxf="1">
    <nc r="G580" t="inlineStr">
      <is>
        <t>Non Sterile LoPro S3</t>
      </is>
    </nc>
    <odxf/>
    <ndxf/>
  </rcc>
  <rcc rId="7171" sId="1" odxf="1" dxf="1">
    <nc r="H580">
      <v>75.02</v>
    </nc>
    <odxf/>
    <ndxf/>
  </rcc>
  <rcc rId="7172" sId="1" odxf="1" dxf="1">
    <nc r="I580">
      <v>13.64</v>
    </nc>
    <odxf/>
    <ndxf/>
  </rcc>
  <rcc rId="7173" sId="1" odxf="1" dxf="1">
    <nc r="J580">
      <v>300</v>
    </nc>
    <odxf/>
    <ndxf/>
  </rcc>
  <rcc rId="7174" sId="1" odxf="1" dxf="1">
    <nc r="K580">
      <v>0</v>
    </nc>
    <odxf/>
    <ndxf/>
  </rcc>
  <rcc rId="7175" sId="1" odxf="1" dxf="1" numFmtId="19">
    <nc r="L580">
      <v>46209</v>
    </nc>
    <odxf/>
    <ndxf/>
  </rcc>
  <rcc rId="7176" sId="1" odxf="1" dxf="1" numFmtId="19">
    <nc r="M580">
      <v>46209.583333333336</v>
    </nc>
    <odxf/>
    <ndxf/>
  </rcc>
  <rfmt sheetId="1" sqref="N580" start="0" length="0">
    <dxf/>
  </rfmt>
  <rfmt sheetId="1" sqref="O580" start="0" length="0">
    <dxf/>
  </rfmt>
  <rfmt sheetId="1" sqref="P580" start="0" length="0">
    <dxf/>
  </rfmt>
  <rfmt sheetId="1" sqref="Q580" start="0" length="0">
    <dxf/>
  </rfmt>
  <rfmt sheetId="1" sqref="R580" start="0" length="0">
    <dxf/>
  </rfmt>
  <rfmt sheetId="1" sqref="S580" start="0" length="0">
    <dxf/>
  </rfmt>
  <rfmt sheetId="1" sqref="T580" start="0" length="0">
    <dxf/>
  </rfmt>
  <rfmt sheetId="1" sqref="U580" start="0" length="0">
    <dxf/>
  </rfmt>
  <rfmt sheetId="1" sqref="V580" start="0" length="0">
    <dxf/>
  </rfmt>
  <rfmt sheetId="1" sqref="W580" start="0" length="0">
    <dxf/>
  </rfmt>
  <rfmt sheetId="1" sqref="X580" start="0" length="0">
    <dxf/>
  </rfmt>
  <rfmt sheetId="1" sqref="Y580" start="0" length="0">
    <dxf/>
  </rfmt>
  <rfmt sheetId="1" sqref="Z580" start="0" length="0">
    <dxf/>
  </rfmt>
  <rcc rId="7177" sId="1" odxf="1" dxf="1">
    <nc r="AA580" t="inlineStr">
      <is>
        <t>1</t>
      </is>
    </nc>
    <odxf/>
    <ndxf/>
  </rcc>
  <rcc rId="7178" sId="1" odxf="1" dxf="1">
    <nc r="AB580" t="inlineStr">
      <is>
        <t>0</t>
      </is>
    </nc>
    <odxf/>
    <ndxf/>
  </rcc>
  <rfmt sheetId="1" sqref="A580:XFD580" start="0" length="0">
    <dxf/>
  </rfmt>
  <rfmt sheetId="1" sqref="A581" start="0" length="0">
    <dxf>
      <fill>
        <patternFill patternType="solid">
          <bgColor theme="0" tint="-4.9989318521683403E-2"/>
        </patternFill>
      </fill>
    </dxf>
  </rfmt>
  <rfmt sheetId="1" sqref="B581" start="0" length="0">
    <dxf>
      <fill>
        <patternFill patternType="solid">
          <bgColor theme="0" tint="-4.9989318521683403E-2"/>
        </patternFill>
      </fill>
    </dxf>
  </rfmt>
  <rfmt sheetId="1" sqref="C581" start="0" length="0">
    <dxf>
      <fill>
        <patternFill patternType="solid">
          <bgColor theme="0" tint="-4.9989318521683403E-2"/>
        </patternFill>
      </fill>
    </dxf>
  </rfmt>
  <rfmt sheetId="1" sqref="D581" start="0" length="0">
    <dxf>
      <fill>
        <patternFill patternType="solid">
          <bgColor theme="0" tint="-4.9989318521683403E-2"/>
        </patternFill>
      </fill>
    </dxf>
  </rfmt>
  <rfmt sheetId="1" sqref="E581" start="0" length="0">
    <dxf>
      <fill>
        <patternFill patternType="solid">
          <bgColor theme="0" tint="-4.9989318521683403E-2"/>
        </patternFill>
      </fill>
    </dxf>
  </rfmt>
  <rfmt sheetId="1" sqref="F581" start="0" length="0">
    <dxf>
      <fill>
        <patternFill patternType="solid">
          <bgColor theme="0" tint="-4.9989318521683403E-2"/>
        </patternFill>
      </fill>
    </dxf>
  </rfmt>
  <rfmt sheetId="1" sqref="G581" start="0" length="0">
    <dxf>
      <fill>
        <patternFill patternType="solid">
          <bgColor theme="0" tint="-4.9989318521683403E-2"/>
        </patternFill>
      </fill>
    </dxf>
  </rfmt>
  <rfmt sheetId="1" sqref="H581" start="0" length="0">
    <dxf>
      <fill>
        <patternFill patternType="solid">
          <bgColor theme="0" tint="-4.9989318521683403E-2"/>
        </patternFill>
      </fill>
    </dxf>
  </rfmt>
  <rfmt sheetId="1" sqref="I581" start="0" length="0">
    <dxf>
      <fill>
        <patternFill patternType="solid">
          <bgColor theme="0" tint="-4.9989318521683403E-2"/>
        </patternFill>
      </fill>
    </dxf>
  </rfmt>
  <rfmt sheetId="1" sqref="J581" start="0" length="0">
    <dxf>
      <fill>
        <patternFill patternType="solid">
          <bgColor theme="0" tint="-4.9989318521683403E-2"/>
        </patternFill>
      </fill>
    </dxf>
  </rfmt>
  <rfmt sheetId="1" sqref="K581" start="0" length="0">
    <dxf>
      <fill>
        <patternFill patternType="solid">
          <bgColor theme="0" tint="-4.9989318521683403E-2"/>
        </patternFill>
      </fill>
    </dxf>
  </rfmt>
  <rfmt sheetId="1" sqref="L581" start="0" length="0">
    <dxf>
      <fill>
        <patternFill patternType="solid">
          <bgColor theme="0" tint="-4.9989318521683403E-2"/>
        </patternFill>
      </fill>
    </dxf>
  </rfmt>
  <rfmt sheetId="1" sqref="M581" start="0" length="0">
    <dxf>
      <fill>
        <patternFill patternType="solid">
          <bgColor theme="0" tint="-4.9989318521683403E-2"/>
        </patternFill>
      </fill>
    </dxf>
  </rfmt>
  <rfmt sheetId="1" sqref="N581" start="0" length="0">
    <dxf>
      <fill>
        <patternFill patternType="solid">
          <bgColor theme="0" tint="-4.9989318521683403E-2"/>
        </patternFill>
      </fill>
    </dxf>
  </rfmt>
  <rfmt sheetId="1" sqref="O581" start="0" length="0">
    <dxf>
      <fill>
        <patternFill patternType="solid">
          <bgColor theme="0" tint="-4.9989318521683403E-2"/>
        </patternFill>
      </fill>
    </dxf>
  </rfmt>
  <rfmt sheetId="1" sqref="P581" start="0" length="0">
    <dxf>
      <fill>
        <patternFill patternType="solid">
          <bgColor theme="0" tint="-4.9989318521683403E-2"/>
        </patternFill>
      </fill>
    </dxf>
  </rfmt>
  <rfmt sheetId="1" sqref="Q581" start="0" length="0">
    <dxf>
      <fill>
        <patternFill patternType="solid">
          <bgColor theme="0" tint="-4.9989318521683403E-2"/>
        </patternFill>
      </fill>
    </dxf>
  </rfmt>
  <rfmt sheetId="1" sqref="R581" start="0" length="0">
    <dxf>
      <fill>
        <patternFill patternType="solid">
          <bgColor theme="0" tint="-4.9989318521683403E-2"/>
        </patternFill>
      </fill>
    </dxf>
  </rfmt>
  <rfmt sheetId="1" sqref="S581" start="0" length="0">
    <dxf>
      <fill>
        <patternFill patternType="solid">
          <bgColor theme="0" tint="-4.9989318521683403E-2"/>
        </patternFill>
      </fill>
    </dxf>
  </rfmt>
  <rfmt sheetId="1" sqref="T581" start="0" length="0">
    <dxf>
      <fill>
        <patternFill patternType="solid">
          <bgColor theme="0" tint="-4.9989318521683403E-2"/>
        </patternFill>
      </fill>
    </dxf>
  </rfmt>
  <rfmt sheetId="1" sqref="U581" start="0" length="0">
    <dxf>
      <fill>
        <patternFill patternType="solid">
          <bgColor theme="0" tint="-4.9989318521683403E-2"/>
        </patternFill>
      </fill>
    </dxf>
  </rfmt>
  <rfmt sheetId="1" sqref="V581" start="0" length="0">
    <dxf>
      <fill>
        <patternFill patternType="solid">
          <bgColor theme="0" tint="-4.9989318521683403E-2"/>
        </patternFill>
      </fill>
    </dxf>
  </rfmt>
  <rfmt sheetId="1" sqref="W581" start="0" length="0">
    <dxf>
      <fill>
        <patternFill patternType="solid">
          <bgColor theme="0" tint="-4.9989318521683403E-2"/>
        </patternFill>
      </fill>
    </dxf>
  </rfmt>
  <rfmt sheetId="1" sqref="X581" start="0" length="0">
    <dxf>
      <fill>
        <patternFill patternType="solid">
          <bgColor theme="0" tint="-4.9989318521683403E-2"/>
        </patternFill>
      </fill>
    </dxf>
  </rfmt>
  <rfmt sheetId="1" sqref="Y581" start="0" length="0">
    <dxf>
      <fill>
        <patternFill patternType="solid">
          <bgColor theme="0" tint="-4.9989318521683403E-2"/>
        </patternFill>
      </fill>
    </dxf>
  </rfmt>
  <rfmt sheetId="1" sqref="Z581" start="0" length="0">
    <dxf>
      <fill>
        <patternFill patternType="solid">
          <bgColor theme="0" tint="-4.9989318521683403E-2"/>
        </patternFill>
      </fill>
    </dxf>
  </rfmt>
  <rfmt sheetId="1" sqref="AA581" start="0" length="0">
    <dxf>
      <fill>
        <patternFill patternType="solid">
          <bgColor theme="0" tint="-4.9989318521683403E-2"/>
        </patternFill>
      </fill>
    </dxf>
  </rfmt>
  <rfmt sheetId="1" sqref="AB581" start="0" length="0">
    <dxf>
      <fill>
        <patternFill patternType="solid">
          <bgColor theme="0" tint="-4.9989318521683403E-2"/>
        </patternFill>
      </fill>
    </dxf>
  </rfmt>
  <rfmt sheetId="1" sqref="A581:XFD581" start="0" length="0">
    <dxf>
      <fill>
        <patternFill patternType="solid">
          <bgColor theme="0" tint="-4.9989318521683403E-2"/>
        </patternFill>
      </fill>
    </dxf>
  </rfmt>
  <rcc rId="7179" sId="1" odxf="1" dxf="1">
    <nc r="A582" t="inlineStr">
      <is>
        <t>Zone 3</t>
      </is>
    </nc>
    <odxf/>
    <ndxf/>
  </rcc>
  <rcc rId="7180" sId="1" odxf="1" dxf="1">
    <nc r="B582" t="inlineStr">
      <is>
        <t>LoPro S3 HDMI</t>
      </is>
    </nc>
    <odxf/>
    <ndxf/>
  </rcc>
  <rcc rId="7181" sId="1" odxf="1" dxf="1">
    <nc r="C582">
      <v>5.5</v>
    </nc>
    <odxf/>
    <ndxf/>
  </rcc>
  <rcc rId="7182" sId="1" odxf="1" dxf="1">
    <nc r="D582" t="inlineStr">
      <is>
        <t>25-002</t>
      </is>
    </nc>
    <odxf/>
    <ndxf/>
  </rcc>
  <rcc rId="7183" sId="1" odxf="1" dxf="1">
    <nc r="E582" t="inlineStr">
      <is>
        <t>W1027602/1</t>
      </is>
    </nc>
    <odxf/>
    <ndxf/>
  </rcc>
  <rcc rId="7184" sId="1" odxf="1" dxf="1">
    <nc r="F582" t="inlineStr">
      <is>
        <t>VER1/0270-0938</t>
      </is>
    </nc>
    <odxf/>
    <ndxf/>
  </rcc>
  <rcc rId="7185" sId="1" odxf="1" dxf="1">
    <nc r="G582" t="inlineStr">
      <is>
        <t>LoPro S3 Short Well</t>
      </is>
    </nc>
    <odxf/>
    <ndxf/>
  </rcc>
  <rcc rId="7186" sId="1" odxf="1" dxf="1">
    <nc r="H582">
      <v>112.47499999999999</v>
    </nc>
    <odxf/>
    <ndxf/>
  </rcc>
  <rcc rId="7187" sId="1" odxf="1" dxf="1">
    <nc r="I582">
      <v>20.45</v>
    </nc>
    <odxf/>
    <ndxf/>
  </rcc>
  <rcc rId="7188" sId="1" odxf="1" dxf="1">
    <nc r="J582">
      <v>450</v>
    </nc>
    <odxf/>
    <ndxf/>
  </rcc>
  <rcc rId="7189" sId="1" odxf="1" dxf="1">
    <nc r="K582">
      <v>0</v>
    </nc>
    <odxf/>
    <ndxf/>
  </rcc>
  <rcc rId="7190" sId="1" odxf="1" dxf="1" numFmtId="19">
    <nc r="L582">
      <v>46216</v>
    </nc>
    <odxf/>
    <ndxf/>
  </rcc>
  <rcc rId="7191" sId="1" odxf="1" dxf="1" numFmtId="19">
    <nc r="M582">
      <v>46216.868055555555</v>
    </nc>
    <odxf/>
    <ndxf/>
  </rcc>
  <rfmt sheetId="1" sqref="N582" start="0" length="0">
    <dxf/>
  </rfmt>
  <rfmt sheetId="1" sqref="O582" start="0" length="0">
    <dxf/>
  </rfmt>
  <rfmt sheetId="1" sqref="P582" start="0" length="0">
    <dxf/>
  </rfmt>
  <rfmt sheetId="1" sqref="Q582" start="0" length="0">
    <dxf/>
  </rfmt>
  <rfmt sheetId="1" sqref="R582" start="0" length="0">
    <dxf/>
  </rfmt>
  <rfmt sheetId="1" sqref="S582" start="0" length="0">
    <dxf/>
  </rfmt>
  <rfmt sheetId="1" sqref="T582" start="0" length="0">
    <dxf/>
  </rfmt>
  <rfmt sheetId="1" sqref="U582" start="0" length="0">
    <dxf/>
  </rfmt>
  <rfmt sheetId="1" sqref="V582" start="0" length="0">
    <dxf/>
  </rfmt>
  <rfmt sheetId="1" sqref="W582" start="0" length="0">
    <dxf/>
  </rfmt>
  <rfmt sheetId="1" sqref="X582" start="0" length="0">
    <dxf/>
  </rfmt>
  <rfmt sheetId="1" sqref="Y582" start="0" length="0">
    <dxf/>
  </rfmt>
  <rfmt sheetId="1" sqref="Z582" start="0" length="0">
    <dxf/>
  </rfmt>
  <rcc rId="7192" sId="1" odxf="1" dxf="1">
    <nc r="AA582" t="inlineStr">
      <is>
        <t>1</t>
      </is>
    </nc>
    <odxf/>
    <ndxf/>
  </rcc>
  <rcc rId="7193" sId="1" odxf="1" dxf="1">
    <nc r="AB582" t="inlineStr">
      <is>
        <t>0</t>
      </is>
    </nc>
    <odxf/>
    <ndxf/>
  </rcc>
  <rfmt sheetId="1" sqref="A582:XFD582" start="0" length="0">
    <dxf/>
  </rfmt>
  <rcc rId="7194" sId="1" odxf="1" dxf="1">
    <nc r="A583" t="inlineStr">
      <is>
        <t>Zone 3</t>
      </is>
    </nc>
    <odxf/>
    <ndxf/>
  </rcc>
  <rcc rId="7195" sId="1" odxf="1" dxf="1">
    <nc r="B583" t="inlineStr">
      <is>
        <t>LoPro S3 HDMI</t>
      </is>
    </nc>
    <odxf/>
    <ndxf/>
  </rcc>
  <rcc rId="7196" sId="1" odxf="1" dxf="1">
    <nc r="C583">
      <v>5.5</v>
    </nc>
    <odxf/>
    <ndxf/>
  </rcc>
  <rcc rId="7197" sId="1" odxf="1" dxf="1">
    <nc r="D583" t="inlineStr">
      <is>
        <t>25-002</t>
      </is>
    </nc>
    <odxf/>
    <ndxf/>
  </rcc>
  <rcc rId="7198" sId="1" odxf="1" dxf="1">
    <nc r="E583" t="inlineStr">
      <is>
        <t>W1027603/1</t>
      </is>
    </nc>
    <odxf/>
    <ndxf/>
  </rcc>
  <rcc rId="7199" sId="1" odxf="1" dxf="1">
    <nc r="F583" t="inlineStr">
      <is>
        <t>VER1/0270-0938</t>
      </is>
    </nc>
    <odxf/>
    <ndxf/>
  </rcc>
  <rcc rId="7200" sId="1" odxf="1" dxf="1">
    <nc r="G583" t="inlineStr">
      <is>
        <t>LoPro S3 Short Well</t>
      </is>
    </nc>
    <odxf/>
    <ndxf/>
  </rcc>
  <rcc rId="7201" sId="1" odxf="1" dxf="1">
    <nc r="H583">
      <v>149.98500000000001</v>
    </nc>
    <odxf/>
    <ndxf/>
  </rcc>
  <rcc rId="7202" sId="1" odxf="1" dxf="1">
    <nc r="I583">
      <v>27.27</v>
    </nc>
    <odxf/>
    <ndxf/>
  </rcc>
  <rcc rId="7203" sId="1" odxf="1" dxf="1">
    <nc r="J583">
      <v>600</v>
    </nc>
    <odxf/>
    <ndxf/>
  </rcc>
  <rcc rId="7204" sId="1" odxf="1" dxf="1">
    <nc r="K583">
      <v>0</v>
    </nc>
    <odxf/>
    <ndxf/>
  </rcc>
  <rcc rId="7205" sId="1" odxf="1" dxf="1" numFmtId="19">
    <nc r="L583">
      <v>46216</v>
    </nc>
    <odxf/>
    <ndxf/>
  </rcc>
  <rcc rId="7206" sId="1" odxf="1" dxf="1" numFmtId="19">
    <nc r="M583">
      <v>46217.152777777781</v>
    </nc>
    <odxf/>
    <ndxf/>
  </rcc>
  <rfmt sheetId="1" sqref="N583" start="0" length="0">
    <dxf/>
  </rfmt>
  <rfmt sheetId="1" sqref="O583" start="0" length="0">
    <dxf/>
  </rfmt>
  <rfmt sheetId="1" sqref="P583" start="0" length="0">
    <dxf/>
  </rfmt>
  <rfmt sheetId="1" sqref="Q583" start="0" length="0">
    <dxf/>
  </rfmt>
  <rfmt sheetId="1" sqref="R583" start="0" length="0">
    <dxf/>
  </rfmt>
  <rfmt sheetId="1" sqref="S583" start="0" length="0">
    <dxf/>
  </rfmt>
  <rfmt sheetId="1" sqref="T583" start="0" length="0">
    <dxf/>
  </rfmt>
  <rfmt sheetId="1" sqref="U583" start="0" length="0">
    <dxf/>
  </rfmt>
  <rfmt sheetId="1" sqref="V583" start="0" length="0">
    <dxf/>
  </rfmt>
  <rfmt sheetId="1" sqref="W583" start="0" length="0">
    <dxf/>
  </rfmt>
  <rfmt sheetId="1" sqref="X583" start="0" length="0">
    <dxf/>
  </rfmt>
  <rfmt sheetId="1" sqref="Y583" start="0" length="0">
    <dxf/>
  </rfmt>
  <rfmt sheetId="1" sqref="Z583" start="0" length="0">
    <dxf/>
  </rfmt>
  <rcc rId="7207" sId="1" odxf="1" dxf="1">
    <nc r="AA583" t="inlineStr">
      <is>
        <t>1</t>
      </is>
    </nc>
    <odxf/>
    <ndxf/>
  </rcc>
  <rcc rId="7208" sId="1" odxf="1" dxf="1">
    <nc r="AB583" t="inlineStr">
      <is>
        <t>0</t>
      </is>
    </nc>
    <odxf/>
    <ndxf/>
  </rcc>
  <rfmt sheetId="1" sqref="A583:XFD583" start="0" length="0">
    <dxf/>
  </rfmt>
  <rcc rId="7209" sId="1" odxf="1" dxf="1">
    <nc r="A584" t="inlineStr">
      <is>
        <t>Zone 3</t>
      </is>
    </nc>
    <odxf/>
    <ndxf/>
  </rcc>
  <rcc rId="7210" sId="1" odxf="1" dxf="1">
    <nc r="B584" t="inlineStr">
      <is>
        <t>LoPro S3 HDMI</t>
      </is>
    </nc>
    <odxf/>
    <ndxf/>
  </rcc>
  <rcc rId="7211" sId="1" odxf="1" dxf="1">
    <nc r="C584">
      <v>5.5</v>
    </nc>
    <odxf/>
    <ndxf/>
  </rcc>
  <rcc rId="7212" sId="1" odxf="1" dxf="1">
    <nc r="D584" t="inlineStr">
      <is>
        <t>25-002</t>
      </is>
    </nc>
    <odxf/>
    <ndxf/>
  </rcc>
  <rcc rId="7213" sId="1" odxf="1" dxf="1">
    <nc r="E584" t="inlineStr">
      <is>
        <t>W1027609/1</t>
      </is>
    </nc>
    <odxf/>
    <ndxf/>
  </rcc>
  <rcc rId="7214" sId="1" odxf="1" dxf="1">
    <nc r="F584" t="inlineStr">
      <is>
        <t>VER1/0270-1078</t>
      </is>
    </nc>
    <odxf/>
    <ndxf/>
  </rcc>
  <rcc rId="7215" sId="1" odxf="1" dxf="1">
    <nc r="G584" t="inlineStr">
      <is>
        <t>Non Sterile LoPro S3</t>
      </is>
    </nc>
    <odxf/>
    <ndxf/>
  </rcc>
  <rcc rId="7216" sId="1" odxf="1" dxf="1">
    <nc r="H584">
      <v>75.02</v>
    </nc>
    <odxf/>
    <ndxf/>
  </rcc>
  <rcc rId="7217" sId="1" odxf="1" dxf="1">
    <nc r="I584">
      <v>13.64</v>
    </nc>
    <odxf/>
    <ndxf/>
  </rcc>
  <rcc rId="7218" sId="1" odxf="1" dxf="1">
    <nc r="J584">
      <v>300</v>
    </nc>
    <odxf/>
    <ndxf/>
  </rcc>
  <rcc rId="7219" sId="1" odxf="1" dxf="1">
    <nc r="K584">
      <v>0</v>
    </nc>
    <odxf/>
    <ndxf/>
  </rcc>
  <rcc rId="7220" sId="1" odxf="1" dxf="1" numFmtId="19">
    <nc r="L584">
      <v>46216.875</v>
    </nc>
    <odxf/>
    <ndxf/>
  </rcc>
  <rcc rId="7221" sId="1" odxf="1" dxf="1" numFmtId="19">
    <nc r="M584">
      <v>46217.458333333336</v>
    </nc>
    <odxf/>
    <ndxf/>
  </rcc>
  <rfmt sheetId="1" sqref="N584" start="0" length="0">
    <dxf/>
  </rfmt>
  <rfmt sheetId="1" sqref="O584" start="0" length="0">
    <dxf/>
  </rfmt>
  <rfmt sheetId="1" sqref="P584" start="0" length="0">
    <dxf/>
  </rfmt>
  <rfmt sheetId="1" sqref="Q584" start="0" length="0">
    <dxf/>
  </rfmt>
  <rfmt sheetId="1" sqref="R584" start="0" length="0">
    <dxf/>
  </rfmt>
  <rfmt sheetId="1" sqref="S584" start="0" length="0">
    <dxf/>
  </rfmt>
  <rfmt sheetId="1" sqref="T584" start="0" length="0">
    <dxf/>
  </rfmt>
  <rfmt sheetId="1" sqref="U584" start="0" length="0">
    <dxf/>
  </rfmt>
  <rfmt sheetId="1" sqref="V584" start="0" length="0">
    <dxf/>
  </rfmt>
  <rfmt sheetId="1" sqref="W584" start="0" length="0">
    <dxf/>
  </rfmt>
  <rfmt sheetId="1" sqref="X584" start="0" length="0">
    <dxf/>
  </rfmt>
  <rfmt sheetId="1" sqref="Y584" start="0" length="0">
    <dxf/>
  </rfmt>
  <rfmt sheetId="1" sqref="Z584" start="0" length="0">
    <dxf/>
  </rfmt>
  <rcc rId="7222" sId="1" odxf="1" dxf="1">
    <nc r="AA584" t="inlineStr">
      <is>
        <t>1</t>
      </is>
    </nc>
    <odxf/>
    <ndxf/>
  </rcc>
  <rcc rId="7223" sId="1" odxf="1" dxf="1">
    <nc r="AB584" t="inlineStr">
      <is>
        <t>0</t>
      </is>
    </nc>
    <odxf/>
    <ndxf/>
  </rcc>
  <rfmt sheetId="1" sqref="A584:XFD584" start="0" length="0">
    <dxf/>
  </rfmt>
  <rfmt sheetId="1" sqref="A585" start="0" length="0">
    <dxf>
      <fill>
        <patternFill patternType="solid">
          <bgColor theme="0" tint="-4.9989318521683403E-2"/>
        </patternFill>
      </fill>
    </dxf>
  </rfmt>
  <rfmt sheetId="1" sqref="B585" start="0" length="0">
    <dxf>
      <fill>
        <patternFill patternType="solid">
          <bgColor theme="0" tint="-4.9989318521683403E-2"/>
        </patternFill>
      </fill>
    </dxf>
  </rfmt>
  <rfmt sheetId="1" sqref="C585" start="0" length="0">
    <dxf>
      <fill>
        <patternFill patternType="solid">
          <bgColor theme="0" tint="-4.9989318521683403E-2"/>
        </patternFill>
      </fill>
    </dxf>
  </rfmt>
  <rfmt sheetId="1" sqref="D585" start="0" length="0">
    <dxf>
      <fill>
        <patternFill patternType="solid">
          <bgColor theme="0" tint="-4.9989318521683403E-2"/>
        </patternFill>
      </fill>
    </dxf>
  </rfmt>
  <rfmt sheetId="1" sqref="E585" start="0" length="0">
    <dxf>
      <fill>
        <patternFill patternType="solid">
          <bgColor theme="0" tint="-4.9989318521683403E-2"/>
        </patternFill>
      </fill>
    </dxf>
  </rfmt>
  <rfmt sheetId="1" sqref="F585" start="0" length="0">
    <dxf>
      <fill>
        <patternFill patternType="solid">
          <bgColor theme="0" tint="-4.9989318521683403E-2"/>
        </patternFill>
      </fill>
    </dxf>
  </rfmt>
  <rfmt sheetId="1" sqref="G585" start="0" length="0">
    <dxf>
      <fill>
        <patternFill patternType="solid">
          <bgColor theme="0" tint="-4.9989318521683403E-2"/>
        </patternFill>
      </fill>
    </dxf>
  </rfmt>
  <rfmt sheetId="1" sqref="H585" start="0" length="0">
    <dxf>
      <fill>
        <patternFill patternType="solid">
          <bgColor theme="0" tint="-4.9989318521683403E-2"/>
        </patternFill>
      </fill>
    </dxf>
  </rfmt>
  <rfmt sheetId="1" sqref="I585" start="0" length="0">
    <dxf>
      <fill>
        <patternFill patternType="solid">
          <bgColor theme="0" tint="-4.9989318521683403E-2"/>
        </patternFill>
      </fill>
    </dxf>
  </rfmt>
  <rfmt sheetId="1" sqref="J585" start="0" length="0">
    <dxf>
      <fill>
        <patternFill patternType="solid">
          <bgColor theme="0" tint="-4.9989318521683403E-2"/>
        </patternFill>
      </fill>
    </dxf>
  </rfmt>
  <rfmt sheetId="1" sqref="K585" start="0" length="0">
    <dxf>
      <fill>
        <patternFill patternType="solid">
          <bgColor theme="0" tint="-4.9989318521683403E-2"/>
        </patternFill>
      </fill>
    </dxf>
  </rfmt>
  <rfmt sheetId="1" sqref="L585" start="0" length="0">
    <dxf>
      <fill>
        <patternFill patternType="solid">
          <bgColor theme="0" tint="-4.9989318521683403E-2"/>
        </patternFill>
      </fill>
    </dxf>
  </rfmt>
  <rfmt sheetId="1" sqref="M585" start="0" length="0">
    <dxf>
      <fill>
        <patternFill patternType="solid">
          <bgColor theme="0" tint="-4.9989318521683403E-2"/>
        </patternFill>
      </fill>
    </dxf>
  </rfmt>
  <rfmt sheetId="1" sqref="N585" start="0" length="0">
    <dxf>
      <fill>
        <patternFill patternType="solid">
          <bgColor theme="0" tint="-4.9989318521683403E-2"/>
        </patternFill>
      </fill>
    </dxf>
  </rfmt>
  <rfmt sheetId="1" sqref="O585" start="0" length="0">
    <dxf>
      <fill>
        <patternFill patternType="solid">
          <bgColor theme="0" tint="-4.9989318521683403E-2"/>
        </patternFill>
      </fill>
    </dxf>
  </rfmt>
  <rfmt sheetId="1" sqref="P585" start="0" length="0">
    <dxf>
      <fill>
        <patternFill patternType="solid">
          <bgColor theme="0" tint="-4.9989318521683403E-2"/>
        </patternFill>
      </fill>
    </dxf>
  </rfmt>
  <rfmt sheetId="1" sqref="Q585" start="0" length="0">
    <dxf>
      <fill>
        <patternFill patternType="solid">
          <bgColor theme="0" tint="-4.9989318521683403E-2"/>
        </patternFill>
      </fill>
    </dxf>
  </rfmt>
  <rfmt sheetId="1" sqref="R585" start="0" length="0">
    <dxf>
      <fill>
        <patternFill patternType="solid">
          <bgColor theme="0" tint="-4.9989318521683403E-2"/>
        </patternFill>
      </fill>
    </dxf>
  </rfmt>
  <rfmt sheetId="1" sqref="S585" start="0" length="0">
    <dxf>
      <fill>
        <patternFill patternType="solid">
          <bgColor theme="0" tint="-4.9989318521683403E-2"/>
        </patternFill>
      </fill>
    </dxf>
  </rfmt>
  <rfmt sheetId="1" sqref="T585" start="0" length="0">
    <dxf>
      <fill>
        <patternFill patternType="solid">
          <bgColor theme="0" tint="-4.9989318521683403E-2"/>
        </patternFill>
      </fill>
    </dxf>
  </rfmt>
  <rfmt sheetId="1" sqref="U585" start="0" length="0">
    <dxf>
      <fill>
        <patternFill patternType="solid">
          <bgColor theme="0" tint="-4.9989318521683403E-2"/>
        </patternFill>
      </fill>
    </dxf>
  </rfmt>
  <rfmt sheetId="1" sqref="V585" start="0" length="0">
    <dxf>
      <fill>
        <patternFill patternType="solid">
          <bgColor theme="0" tint="-4.9989318521683403E-2"/>
        </patternFill>
      </fill>
    </dxf>
  </rfmt>
  <rfmt sheetId="1" sqref="W585" start="0" length="0">
    <dxf>
      <fill>
        <patternFill patternType="solid">
          <bgColor theme="0" tint="-4.9989318521683403E-2"/>
        </patternFill>
      </fill>
    </dxf>
  </rfmt>
  <rfmt sheetId="1" sqref="X585" start="0" length="0">
    <dxf>
      <fill>
        <patternFill patternType="solid">
          <bgColor theme="0" tint="-4.9989318521683403E-2"/>
        </patternFill>
      </fill>
    </dxf>
  </rfmt>
  <rfmt sheetId="1" sqref="Y585" start="0" length="0">
    <dxf>
      <fill>
        <patternFill patternType="solid">
          <bgColor theme="0" tint="-4.9989318521683403E-2"/>
        </patternFill>
      </fill>
    </dxf>
  </rfmt>
  <rfmt sheetId="1" sqref="Z585" start="0" length="0">
    <dxf>
      <fill>
        <patternFill patternType="solid">
          <bgColor theme="0" tint="-4.9989318521683403E-2"/>
        </patternFill>
      </fill>
    </dxf>
  </rfmt>
  <rfmt sheetId="1" sqref="AA585" start="0" length="0">
    <dxf>
      <fill>
        <patternFill patternType="solid">
          <bgColor theme="0" tint="-4.9989318521683403E-2"/>
        </patternFill>
      </fill>
    </dxf>
  </rfmt>
  <rfmt sheetId="1" sqref="AB585" start="0" length="0">
    <dxf>
      <fill>
        <patternFill patternType="solid">
          <bgColor theme="0" tint="-4.9989318521683403E-2"/>
        </patternFill>
      </fill>
    </dxf>
  </rfmt>
  <rfmt sheetId="1" sqref="A585:XFD585" start="0" length="0">
    <dxf>
      <fill>
        <patternFill patternType="solid">
          <bgColor theme="0" tint="-4.9989318521683403E-2"/>
        </patternFill>
      </fill>
    </dxf>
  </rfmt>
  <rcc rId="7224" sId="1" odxf="1" dxf="1">
    <nc r="A586" t="inlineStr">
      <is>
        <t>Zone 3</t>
      </is>
    </nc>
    <odxf/>
    <ndxf/>
  </rcc>
  <rcc rId="7225" sId="1" odxf="1" dxf="1">
    <nc r="B586" t="inlineStr">
      <is>
        <t>LoPro S3 HDMI</t>
      </is>
    </nc>
    <odxf/>
    <ndxf/>
  </rcc>
  <rcc rId="7226" sId="1" odxf="1" dxf="1">
    <nc r="C586">
      <v>5.5</v>
    </nc>
    <odxf/>
    <ndxf/>
  </rcc>
  <rcc rId="7227" sId="1" odxf="1" dxf="1">
    <nc r="D586" t="inlineStr">
      <is>
        <t>25-002</t>
      </is>
    </nc>
    <odxf/>
    <ndxf/>
  </rcc>
  <rcc rId="7228" sId="1" odxf="1" dxf="1">
    <nc r="E586" t="inlineStr">
      <is>
        <t>W1027604/1</t>
      </is>
    </nc>
    <odxf/>
    <ndxf/>
  </rcc>
  <rcc rId="7229" sId="1" odxf="1" dxf="1">
    <nc r="F586" t="inlineStr">
      <is>
        <t>VER1/0270-0938</t>
      </is>
    </nc>
    <odxf/>
    <ndxf/>
  </rcc>
  <rcc rId="7230" sId="1" odxf="1" dxf="1">
    <nc r="G586" t="inlineStr">
      <is>
        <t>LoPro S3 Short Well</t>
      </is>
    </nc>
    <odxf/>
    <ndxf/>
  </rcc>
  <rcc rId="7231" sId="1" odxf="1" dxf="1">
    <nc r="H586">
      <v>112.47499999999999</v>
    </nc>
    <odxf/>
    <ndxf/>
  </rcc>
  <rcc rId="7232" sId="1" odxf="1" dxf="1">
    <nc r="I586">
      <v>20.45</v>
    </nc>
    <odxf/>
    <ndxf/>
  </rcc>
  <rcc rId="7233" sId="1" odxf="1" dxf="1">
    <nc r="J586">
      <v>450</v>
    </nc>
    <odxf/>
    <ndxf/>
  </rcc>
  <rcc rId="7234" sId="1" odxf="1" dxf="1">
    <nc r="K586">
      <v>0</v>
    </nc>
    <odxf/>
    <ndxf/>
  </rcc>
  <rcc rId="7235" sId="1" odxf="1" dxf="1" numFmtId="19">
    <nc r="L586">
      <v>46223</v>
    </nc>
    <odxf/>
    <ndxf/>
  </rcc>
  <rcc rId="7236" sId="1" odxf="1" dxf="1" numFmtId="19">
    <nc r="M586">
      <v>46223.868055555555</v>
    </nc>
    <odxf/>
    <ndxf/>
  </rcc>
  <rfmt sheetId="1" sqref="N586" start="0" length="0">
    <dxf/>
  </rfmt>
  <rfmt sheetId="1" sqref="O586" start="0" length="0">
    <dxf/>
  </rfmt>
  <rfmt sheetId="1" sqref="P586" start="0" length="0">
    <dxf/>
  </rfmt>
  <rfmt sheetId="1" sqref="Q586" start="0" length="0">
    <dxf/>
  </rfmt>
  <rfmt sheetId="1" sqref="R586" start="0" length="0">
    <dxf/>
  </rfmt>
  <rfmt sheetId="1" sqref="S586" start="0" length="0">
    <dxf/>
  </rfmt>
  <rfmt sheetId="1" sqref="T586" start="0" length="0">
    <dxf/>
  </rfmt>
  <rfmt sheetId="1" sqref="U586" start="0" length="0">
    <dxf/>
  </rfmt>
  <rfmt sheetId="1" sqref="V586" start="0" length="0">
    <dxf/>
  </rfmt>
  <rfmt sheetId="1" sqref="W586" start="0" length="0">
    <dxf/>
  </rfmt>
  <rfmt sheetId="1" sqref="X586" start="0" length="0">
    <dxf/>
  </rfmt>
  <rfmt sheetId="1" sqref="Y586" start="0" length="0">
    <dxf/>
  </rfmt>
  <rfmt sheetId="1" sqref="Z586" start="0" length="0">
    <dxf/>
  </rfmt>
  <rcc rId="7237" sId="1" odxf="1" dxf="1">
    <nc r="AA586" t="inlineStr">
      <is>
        <t>1</t>
      </is>
    </nc>
    <odxf/>
    <ndxf/>
  </rcc>
  <rcc rId="7238" sId="1" odxf="1" dxf="1">
    <nc r="AB586" t="inlineStr">
      <is>
        <t>0</t>
      </is>
    </nc>
    <odxf/>
    <ndxf/>
  </rcc>
  <rfmt sheetId="1" sqref="A586:XFD586" start="0" length="0">
    <dxf/>
  </rfmt>
  <rcc rId="7239" sId="1" odxf="1" dxf="1">
    <nc r="A587" t="inlineStr">
      <is>
        <t>Zone 3</t>
      </is>
    </nc>
    <odxf/>
    <ndxf/>
  </rcc>
  <rcc rId="7240" sId="1" odxf="1" dxf="1">
    <nc r="B587" t="inlineStr">
      <is>
        <t>LoPro S3 HDMI</t>
      </is>
    </nc>
    <odxf/>
    <ndxf/>
  </rcc>
  <rcc rId="7241" sId="1" odxf="1" dxf="1">
    <nc r="C587">
      <v>5.5</v>
    </nc>
    <odxf/>
    <ndxf/>
  </rcc>
  <rcc rId="7242" sId="1" odxf="1" dxf="1">
    <nc r="D587" t="inlineStr">
      <is>
        <t>25-002</t>
      </is>
    </nc>
    <odxf/>
    <ndxf/>
  </rcc>
  <rcc rId="7243" sId="1" odxf="1" dxf="1">
    <nc r="E587" t="inlineStr">
      <is>
        <t>W1027605/1</t>
      </is>
    </nc>
    <odxf/>
    <ndxf/>
  </rcc>
  <rcc rId="7244" sId="1" odxf="1" dxf="1">
    <nc r="F587" t="inlineStr">
      <is>
        <t>VER1/0270-0938</t>
      </is>
    </nc>
    <odxf/>
    <ndxf/>
  </rcc>
  <rcc rId="7245" sId="1" odxf="1" dxf="1">
    <nc r="G587" t="inlineStr">
      <is>
        <t>LoPro S3 Short Well</t>
      </is>
    </nc>
    <odxf/>
    <ndxf/>
  </rcc>
  <rcc rId="7246" sId="1" odxf="1" dxf="1">
    <nc r="H587">
      <v>149.98500000000001</v>
    </nc>
    <odxf/>
    <ndxf/>
  </rcc>
  <rcc rId="7247" sId="1" odxf="1" dxf="1">
    <nc r="I587">
      <v>27.27</v>
    </nc>
    <odxf/>
    <ndxf/>
  </rcc>
  <rcc rId="7248" sId="1" odxf="1" dxf="1">
    <nc r="J587">
      <v>600</v>
    </nc>
    <odxf/>
    <ndxf/>
  </rcc>
  <rcc rId="7249" sId="1" odxf="1" dxf="1">
    <nc r="K587">
      <v>0</v>
    </nc>
    <odxf/>
    <ndxf/>
  </rcc>
  <rcc rId="7250" sId="1" odxf="1" dxf="1" numFmtId="19">
    <nc r="L587">
      <v>46223</v>
    </nc>
    <odxf/>
    <ndxf/>
  </rcc>
  <rcc rId="7251" sId="1" odxf="1" dxf="1" numFmtId="19">
    <nc r="M587">
      <v>46224.152777777781</v>
    </nc>
    <odxf/>
    <ndxf/>
  </rcc>
  <rfmt sheetId="1" sqref="N587" start="0" length="0">
    <dxf/>
  </rfmt>
  <rfmt sheetId="1" sqref="O587" start="0" length="0">
    <dxf/>
  </rfmt>
  <rfmt sheetId="1" sqref="P587" start="0" length="0">
    <dxf/>
  </rfmt>
  <rfmt sheetId="1" sqref="Q587" start="0" length="0">
    <dxf/>
  </rfmt>
  <rfmt sheetId="1" sqref="R587" start="0" length="0">
    <dxf/>
  </rfmt>
  <rfmt sheetId="1" sqref="S587" start="0" length="0">
    <dxf/>
  </rfmt>
  <rfmt sheetId="1" sqref="T587" start="0" length="0">
    <dxf/>
  </rfmt>
  <rfmt sheetId="1" sqref="U587" start="0" length="0">
    <dxf/>
  </rfmt>
  <rfmt sheetId="1" sqref="V587" start="0" length="0">
    <dxf/>
  </rfmt>
  <rfmt sheetId="1" sqref="W587" start="0" length="0">
    <dxf/>
  </rfmt>
  <rfmt sheetId="1" sqref="X587" start="0" length="0">
    <dxf/>
  </rfmt>
  <rfmt sheetId="1" sqref="Y587" start="0" length="0">
    <dxf/>
  </rfmt>
  <rfmt sheetId="1" sqref="Z587" start="0" length="0">
    <dxf/>
  </rfmt>
  <rcc rId="7252" sId="1" odxf="1" dxf="1">
    <nc r="AA587" t="inlineStr">
      <is>
        <t>1</t>
      </is>
    </nc>
    <odxf/>
    <ndxf/>
  </rcc>
  <rcc rId="7253" sId="1" odxf="1" dxf="1">
    <nc r="AB587" t="inlineStr">
      <is>
        <t>0</t>
      </is>
    </nc>
    <odxf/>
    <ndxf/>
  </rcc>
  <rfmt sheetId="1" sqref="A587:XFD587" start="0" length="0">
    <dxf/>
  </rfmt>
  <rcc rId="7254" sId="1" odxf="1" dxf="1">
    <nc r="A588" t="inlineStr">
      <is>
        <t>Zone 3</t>
      </is>
    </nc>
    <odxf/>
    <ndxf/>
  </rcc>
  <rcc rId="7255" sId="1" odxf="1" dxf="1">
    <nc r="B588" t="inlineStr">
      <is>
        <t>LoPro S3 HDMI</t>
      </is>
    </nc>
    <odxf/>
    <ndxf/>
  </rcc>
  <rcc rId="7256" sId="1" odxf="1" dxf="1">
    <nc r="C588">
      <v>5.5</v>
    </nc>
    <odxf/>
    <ndxf/>
  </rcc>
  <rcc rId="7257" sId="1" odxf="1" dxf="1">
    <nc r="D588" t="inlineStr">
      <is>
        <t>25-002</t>
      </is>
    </nc>
    <odxf/>
    <ndxf/>
  </rcc>
  <rcc rId="7258" sId="1" odxf="1" dxf="1">
    <nc r="E588" t="inlineStr">
      <is>
        <t>W1027610/1</t>
      </is>
    </nc>
    <odxf/>
    <ndxf/>
  </rcc>
  <rcc rId="7259" sId="1" odxf="1" dxf="1">
    <nc r="F588" t="inlineStr">
      <is>
        <t>VER1/0270-1078</t>
      </is>
    </nc>
    <odxf/>
    <ndxf/>
  </rcc>
  <rcc rId="7260" sId="1" odxf="1" dxf="1">
    <nc r="G588" t="inlineStr">
      <is>
        <t>Non Sterile LoPro S3</t>
      </is>
    </nc>
    <odxf/>
    <ndxf/>
  </rcc>
  <rcc rId="7261" sId="1" odxf="1" dxf="1">
    <nc r="H588">
      <v>37.51</v>
    </nc>
    <odxf/>
    <ndxf/>
  </rcc>
  <rcc rId="7262" sId="1" odxf="1" dxf="1">
    <nc r="I588">
      <v>6.82</v>
    </nc>
    <odxf/>
    <ndxf/>
  </rcc>
  <rcc rId="7263" sId="1" odxf="1" dxf="1">
    <nc r="J588">
      <v>150</v>
    </nc>
    <odxf/>
    <ndxf/>
  </rcc>
  <rcc rId="7264" sId="1" odxf="1" dxf="1">
    <nc r="K588">
      <v>0</v>
    </nc>
    <odxf/>
    <ndxf/>
  </rcc>
  <rcc rId="7265" sId="1" odxf="1" dxf="1" numFmtId="19">
    <nc r="L588">
      <v>46223.875</v>
    </nc>
    <odxf/>
    <ndxf/>
  </rcc>
  <rcc rId="7266" sId="1" odxf="1" dxf="1" numFmtId="19">
    <nc r="M588">
      <v>46224.173611111109</v>
    </nc>
    <odxf/>
    <ndxf/>
  </rcc>
  <rfmt sheetId="1" sqref="N588" start="0" length="0">
    <dxf/>
  </rfmt>
  <rfmt sheetId="1" sqref="O588" start="0" length="0">
    <dxf/>
  </rfmt>
  <rfmt sheetId="1" sqref="P588" start="0" length="0">
    <dxf/>
  </rfmt>
  <rfmt sheetId="1" sqref="Q588" start="0" length="0">
    <dxf/>
  </rfmt>
  <rfmt sheetId="1" sqref="R588" start="0" length="0">
    <dxf/>
  </rfmt>
  <rfmt sheetId="1" sqref="S588" start="0" length="0">
    <dxf/>
  </rfmt>
  <rfmt sheetId="1" sqref="T588" start="0" length="0">
    <dxf/>
  </rfmt>
  <rfmt sheetId="1" sqref="U588" start="0" length="0">
    <dxf/>
  </rfmt>
  <rfmt sheetId="1" sqref="V588" start="0" length="0">
    <dxf/>
  </rfmt>
  <rfmt sheetId="1" sqref="W588" start="0" length="0">
    <dxf/>
  </rfmt>
  <rfmt sheetId="1" sqref="X588" start="0" length="0">
    <dxf/>
  </rfmt>
  <rfmt sheetId="1" sqref="Y588" start="0" length="0">
    <dxf/>
  </rfmt>
  <rfmt sheetId="1" sqref="Z588" start="0" length="0">
    <dxf/>
  </rfmt>
  <rcc rId="7267" sId="1" odxf="1" dxf="1">
    <nc r="AA588" t="inlineStr">
      <is>
        <t>1</t>
      </is>
    </nc>
    <odxf/>
    <ndxf/>
  </rcc>
  <rcc rId="7268" sId="1" odxf="1" dxf="1">
    <nc r="AB588" t="inlineStr">
      <is>
        <t>0</t>
      </is>
    </nc>
    <odxf/>
    <ndxf/>
  </rcc>
  <rfmt sheetId="1" sqref="A588:XFD588" start="0" length="0">
    <dxf/>
  </rfmt>
  <rfmt sheetId="1" sqref="A589" start="0" length="0">
    <dxf>
      <fill>
        <patternFill patternType="solid">
          <bgColor theme="0" tint="-4.9989318521683403E-2"/>
        </patternFill>
      </fill>
    </dxf>
  </rfmt>
  <rfmt sheetId="1" sqref="B589" start="0" length="0">
    <dxf>
      <fill>
        <patternFill patternType="solid">
          <bgColor theme="0" tint="-4.9989318521683403E-2"/>
        </patternFill>
      </fill>
    </dxf>
  </rfmt>
  <rfmt sheetId="1" sqref="C589" start="0" length="0">
    <dxf>
      <fill>
        <patternFill patternType="solid">
          <bgColor theme="0" tint="-4.9989318521683403E-2"/>
        </patternFill>
      </fill>
    </dxf>
  </rfmt>
  <rfmt sheetId="1" sqref="D589" start="0" length="0">
    <dxf>
      <fill>
        <patternFill patternType="solid">
          <bgColor theme="0" tint="-4.9989318521683403E-2"/>
        </patternFill>
      </fill>
    </dxf>
  </rfmt>
  <rfmt sheetId="1" sqref="E589" start="0" length="0">
    <dxf>
      <fill>
        <patternFill patternType="solid">
          <bgColor theme="0" tint="-4.9989318521683403E-2"/>
        </patternFill>
      </fill>
    </dxf>
  </rfmt>
  <rfmt sheetId="1" sqref="F589" start="0" length="0">
    <dxf>
      <fill>
        <patternFill patternType="solid">
          <bgColor theme="0" tint="-4.9989318521683403E-2"/>
        </patternFill>
      </fill>
    </dxf>
  </rfmt>
  <rfmt sheetId="1" sqref="G589" start="0" length="0">
    <dxf>
      <fill>
        <patternFill patternType="solid">
          <bgColor theme="0" tint="-4.9989318521683403E-2"/>
        </patternFill>
      </fill>
    </dxf>
  </rfmt>
  <rfmt sheetId="1" sqref="H589" start="0" length="0">
    <dxf>
      <fill>
        <patternFill patternType="solid">
          <bgColor theme="0" tint="-4.9989318521683403E-2"/>
        </patternFill>
      </fill>
    </dxf>
  </rfmt>
  <rfmt sheetId="1" sqref="I589" start="0" length="0">
    <dxf>
      <fill>
        <patternFill patternType="solid">
          <bgColor theme="0" tint="-4.9989318521683403E-2"/>
        </patternFill>
      </fill>
    </dxf>
  </rfmt>
  <rfmt sheetId="1" sqref="J589" start="0" length="0">
    <dxf>
      <fill>
        <patternFill patternType="solid">
          <bgColor theme="0" tint="-4.9989318521683403E-2"/>
        </patternFill>
      </fill>
    </dxf>
  </rfmt>
  <rfmt sheetId="1" sqref="K589" start="0" length="0">
    <dxf>
      <fill>
        <patternFill patternType="solid">
          <bgColor theme="0" tint="-4.9989318521683403E-2"/>
        </patternFill>
      </fill>
    </dxf>
  </rfmt>
  <rfmt sheetId="1" sqref="L589" start="0" length="0">
    <dxf>
      <fill>
        <patternFill patternType="solid">
          <bgColor theme="0" tint="-4.9989318521683403E-2"/>
        </patternFill>
      </fill>
    </dxf>
  </rfmt>
  <rfmt sheetId="1" sqref="M589" start="0" length="0">
    <dxf>
      <fill>
        <patternFill patternType="solid">
          <bgColor theme="0" tint="-4.9989318521683403E-2"/>
        </patternFill>
      </fill>
    </dxf>
  </rfmt>
  <rfmt sheetId="1" sqref="N589" start="0" length="0">
    <dxf>
      <fill>
        <patternFill patternType="solid">
          <bgColor theme="0" tint="-4.9989318521683403E-2"/>
        </patternFill>
      </fill>
    </dxf>
  </rfmt>
  <rfmt sheetId="1" sqref="O589" start="0" length="0">
    <dxf>
      <fill>
        <patternFill patternType="solid">
          <bgColor theme="0" tint="-4.9989318521683403E-2"/>
        </patternFill>
      </fill>
    </dxf>
  </rfmt>
  <rfmt sheetId="1" sqref="P589" start="0" length="0">
    <dxf>
      <fill>
        <patternFill patternType="solid">
          <bgColor theme="0" tint="-4.9989318521683403E-2"/>
        </patternFill>
      </fill>
    </dxf>
  </rfmt>
  <rfmt sheetId="1" sqref="Q589" start="0" length="0">
    <dxf>
      <fill>
        <patternFill patternType="solid">
          <bgColor theme="0" tint="-4.9989318521683403E-2"/>
        </patternFill>
      </fill>
    </dxf>
  </rfmt>
  <rfmt sheetId="1" sqref="R589" start="0" length="0">
    <dxf>
      <fill>
        <patternFill patternType="solid">
          <bgColor theme="0" tint="-4.9989318521683403E-2"/>
        </patternFill>
      </fill>
    </dxf>
  </rfmt>
  <rfmt sheetId="1" sqref="S589" start="0" length="0">
    <dxf>
      <fill>
        <patternFill patternType="solid">
          <bgColor theme="0" tint="-4.9989318521683403E-2"/>
        </patternFill>
      </fill>
    </dxf>
  </rfmt>
  <rfmt sheetId="1" sqref="T589" start="0" length="0">
    <dxf>
      <fill>
        <patternFill patternType="solid">
          <bgColor theme="0" tint="-4.9989318521683403E-2"/>
        </patternFill>
      </fill>
    </dxf>
  </rfmt>
  <rfmt sheetId="1" sqref="U589" start="0" length="0">
    <dxf>
      <fill>
        <patternFill patternType="solid">
          <bgColor theme="0" tint="-4.9989318521683403E-2"/>
        </patternFill>
      </fill>
    </dxf>
  </rfmt>
  <rfmt sheetId="1" sqref="V589" start="0" length="0">
    <dxf>
      <fill>
        <patternFill patternType="solid">
          <bgColor theme="0" tint="-4.9989318521683403E-2"/>
        </patternFill>
      </fill>
    </dxf>
  </rfmt>
  <rfmt sheetId="1" sqref="W589" start="0" length="0">
    <dxf>
      <fill>
        <patternFill patternType="solid">
          <bgColor theme="0" tint="-4.9989318521683403E-2"/>
        </patternFill>
      </fill>
    </dxf>
  </rfmt>
  <rfmt sheetId="1" sqref="X589" start="0" length="0">
    <dxf>
      <fill>
        <patternFill patternType="solid">
          <bgColor theme="0" tint="-4.9989318521683403E-2"/>
        </patternFill>
      </fill>
    </dxf>
  </rfmt>
  <rfmt sheetId="1" sqref="Y589" start="0" length="0">
    <dxf>
      <fill>
        <patternFill patternType="solid">
          <bgColor theme="0" tint="-4.9989318521683403E-2"/>
        </patternFill>
      </fill>
    </dxf>
  </rfmt>
  <rfmt sheetId="1" sqref="Z589" start="0" length="0">
    <dxf>
      <fill>
        <patternFill patternType="solid">
          <bgColor theme="0" tint="-4.9989318521683403E-2"/>
        </patternFill>
      </fill>
    </dxf>
  </rfmt>
  <rfmt sheetId="1" sqref="AA589" start="0" length="0">
    <dxf>
      <fill>
        <patternFill patternType="solid">
          <bgColor theme="0" tint="-4.9989318521683403E-2"/>
        </patternFill>
      </fill>
    </dxf>
  </rfmt>
  <rfmt sheetId="1" sqref="AB589" start="0" length="0">
    <dxf>
      <fill>
        <patternFill patternType="solid">
          <bgColor theme="0" tint="-4.9989318521683403E-2"/>
        </patternFill>
      </fill>
    </dxf>
  </rfmt>
  <rfmt sheetId="1" sqref="A589:XFD589" start="0" length="0">
    <dxf>
      <fill>
        <patternFill patternType="solid">
          <bgColor theme="0" tint="-4.9989318521683403E-2"/>
        </patternFill>
      </fill>
    </dxf>
  </rfmt>
  <rcc rId="7269" sId="1" odxf="1" dxf="1">
    <nc r="A590" t="inlineStr">
      <is>
        <t>Zone 3</t>
      </is>
    </nc>
    <odxf/>
    <ndxf/>
  </rcc>
  <rcc rId="7270" sId="1" odxf="1" dxf="1">
    <nc r="B590" t="inlineStr">
      <is>
        <t>LoPro S3 HDMI</t>
      </is>
    </nc>
    <odxf/>
    <ndxf/>
  </rcc>
  <rcc rId="7271" sId="1" odxf="1" dxf="1">
    <nc r="C590">
      <v>5.5</v>
    </nc>
    <odxf/>
    <ndxf/>
  </rcc>
  <rcc rId="7272" sId="1" odxf="1" dxf="1">
    <nc r="D590" t="inlineStr">
      <is>
        <t>25-002</t>
      </is>
    </nc>
    <odxf/>
    <ndxf/>
  </rcc>
  <rcc rId="7273" sId="1" odxf="1" dxf="1">
    <nc r="E590" t="inlineStr">
      <is>
        <t>W1027606/1</t>
      </is>
    </nc>
    <odxf/>
    <ndxf/>
  </rcc>
  <rcc rId="7274" sId="1" odxf="1" dxf="1">
    <nc r="F590" t="inlineStr">
      <is>
        <t>VER1/0270-0938</t>
      </is>
    </nc>
    <odxf/>
    <ndxf/>
  </rcc>
  <rcc rId="7275" sId="1" odxf="1" dxf="1">
    <nc r="G590" t="inlineStr">
      <is>
        <t>LoPro S3 Short Well</t>
      </is>
    </nc>
    <odxf/>
    <ndxf/>
  </rcc>
  <rcc rId="7276" sId="1" odxf="1" dxf="1">
    <nc r="H590">
      <v>112.47499999999999</v>
    </nc>
    <odxf/>
    <ndxf/>
  </rcc>
  <rcc rId="7277" sId="1" odxf="1" dxf="1">
    <nc r="I590">
      <v>20.45</v>
    </nc>
    <odxf/>
    <ndxf/>
  </rcc>
  <rcc rId="7278" sId="1" odxf="1" dxf="1">
    <nc r="J590">
      <v>450</v>
    </nc>
    <odxf/>
    <ndxf/>
  </rcc>
  <rcc rId="7279" sId="1" odxf="1" dxf="1">
    <nc r="K590">
      <v>0</v>
    </nc>
    <odxf/>
    <ndxf/>
  </rcc>
  <rcc rId="7280" sId="1" odxf="1" dxf="1" numFmtId="19">
    <nc r="L590">
      <v>46230</v>
    </nc>
    <odxf/>
    <ndxf/>
  </rcc>
  <rcc rId="7281" sId="1" odxf="1" dxf="1" numFmtId="19">
    <nc r="M590">
      <v>46230.868055555555</v>
    </nc>
    <odxf/>
    <ndxf/>
  </rcc>
  <rfmt sheetId="1" sqref="N590" start="0" length="0">
    <dxf/>
  </rfmt>
  <rfmt sheetId="1" sqref="O590" start="0" length="0">
    <dxf/>
  </rfmt>
  <rfmt sheetId="1" sqref="P590" start="0" length="0">
    <dxf/>
  </rfmt>
  <rfmt sheetId="1" sqref="Q590" start="0" length="0">
    <dxf/>
  </rfmt>
  <rfmt sheetId="1" sqref="R590" start="0" length="0">
    <dxf/>
  </rfmt>
  <rfmt sheetId="1" sqref="S590" start="0" length="0">
    <dxf/>
  </rfmt>
  <rfmt sheetId="1" sqref="T590" start="0" length="0">
    <dxf/>
  </rfmt>
  <rfmt sheetId="1" sqref="U590" start="0" length="0">
    <dxf/>
  </rfmt>
  <rfmt sheetId="1" sqref="V590" start="0" length="0">
    <dxf/>
  </rfmt>
  <rfmt sheetId="1" sqref="W590" start="0" length="0">
    <dxf/>
  </rfmt>
  <rfmt sheetId="1" sqref="X590" start="0" length="0">
    <dxf/>
  </rfmt>
  <rfmt sheetId="1" sqref="Y590" start="0" length="0">
    <dxf/>
  </rfmt>
  <rfmt sheetId="1" sqref="Z590" start="0" length="0">
    <dxf/>
  </rfmt>
  <rcc rId="7282" sId="1" odxf="1" dxf="1">
    <nc r="AA590" t="inlineStr">
      <is>
        <t>1</t>
      </is>
    </nc>
    <odxf/>
    <ndxf/>
  </rcc>
  <rcc rId="7283" sId="1" odxf="1" dxf="1">
    <nc r="AB590" t="inlineStr">
      <is>
        <t>0</t>
      </is>
    </nc>
    <odxf/>
    <ndxf/>
  </rcc>
  <rfmt sheetId="1" sqref="A590:XFD590" start="0" length="0">
    <dxf/>
  </rfmt>
  <rcc rId="7284" sId="1" odxf="1" dxf="1">
    <nc r="A591" t="inlineStr">
      <is>
        <t>Zone 3</t>
      </is>
    </nc>
    <odxf/>
    <ndxf/>
  </rcc>
  <rcc rId="7285" sId="1" odxf="1" dxf="1">
    <nc r="B591" t="inlineStr">
      <is>
        <t>LoPro S3 HDMI</t>
      </is>
    </nc>
    <odxf/>
    <ndxf/>
  </rcc>
  <rcc rId="7286" sId="1" odxf="1" dxf="1">
    <nc r="C591">
      <v>5.5</v>
    </nc>
    <odxf/>
    <ndxf/>
  </rcc>
  <rcc rId="7287" sId="1" odxf="1" dxf="1">
    <nc r="D591" t="inlineStr">
      <is>
        <t>25-002</t>
      </is>
    </nc>
    <odxf/>
    <ndxf/>
  </rcc>
  <rcc rId="7288" sId="1" odxf="1" dxf="1">
    <nc r="E591" t="inlineStr">
      <is>
        <t>W1027607/1</t>
      </is>
    </nc>
    <odxf/>
    <ndxf/>
  </rcc>
  <rcc rId="7289" sId="1" odxf="1" dxf="1">
    <nc r="F591" t="inlineStr">
      <is>
        <t>VER1/0270-0938</t>
      </is>
    </nc>
    <odxf/>
    <ndxf/>
  </rcc>
  <rcc rId="7290" sId="1" odxf="1" dxf="1">
    <nc r="G591" t="inlineStr">
      <is>
        <t>LoPro S3 Short Well</t>
      </is>
    </nc>
    <odxf/>
    <ndxf/>
  </rcc>
  <rcc rId="7291" sId="1" odxf="1" dxf="1">
    <nc r="H591">
      <v>149.98500000000001</v>
    </nc>
    <odxf/>
    <ndxf/>
  </rcc>
  <rcc rId="7292" sId="1" odxf="1" dxf="1">
    <nc r="I591">
      <v>27.27</v>
    </nc>
    <odxf/>
    <ndxf/>
  </rcc>
  <rcc rId="7293" sId="1" odxf="1" dxf="1">
    <nc r="J591">
      <v>600</v>
    </nc>
    <odxf/>
    <ndxf/>
  </rcc>
  <rcc rId="7294" sId="1" odxf="1" dxf="1">
    <nc r="K591">
      <v>0</v>
    </nc>
    <odxf/>
    <ndxf/>
  </rcc>
  <rcc rId="7295" sId="1" odxf="1" dxf="1" numFmtId="19">
    <nc r="L591">
      <v>46230</v>
    </nc>
    <odxf/>
    <ndxf/>
  </rcc>
  <rcc rId="7296" sId="1" odxf="1" dxf="1" numFmtId="19">
    <nc r="M591">
      <v>46231.152777777781</v>
    </nc>
    <odxf/>
    <ndxf/>
  </rcc>
  <rfmt sheetId="1" sqref="N591" start="0" length="0">
    <dxf/>
  </rfmt>
  <rfmt sheetId="1" sqref="O591" start="0" length="0">
    <dxf/>
  </rfmt>
  <rfmt sheetId="1" sqref="P591" start="0" length="0">
    <dxf/>
  </rfmt>
  <rfmt sheetId="1" sqref="Q591" start="0" length="0">
    <dxf/>
  </rfmt>
  <rfmt sheetId="1" sqref="R591" start="0" length="0">
    <dxf/>
  </rfmt>
  <rfmt sheetId="1" sqref="S591" start="0" length="0">
    <dxf/>
  </rfmt>
  <rfmt sheetId="1" sqref="T591" start="0" length="0">
    <dxf/>
  </rfmt>
  <rfmt sheetId="1" sqref="U591" start="0" length="0">
    <dxf/>
  </rfmt>
  <rfmt sheetId="1" sqref="V591" start="0" length="0">
    <dxf/>
  </rfmt>
  <rfmt sheetId="1" sqref="W591" start="0" length="0">
    <dxf/>
  </rfmt>
  <rfmt sheetId="1" sqref="X591" start="0" length="0">
    <dxf/>
  </rfmt>
  <rfmt sheetId="1" sqref="Y591" start="0" length="0">
    <dxf/>
  </rfmt>
  <rfmt sheetId="1" sqref="Z591" start="0" length="0">
    <dxf/>
  </rfmt>
  <rcc rId="7297" sId="1" odxf="1" dxf="1">
    <nc r="AA591" t="inlineStr">
      <is>
        <t>1</t>
      </is>
    </nc>
    <odxf/>
    <ndxf/>
  </rcc>
  <rcc rId="7298" sId="1" odxf="1" dxf="1">
    <nc r="AB591" t="inlineStr">
      <is>
        <t>0</t>
      </is>
    </nc>
    <odxf/>
    <ndxf/>
  </rcc>
  <rfmt sheetId="1" sqref="A591:XFD591" start="0" length="0">
    <dxf/>
  </rfmt>
  <rcc rId="7299" sId="1" odxf="1" dxf="1">
    <nc r="A592" t="inlineStr">
      <is>
        <t>Zone 3</t>
      </is>
    </nc>
    <odxf/>
    <ndxf/>
  </rcc>
  <rcc rId="7300" sId="1" odxf="1" dxf="1">
    <nc r="B592" t="inlineStr">
      <is>
        <t>LoPro S3 HDMI</t>
      </is>
    </nc>
    <odxf/>
    <ndxf/>
  </rcc>
  <rcc rId="7301" sId="1" odxf="1" dxf="1">
    <nc r="C592">
      <v>5.5</v>
    </nc>
    <odxf/>
    <ndxf/>
  </rcc>
  <rcc rId="7302" sId="1" odxf="1" dxf="1">
    <nc r="D592" t="inlineStr">
      <is>
        <t>25-002</t>
      </is>
    </nc>
    <odxf/>
    <ndxf/>
  </rcc>
  <rcc rId="7303" sId="1" odxf="1" dxf="1">
    <nc r="E592" t="inlineStr">
      <is>
        <t>W1028613/1</t>
      </is>
    </nc>
    <odxf/>
    <ndxf/>
  </rcc>
  <rcc rId="7304" sId="1" odxf="1" dxf="1">
    <nc r="F592" t="inlineStr">
      <is>
        <t>VER1/0270-1078</t>
      </is>
    </nc>
    <odxf/>
    <ndxf/>
  </rcc>
  <rcc rId="7305" sId="1" odxf="1" dxf="1">
    <nc r="G592" t="inlineStr">
      <is>
        <t>Non Sterile LoPro S3</t>
      </is>
    </nc>
    <odxf/>
    <ndxf/>
  </rcc>
  <rcc rId="7306" sId="1" odxf="1" dxf="1">
    <nc r="H592">
      <v>75.02</v>
    </nc>
    <odxf/>
    <ndxf/>
  </rcc>
  <rcc rId="7307" sId="1" odxf="1" dxf="1">
    <nc r="I592">
      <v>13.64</v>
    </nc>
    <odxf/>
    <ndxf/>
  </rcc>
  <rcc rId="7308" sId="1" odxf="1" dxf="1">
    <nc r="J592">
      <v>300</v>
    </nc>
    <odxf/>
    <ndxf/>
  </rcc>
  <rcc rId="7309" sId="1" odxf="1" dxf="1">
    <nc r="K592">
      <v>0</v>
    </nc>
    <odxf/>
    <ndxf/>
  </rcc>
  <rcc rId="7310" sId="1" odxf="1" dxf="1" numFmtId="19">
    <nc r="L592">
      <v>46230.875</v>
    </nc>
    <odxf/>
    <ndxf/>
  </rcc>
  <rcc rId="7311" sId="1" odxf="1" dxf="1" numFmtId="19">
    <nc r="M592">
      <v>46231.458333333336</v>
    </nc>
    <odxf/>
    <ndxf/>
  </rcc>
  <rfmt sheetId="1" sqref="N592" start="0" length="0">
    <dxf/>
  </rfmt>
  <rfmt sheetId="1" sqref="O592" start="0" length="0">
    <dxf/>
  </rfmt>
  <rfmt sheetId="1" sqref="P592" start="0" length="0">
    <dxf/>
  </rfmt>
  <rfmt sheetId="1" sqref="Q592" start="0" length="0">
    <dxf/>
  </rfmt>
  <rfmt sheetId="1" sqref="R592" start="0" length="0">
    <dxf/>
  </rfmt>
  <rfmt sheetId="1" sqref="S592" start="0" length="0">
    <dxf/>
  </rfmt>
  <rfmt sheetId="1" sqref="T592" start="0" length="0">
    <dxf/>
  </rfmt>
  <rfmt sheetId="1" sqref="U592" start="0" length="0">
    <dxf/>
  </rfmt>
  <rfmt sheetId="1" sqref="V592" start="0" length="0">
    <dxf/>
  </rfmt>
  <rfmt sheetId="1" sqref="W592" start="0" length="0">
    <dxf/>
  </rfmt>
  <rfmt sheetId="1" sqref="X592" start="0" length="0">
    <dxf/>
  </rfmt>
  <rfmt sheetId="1" sqref="Y592" start="0" length="0">
    <dxf/>
  </rfmt>
  <rfmt sheetId="1" sqref="Z592" start="0" length="0">
    <dxf/>
  </rfmt>
  <rcc rId="7312" sId="1" odxf="1" dxf="1">
    <nc r="AA592" t="inlineStr">
      <is>
        <t>1</t>
      </is>
    </nc>
    <odxf/>
    <ndxf/>
  </rcc>
  <rcc rId="7313" sId="1" odxf="1" dxf="1">
    <nc r="AB592" t="inlineStr">
      <is>
        <t>0</t>
      </is>
    </nc>
    <odxf/>
    <ndxf/>
  </rcc>
  <rfmt sheetId="1" sqref="A592:XFD592" start="0" length="0">
    <dxf/>
  </rfmt>
  <rfmt sheetId="1" sqref="A593" start="0" length="0">
    <dxf>
      <fill>
        <patternFill patternType="solid">
          <bgColor theme="0" tint="-4.9989318521683403E-2"/>
        </patternFill>
      </fill>
    </dxf>
  </rfmt>
  <rfmt sheetId="1" sqref="B593" start="0" length="0">
    <dxf>
      <fill>
        <patternFill patternType="solid">
          <bgColor theme="0" tint="-4.9989318521683403E-2"/>
        </patternFill>
      </fill>
    </dxf>
  </rfmt>
  <rfmt sheetId="1" sqref="C593" start="0" length="0">
    <dxf>
      <fill>
        <patternFill patternType="solid">
          <bgColor theme="0" tint="-4.9989318521683403E-2"/>
        </patternFill>
      </fill>
    </dxf>
  </rfmt>
  <rfmt sheetId="1" sqref="D593" start="0" length="0">
    <dxf>
      <fill>
        <patternFill patternType="solid">
          <bgColor theme="0" tint="-4.9989318521683403E-2"/>
        </patternFill>
      </fill>
    </dxf>
  </rfmt>
  <rfmt sheetId="1" sqref="E593" start="0" length="0">
    <dxf>
      <fill>
        <patternFill patternType="solid">
          <bgColor theme="0" tint="-4.9989318521683403E-2"/>
        </patternFill>
      </fill>
    </dxf>
  </rfmt>
  <rfmt sheetId="1" sqref="F593" start="0" length="0">
    <dxf>
      <fill>
        <patternFill patternType="solid">
          <bgColor theme="0" tint="-4.9989318521683403E-2"/>
        </patternFill>
      </fill>
    </dxf>
  </rfmt>
  <rfmt sheetId="1" sqref="G593" start="0" length="0">
    <dxf>
      <fill>
        <patternFill patternType="solid">
          <bgColor theme="0" tint="-4.9989318521683403E-2"/>
        </patternFill>
      </fill>
    </dxf>
  </rfmt>
  <rfmt sheetId="1" sqref="H593" start="0" length="0">
    <dxf>
      <fill>
        <patternFill patternType="solid">
          <bgColor theme="0" tint="-4.9989318521683403E-2"/>
        </patternFill>
      </fill>
    </dxf>
  </rfmt>
  <rfmt sheetId="1" sqref="I593" start="0" length="0">
    <dxf>
      <fill>
        <patternFill patternType="solid">
          <bgColor theme="0" tint="-4.9989318521683403E-2"/>
        </patternFill>
      </fill>
    </dxf>
  </rfmt>
  <rfmt sheetId="1" sqref="J593" start="0" length="0">
    <dxf>
      <fill>
        <patternFill patternType="solid">
          <bgColor theme="0" tint="-4.9989318521683403E-2"/>
        </patternFill>
      </fill>
    </dxf>
  </rfmt>
  <rfmt sheetId="1" sqref="K593" start="0" length="0">
    <dxf>
      <fill>
        <patternFill patternType="solid">
          <bgColor theme="0" tint="-4.9989318521683403E-2"/>
        </patternFill>
      </fill>
    </dxf>
  </rfmt>
  <rfmt sheetId="1" sqref="L593" start="0" length="0">
    <dxf>
      <fill>
        <patternFill patternType="solid">
          <bgColor theme="0" tint="-4.9989318521683403E-2"/>
        </patternFill>
      </fill>
    </dxf>
  </rfmt>
  <rfmt sheetId="1" sqref="M593" start="0" length="0">
    <dxf>
      <fill>
        <patternFill patternType="solid">
          <bgColor theme="0" tint="-4.9989318521683403E-2"/>
        </patternFill>
      </fill>
    </dxf>
  </rfmt>
  <rfmt sheetId="1" sqref="N593" start="0" length="0">
    <dxf>
      <fill>
        <patternFill patternType="solid">
          <bgColor theme="0" tint="-4.9989318521683403E-2"/>
        </patternFill>
      </fill>
    </dxf>
  </rfmt>
  <rfmt sheetId="1" sqref="O593" start="0" length="0">
    <dxf>
      <fill>
        <patternFill patternType="solid">
          <bgColor theme="0" tint="-4.9989318521683403E-2"/>
        </patternFill>
      </fill>
    </dxf>
  </rfmt>
  <rfmt sheetId="1" sqref="P593" start="0" length="0">
    <dxf>
      <fill>
        <patternFill patternType="solid">
          <bgColor theme="0" tint="-4.9989318521683403E-2"/>
        </patternFill>
      </fill>
    </dxf>
  </rfmt>
  <rfmt sheetId="1" sqref="Q593" start="0" length="0">
    <dxf>
      <fill>
        <patternFill patternType="solid">
          <bgColor theme="0" tint="-4.9989318521683403E-2"/>
        </patternFill>
      </fill>
    </dxf>
  </rfmt>
  <rfmt sheetId="1" sqref="R593" start="0" length="0">
    <dxf>
      <fill>
        <patternFill patternType="solid">
          <bgColor theme="0" tint="-4.9989318521683403E-2"/>
        </patternFill>
      </fill>
    </dxf>
  </rfmt>
  <rfmt sheetId="1" sqref="S593" start="0" length="0">
    <dxf>
      <fill>
        <patternFill patternType="solid">
          <bgColor theme="0" tint="-4.9989318521683403E-2"/>
        </patternFill>
      </fill>
    </dxf>
  </rfmt>
  <rfmt sheetId="1" sqref="T593" start="0" length="0">
    <dxf>
      <fill>
        <patternFill patternType="solid">
          <bgColor theme="0" tint="-4.9989318521683403E-2"/>
        </patternFill>
      </fill>
    </dxf>
  </rfmt>
  <rfmt sheetId="1" sqref="U593" start="0" length="0">
    <dxf>
      <fill>
        <patternFill patternType="solid">
          <bgColor theme="0" tint="-4.9989318521683403E-2"/>
        </patternFill>
      </fill>
    </dxf>
  </rfmt>
  <rfmt sheetId="1" sqref="V593" start="0" length="0">
    <dxf>
      <fill>
        <patternFill patternType="solid">
          <bgColor theme="0" tint="-4.9989318521683403E-2"/>
        </patternFill>
      </fill>
    </dxf>
  </rfmt>
  <rfmt sheetId="1" sqref="W593" start="0" length="0">
    <dxf>
      <fill>
        <patternFill patternType="solid">
          <bgColor theme="0" tint="-4.9989318521683403E-2"/>
        </patternFill>
      </fill>
    </dxf>
  </rfmt>
  <rfmt sheetId="1" sqref="X593" start="0" length="0">
    <dxf>
      <fill>
        <patternFill patternType="solid">
          <bgColor theme="0" tint="-4.9989318521683403E-2"/>
        </patternFill>
      </fill>
    </dxf>
  </rfmt>
  <rfmt sheetId="1" sqref="Y593" start="0" length="0">
    <dxf>
      <fill>
        <patternFill patternType="solid">
          <bgColor theme="0" tint="-4.9989318521683403E-2"/>
        </patternFill>
      </fill>
    </dxf>
  </rfmt>
  <rfmt sheetId="1" sqref="Z593" start="0" length="0">
    <dxf>
      <fill>
        <patternFill patternType="solid">
          <bgColor theme="0" tint="-4.9989318521683403E-2"/>
        </patternFill>
      </fill>
    </dxf>
  </rfmt>
  <rfmt sheetId="1" sqref="AA593" start="0" length="0">
    <dxf>
      <fill>
        <patternFill patternType="solid">
          <bgColor theme="0" tint="-4.9989318521683403E-2"/>
        </patternFill>
      </fill>
    </dxf>
  </rfmt>
  <rfmt sheetId="1" sqref="AB593" start="0" length="0">
    <dxf>
      <fill>
        <patternFill patternType="solid">
          <bgColor theme="0" tint="-4.9989318521683403E-2"/>
        </patternFill>
      </fill>
    </dxf>
  </rfmt>
  <rfmt sheetId="1" sqref="A593:XFD593" start="0" length="0">
    <dxf>
      <fill>
        <patternFill patternType="solid">
          <bgColor theme="0" tint="-4.9989318521683403E-2"/>
        </patternFill>
      </fill>
    </dxf>
  </rfmt>
  <rcc rId="7314" sId="1" odxf="1" dxf="1">
    <nc r="A594" t="inlineStr">
      <is>
        <t>Zone 3</t>
      </is>
    </nc>
    <odxf/>
    <ndxf/>
  </rcc>
  <rcc rId="7315" sId="1" odxf="1" dxf="1">
    <nc r="B594" t="inlineStr">
      <is>
        <t>LoPro S3 HDMI</t>
      </is>
    </nc>
    <odxf/>
    <ndxf/>
  </rcc>
  <rcc rId="7316" sId="1" odxf="1" dxf="1">
    <nc r="C594">
      <v>5.5</v>
    </nc>
    <odxf/>
    <ndxf/>
  </rcc>
  <rcc rId="7317" sId="1" odxf="1" dxf="1">
    <nc r="D594" t="inlineStr">
      <is>
        <t>25-002</t>
      </is>
    </nc>
    <odxf/>
    <ndxf/>
  </rcc>
  <rcc rId="7318" sId="1" odxf="1" dxf="1">
    <nc r="E594" t="inlineStr">
      <is>
        <t>W1028609/1</t>
      </is>
    </nc>
    <odxf/>
    <ndxf/>
  </rcc>
  <rcc rId="7319" sId="1" odxf="1" dxf="1">
    <nc r="F594" t="inlineStr">
      <is>
        <t>VER1/0270-0938</t>
      </is>
    </nc>
    <odxf/>
    <ndxf/>
  </rcc>
  <rcc rId="7320" sId="1" odxf="1" dxf="1">
    <nc r="G594" t="inlineStr">
      <is>
        <t>LoPro S3 Short Well</t>
      </is>
    </nc>
    <odxf/>
    <ndxf/>
  </rcc>
  <rcc rId="7321" sId="1" odxf="1" dxf="1">
    <nc r="H594">
      <v>112.47499999999999</v>
    </nc>
    <odxf/>
    <ndxf/>
  </rcc>
  <rcc rId="7322" sId="1" odxf="1" dxf="1">
    <nc r="I594">
      <v>20.45</v>
    </nc>
    <odxf/>
    <ndxf/>
  </rcc>
  <rcc rId="7323" sId="1" odxf="1" dxf="1">
    <nc r="J594">
      <v>450</v>
    </nc>
    <odxf/>
    <ndxf/>
  </rcc>
  <rcc rId="7324" sId="1" odxf="1" dxf="1">
    <nc r="K594">
      <v>0</v>
    </nc>
    <odxf/>
    <ndxf/>
  </rcc>
  <rcc rId="7325" sId="1" odxf="1" dxf="1" numFmtId="19">
    <nc r="L594">
      <v>46237.958333333336</v>
    </nc>
    <odxf/>
    <ndxf/>
  </rcc>
  <rcc rId="7326" sId="1" odxf="1" dxf="1" numFmtId="19">
    <nc r="M594">
      <v>46238.826388888891</v>
    </nc>
    <odxf/>
    <ndxf/>
  </rcc>
  <rfmt sheetId="1" sqref="N594" start="0" length="0">
    <dxf/>
  </rfmt>
  <rfmt sheetId="1" sqref="O594" start="0" length="0">
    <dxf/>
  </rfmt>
  <rfmt sheetId="1" sqref="P594" start="0" length="0">
    <dxf/>
  </rfmt>
  <rfmt sheetId="1" sqref="Q594" start="0" length="0">
    <dxf/>
  </rfmt>
  <rfmt sheetId="1" sqref="R594" start="0" length="0">
    <dxf/>
  </rfmt>
  <rfmt sheetId="1" sqref="S594" start="0" length="0">
    <dxf/>
  </rfmt>
  <rfmt sheetId="1" sqref="T594" start="0" length="0">
    <dxf/>
  </rfmt>
  <rfmt sheetId="1" sqref="U594" start="0" length="0">
    <dxf/>
  </rfmt>
  <rfmt sheetId="1" sqref="V594" start="0" length="0">
    <dxf/>
  </rfmt>
  <rfmt sheetId="1" sqref="W594" start="0" length="0">
    <dxf/>
  </rfmt>
  <rfmt sheetId="1" sqref="X594" start="0" length="0">
    <dxf/>
  </rfmt>
  <rfmt sheetId="1" sqref="Y594" start="0" length="0">
    <dxf/>
  </rfmt>
  <rfmt sheetId="1" sqref="Z594" start="0" length="0">
    <dxf/>
  </rfmt>
  <rcc rId="7327" sId="1" odxf="1" dxf="1">
    <nc r="AA594" t="inlineStr">
      <is>
        <t>1</t>
      </is>
    </nc>
    <odxf/>
    <ndxf/>
  </rcc>
  <rcc rId="7328" sId="1" odxf="1" dxf="1">
    <nc r="AB594" t="inlineStr">
      <is>
        <t>0</t>
      </is>
    </nc>
    <odxf/>
    <ndxf/>
  </rcc>
  <rfmt sheetId="1" sqref="A594:XFD594" start="0" length="0">
    <dxf/>
  </rfmt>
  <rcc rId="7329" sId="1" odxf="1" dxf="1">
    <nc r="A595" t="inlineStr">
      <is>
        <t>Zone 3</t>
      </is>
    </nc>
    <odxf/>
    <ndxf/>
  </rcc>
  <rcc rId="7330" sId="1" odxf="1" dxf="1">
    <nc r="B595" t="inlineStr">
      <is>
        <t>LoPro S3 HDMI</t>
      </is>
    </nc>
    <odxf/>
    <ndxf/>
  </rcc>
  <rcc rId="7331" sId="1" odxf="1" dxf="1">
    <nc r="C595">
      <v>5.5</v>
    </nc>
    <odxf/>
    <ndxf/>
  </rcc>
  <rcc rId="7332" sId="1" odxf="1" dxf="1">
    <nc r="D595" t="inlineStr">
      <is>
        <t>25-002</t>
      </is>
    </nc>
    <odxf/>
    <ndxf/>
  </rcc>
  <rcc rId="7333" sId="1" odxf="1" dxf="1">
    <nc r="E595" t="inlineStr">
      <is>
        <t>W1028608/1</t>
      </is>
    </nc>
    <odxf/>
    <ndxf/>
  </rcc>
  <rcc rId="7334" sId="1" odxf="1" dxf="1">
    <nc r="F595" t="inlineStr">
      <is>
        <t>VER1/0270-0938</t>
      </is>
    </nc>
    <odxf/>
    <ndxf/>
  </rcc>
  <rcc rId="7335" sId="1" odxf="1" dxf="1">
    <nc r="G595" t="inlineStr">
      <is>
        <t>LoPro S3 Short Well</t>
      </is>
    </nc>
    <odxf/>
    <ndxf/>
  </rcc>
  <rcc rId="7336" sId="1" odxf="1" dxf="1">
    <nc r="H595">
      <v>149.98500000000001</v>
    </nc>
    <odxf/>
    <ndxf/>
  </rcc>
  <rcc rId="7337" sId="1" odxf="1" dxf="1">
    <nc r="I595">
      <v>27.27</v>
    </nc>
    <odxf/>
    <ndxf/>
  </rcc>
  <rcc rId="7338" sId="1" odxf="1" dxf="1">
    <nc r="J595">
      <v>600</v>
    </nc>
    <odxf/>
    <ndxf/>
  </rcc>
  <rcc rId="7339" sId="1" odxf="1" dxf="1">
    <nc r="K595">
      <v>0</v>
    </nc>
    <odxf/>
    <ndxf/>
  </rcc>
  <rcc rId="7340" sId="1" odxf="1" dxf="1" numFmtId="19">
    <nc r="L595">
      <v>46237.958333333336</v>
    </nc>
    <odxf/>
    <ndxf/>
  </rcc>
  <rcc rId="7341" sId="1" odxf="1" dxf="1" numFmtId="19">
    <nc r="M595">
      <v>46239.111111111109</v>
    </nc>
    <odxf/>
    <ndxf/>
  </rcc>
  <rfmt sheetId="1" sqref="N595" start="0" length="0">
    <dxf/>
  </rfmt>
  <rfmt sheetId="1" sqref="O595" start="0" length="0">
    <dxf/>
  </rfmt>
  <rfmt sheetId="1" sqref="P595" start="0" length="0">
    <dxf/>
  </rfmt>
  <rfmt sheetId="1" sqref="Q595" start="0" length="0">
    <dxf/>
  </rfmt>
  <rfmt sheetId="1" sqref="R595" start="0" length="0">
    <dxf/>
  </rfmt>
  <rfmt sheetId="1" sqref="S595" start="0" length="0">
    <dxf/>
  </rfmt>
  <rfmt sheetId="1" sqref="T595" start="0" length="0">
    <dxf/>
  </rfmt>
  <rfmt sheetId="1" sqref="U595" start="0" length="0">
    <dxf/>
  </rfmt>
  <rfmt sheetId="1" sqref="V595" start="0" length="0">
    <dxf/>
  </rfmt>
  <rfmt sheetId="1" sqref="W595" start="0" length="0">
    <dxf/>
  </rfmt>
  <rfmt sheetId="1" sqref="X595" start="0" length="0">
    <dxf/>
  </rfmt>
  <rfmt sheetId="1" sqref="Y595" start="0" length="0">
    <dxf/>
  </rfmt>
  <rfmt sheetId="1" sqref="Z595" start="0" length="0">
    <dxf/>
  </rfmt>
  <rcc rId="7342" sId="1" odxf="1" dxf="1">
    <nc r="AA595" t="inlineStr">
      <is>
        <t>1</t>
      </is>
    </nc>
    <odxf/>
    <ndxf/>
  </rcc>
  <rcc rId="7343" sId="1" odxf="1" dxf="1">
    <nc r="AB595" t="inlineStr">
      <is>
        <t>0</t>
      </is>
    </nc>
    <odxf/>
    <ndxf/>
  </rcc>
  <rfmt sheetId="1" sqref="A595:XFD595" start="0" length="0">
    <dxf/>
  </rfmt>
  <rcc rId="7344" sId="1" odxf="1" dxf="1">
    <nc r="A596" t="inlineStr">
      <is>
        <t>Zone 3</t>
      </is>
    </nc>
    <odxf/>
    <ndxf/>
  </rcc>
  <rcc rId="7345" sId="1" odxf="1" dxf="1">
    <nc r="B596" t="inlineStr">
      <is>
        <t>LoPro S3 HDMI</t>
      </is>
    </nc>
    <odxf/>
    <ndxf/>
  </rcc>
  <rcc rId="7346" sId="1" odxf="1" dxf="1">
    <nc r="C596">
      <v>5.5</v>
    </nc>
    <odxf/>
    <ndxf/>
  </rcc>
  <rcc rId="7347" sId="1" odxf="1" dxf="1">
    <nc r="D596" t="inlineStr">
      <is>
        <t>25-002</t>
      </is>
    </nc>
    <odxf/>
    <ndxf/>
  </rcc>
  <rcc rId="7348" sId="1" odxf="1" dxf="1">
    <nc r="E596" t="inlineStr">
      <is>
        <t>W1028614/1</t>
      </is>
    </nc>
    <odxf/>
    <ndxf/>
  </rcc>
  <rcc rId="7349" sId="1" odxf="1" dxf="1">
    <nc r="F596" t="inlineStr">
      <is>
        <t>VER1/0270-1078</t>
      </is>
    </nc>
    <odxf/>
    <ndxf/>
  </rcc>
  <rcc rId="7350" sId="1" odxf="1" dxf="1">
    <nc r="G596" t="inlineStr">
      <is>
        <t>Non Sterile LoPro S3</t>
      </is>
    </nc>
    <odxf/>
    <ndxf/>
  </rcc>
  <rcc rId="7351" sId="1" odxf="1" dxf="1">
    <nc r="H596">
      <v>75.02</v>
    </nc>
    <odxf/>
    <ndxf/>
  </rcc>
  <rcc rId="7352" sId="1" odxf="1" dxf="1">
    <nc r="I596">
      <v>13.64</v>
    </nc>
    <odxf/>
    <ndxf/>
  </rcc>
  <rcc rId="7353" sId="1" odxf="1" dxf="1">
    <nc r="J596">
      <v>300</v>
    </nc>
    <odxf/>
    <ndxf/>
  </rcc>
  <rcc rId="7354" sId="1" odxf="1" dxf="1">
    <nc r="K596">
      <v>0</v>
    </nc>
    <odxf/>
    <ndxf/>
  </rcc>
  <rcc rId="7355" sId="1" odxf="1" dxf="1" numFmtId="19">
    <nc r="L596">
      <v>46238.833333333336</v>
    </nc>
    <odxf/>
    <ndxf/>
  </rcc>
  <rcc rId="7356" sId="1" odxf="1" dxf="1" numFmtId="19">
    <nc r="M596">
      <v>46239.416666666664</v>
    </nc>
    <odxf/>
    <ndxf/>
  </rcc>
  <rfmt sheetId="1" sqref="N596" start="0" length="0">
    <dxf/>
  </rfmt>
  <rfmt sheetId="1" sqref="O596" start="0" length="0">
    <dxf/>
  </rfmt>
  <rfmt sheetId="1" sqref="P596" start="0" length="0">
    <dxf/>
  </rfmt>
  <rfmt sheetId="1" sqref="Q596" start="0" length="0">
    <dxf/>
  </rfmt>
  <rfmt sheetId="1" sqref="R596" start="0" length="0">
    <dxf/>
  </rfmt>
  <rfmt sheetId="1" sqref="S596" start="0" length="0">
    <dxf/>
  </rfmt>
  <rfmt sheetId="1" sqref="T596" start="0" length="0">
    <dxf/>
  </rfmt>
  <rfmt sheetId="1" sqref="U596" start="0" length="0">
    <dxf/>
  </rfmt>
  <rfmt sheetId="1" sqref="V596" start="0" length="0">
    <dxf/>
  </rfmt>
  <rfmt sheetId="1" sqref="W596" start="0" length="0">
    <dxf/>
  </rfmt>
  <rfmt sheetId="1" sqref="X596" start="0" length="0">
    <dxf/>
  </rfmt>
  <rfmt sheetId="1" sqref="Y596" start="0" length="0">
    <dxf/>
  </rfmt>
  <rfmt sheetId="1" sqref="Z596" start="0" length="0">
    <dxf/>
  </rfmt>
  <rcc rId="7357" sId="1" odxf="1" dxf="1">
    <nc r="AA596" t="inlineStr">
      <is>
        <t>1</t>
      </is>
    </nc>
    <odxf/>
    <ndxf/>
  </rcc>
  <rcc rId="7358" sId="1" odxf="1" dxf="1">
    <nc r="AB596" t="inlineStr">
      <is>
        <t>0</t>
      </is>
    </nc>
    <odxf/>
    <ndxf/>
  </rcc>
  <rfmt sheetId="1" sqref="A596:XFD596" start="0" length="0">
    <dxf/>
  </rfmt>
  <rfmt sheetId="1" sqref="A597" start="0" length="0">
    <dxf/>
  </rfmt>
  <rfmt sheetId="1" sqref="B597" start="0" length="0">
    <dxf/>
  </rfmt>
  <rfmt sheetId="1" sqref="C597" start="0" length="0">
    <dxf/>
  </rfmt>
  <rfmt sheetId="1" sqref="D597" start="0" length="0">
    <dxf/>
  </rfmt>
  <rfmt sheetId="1" sqref="E597" start="0" length="0">
    <dxf/>
  </rfmt>
  <rfmt sheetId="1" sqref="F597" start="0" length="0">
    <dxf/>
  </rfmt>
  <rfmt sheetId="1" sqref="G597" start="0" length="0">
    <dxf/>
  </rfmt>
  <rfmt sheetId="1" sqref="H597" start="0" length="0">
    <dxf/>
  </rfmt>
  <rfmt sheetId="1" sqref="I597" start="0" length="0">
    <dxf/>
  </rfmt>
  <rfmt sheetId="1" sqref="J597" start="0" length="0">
    <dxf/>
  </rfmt>
  <rfmt sheetId="1" sqref="K597" start="0" length="0">
    <dxf/>
  </rfmt>
  <rfmt sheetId="1" sqref="L597" start="0" length="0">
    <dxf/>
  </rfmt>
  <rfmt sheetId="1" sqref="M597" start="0" length="0">
    <dxf/>
  </rfmt>
  <rfmt sheetId="1" sqref="N597" start="0" length="0">
    <dxf/>
  </rfmt>
  <rfmt sheetId="1" sqref="O597" start="0" length="0">
    <dxf/>
  </rfmt>
  <rfmt sheetId="1" sqref="P597" start="0" length="0">
    <dxf/>
  </rfmt>
  <rfmt sheetId="1" sqref="Q597" start="0" length="0">
    <dxf/>
  </rfmt>
  <rfmt sheetId="1" sqref="R597" start="0" length="0">
    <dxf/>
  </rfmt>
  <rfmt sheetId="1" sqref="S597" start="0" length="0">
    <dxf/>
  </rfmt>
  <rfmt sheetId="1" sqref="T597" start="0" length="0">
    <dxf/>
  </rfmt>
  <rfmt sheetId="1" sqref="U597" start="0" length="0">
    <dxf/>
  </rfmt>
  <rfmt sheetId="1" sqref="V597" start="0" length="0">
    <dxf/>
  </rfmt>
  <rfmt sheetId="1" sqref="W597" start="0" length="0">
    <dxf/>
  </rfmt>
  <rfmt sheetId="1" sqref="X597" start="0" length="0">
    <dxf/>
  </rfmt>
  <rfmt sheetId="1" sqref="Y597" start="0" length="0">
    <dxf/>
  </rfmt>
  <rfmt sheetId="1" sqref="Z597" start="0" length="0">
    <dxf/>
  </rfmt>
  <rfmt sheetId="1" sqref="AA597" start="0" length="0">
    <dxf/>
  </rfmt>
  <rfmt sheetId="1" sqref="AB597" start="0" length="0">
    <dxf/>
  </rfmt>
  <rfmt sheetId="1" sqref="A597:XFD597" start="0" length="0">
    <dxf/>
  </rfmt>
  <rcc rId="7359" sId="1" odxf="1" dxf="1">
    <nc r="A598" t="inlineStr">
      <is>
        <t>Zone 3</t>
      </is>
    </nc>
    <odxf/>
    <ndxf/>
  </rcc>
  <rcc rId="7360" sId="1" odxf="1" dxf="1">
    <nc r="B598" t="inlineStr">
      <is>
        <t>LoPro S3 HDMI</t>
      </is>
    </nc>
    <odxf/>
    <ndxf/>
  </rcc>
  <rcc rId="7361" sId="1" odxf="1" dxf="1">
    <nc r="C598">
      <v>5.5</v>
    </nc>
    <odxf/>
    <ndxf/>
  </rcc>
  <rcc rId="7362" sId="1" odxf="1" dxf="1">
    <nc r="D598" t="inlineStr">
      <is>
        <t>25-002</t>
      </is>
    </nc>
    <odxf/>
    <ndxf/>
  </rcc>
  <rcc rId="7363" sId="1" odxf="1" dxf="1">
    <nc r="E598" t="inlineStr">
      <is>
        <t>W1028607/1</t>
      </is>
    </nc>
    <odxf/>
    <ndxf/>
  </rcc>
  <rcc rId="7364" sId="1" odxf="1" dxf="1">
    <nc r="F598" t="inlineStr">
      <is>
        <t>VER1/0270-0938</t>
      </is>
    </nc>
    <odxf/>
    <ndxf/>
  </rcc>
  <rcc rId="7365" sId="1" odxf="1" dxf="1">
    <nc r="G598" t="inlineStr">
      <is>
        <t>LoPro S3 Short Well</t>
      </is>
    </nc>
    <odxf/>
    <ndxf/>
  </rcc>
  <rcc rId="7366" sId="1" odxf="1" dxf="1">
    <nc r="H598">
      <v>75.02</v>
    </nc>
    <odxf/>
    <ndxf/>
  </rcc>
  <rcc rId="7367" sId="1" odxf="1" dxf="1">
    <nc r="I598">
      <v>13.64</v>
    </nc>
    <odxf/>
    <ndxf/>
  </rcc>
  <rcc rId="7368" sId="1" odxf="1" dxf="1">
    <nc r="J598">
      <v>300</v>
    </nc>
    <odxf/>
    <ndxf/>
  </rcc>
  <rcc rId="7369" sId="1" odxf="1" dxf="1">
    <nc r="K598">
      <v>0</v>
    </nc>
    <odxf/>
    <ndxf/>
  </rcc>
  <rcc rId="7370" sId="1" odxf="1" dxf="1" numFmtId="19">
    <nc r="L598">
      <v>46244</v>
    </nc>
    <odxf/>
    <ndxf/>
  </rcc>
  <rcc rId="7371" sId="1" odxf="1" dxf="1" numFmtId="19">
    <nc r="M598">
      <v>46244.583333333336</v>
    </nc>
    <odxf/>
    <ndxf/>
  </rcc>
  <rfmt sheetId="1" sqref="N598" start="0" length="0">
    <dxf/>
  </rfmt>
  <rfmt sheetId="1" sqref="O598" start="0" length="0">
    <dxf/>
  </rfmt>
  <rfmt sheetId="1" sqref="P598" start="0" length="0">
    <dxf/>
  </rfmt>
  <rfmt sheetId="1" sqref="Q598" start="0" length="0">
    <dxf/>
  </rfmt>
  <rfmt sheetId="1" sqref="R598" start="0" length="0">
    <dxf/>
  </rfmt>
  <rfmt sheetId="1" sqref="S598" start="0" length="0">
    <dxf/>
  </rfmt>
  <rfmt sheetId="1" sqref="T598" start="0" length="0">
    <dxf/>
  </rfmt>
  <rfmt sheetId="1" sqref="U598" start="0" length="0">
    <dxf/>
  </rfmt>
  <rfmt sheetId="1" sqref="V598" start="0" length="0">
    <dxf/>
  </rfmt>
  <rfmt sheetId="1" sqref="W598" start="0" length="0">
    <dxf/>
  </rfmt>
  <rfmt sheetId="1" sqref="X598" start="0" length="0">
    <dxf/>
  </rfmt>
  <rfmt sheetId="1" sqref="Y598" start="0" length="0">
    <dxf/>
  </rfmt>
  <rfmt sheetId="1" sqref="Z598" start="0" length="0">
    <dxf/>
  </rfmt>
  <rcc rId="7372" sId="1" odxf="1" dxf="1">
    <nc r="AA598" t="inlineStr">
      <is>
        <t>1</t>
      </is>
    </nc>
    <odxf/>
    <ndxf/>
  </rcc>
  <rcc rId="7373" sId="1" odxf="1" dxf="1">
    <nc r="AB598" t="inlineStr">
      <is>
        <t>0</t>
      </is>
    </nc>
    <odxf/>
    <ndxf/>
  </rcc>
  <rfmt sheetId="1" sqref="A598:XFD598" start="0" length="0">
    <dxf/>
  </rfmt>
  <rcc rId="7374" sId="1" odxf="1" dxf="1">
    <nc r="A599" t="inlineStr">
      <is>
        <t>Zone 3</t>
      </is>
    </nc>
    <odxf/>
    <ndxf/>
  </rcc>
  <rcc rId="7375" sId="1" odxf="1" dxf="1">
    <nc r="B599" t="inlineStr">
      <is>
        <t>LoPro S3 HDMI</t>
      </is>
    </nc>
    <odxf/>
    <ndxf/>
  </rcc>
  <rcc rId="7376" sId="1" odxf="1" dxf="1">
    <nc r="C599">
      <v>5.5</v>
    </nc>
    <odxf/>
    <ndxf/>
  </rcc>
  <rcc rId="7377" sId="1" odxf="1" dxf="1">
    <nc r="D599" t="inlineStr">
      <is>
        <t>25-002</t>
      </is>
    </nc>
    <odxf/>
    <ndxf/>
  </rcc>
  <rcc rId="7378" sId="1" odxf="1" dxf="1">
    <nc r="E599" t="inlineStr">
      <is>
        <t>W1028610/1</t>
      </is>
    </nc>
    <odxf/>
    <ndxf/>
  </rcc>
  <rcc rId="7379" sId="1" odxf="1" dxf="1">
    <nc r="F599" t="inlineStr">
      <is>
        <t>VER1/0270-0938</t>
      </is>
    </nc>
    <odxf/>
    <ndxf/>
  </rcc>
  <rcc rId="7380" sId="1" odxf="1" dxf="1">
    <nc r="G599" t="inlineStr">
      <is>
        <t>LoPro S3 Short Well</t>
      </is>
    </nc>
    <odxf/>
    <ndxf/>
  </rcc>
  <rcc rId="7381" sId="1" odxf="1" dxf="1">
    <nc r="H599">
      <v>149.98500000000001</v>
    </nc>
    <odxf/>
    <ndxf/>
  </rcc>
  <rcc rId="7382" sId="1" odxf="1" dxf="1">
    <nc r="I599">
      <v>27.27</v>
    </nc>
    <odxf/>
    <ndxf/>
  </rcc>
  <rcc rId="7383" sId="1" odxf="1" dxf="1">
    <nc r="J599">
      <v>600</v>
    </nc>
    <odxf/>
    <ndxf/>
  </rcc>
  <rcc rId="7384" sId="1" odxf="1" dxf="1">
    <nc r="K599">
      <v>0</v>
    </nc>
    <odxf/>
    <ndxf/>
  </rcc>
  <rcc rId="7385" sId="1" odxf="1" dxf="1" numFmtId="19">
    <nc r="L599">
      <v>46244</v>
    </nc>
    <odxf/>
    <ndxf/>
  </rcc>
  <rcc rId="7386" sId="1" odxf="1" dxf="1" numFmtId="19">
    <nc r="M599">
      <v>46245.152777777781</v>
    </nc>
    <odxf/>
    <ndxf/>
  </rcc>
  <rfmt sheetId="1" sqref="N599" start="0" length="0">
    <dxf/>
  </rfmt>
  <rfmt sheetId="1" sqref="O599" start="0" length="0">
    <dxf/>
  </rfmt>
  <rfmt sheetId="1" sqref="P599" start="0" length="0">
    <dxf/>
  </rfmt>
  <rfmt sheetId="1" sqref="Q599" start="0" length="0">
    <dxf/>
  </rfmt>
  <rfmt sheetId="1" sqref="R599" start="0" length="0">
    <dxf/>
  </rfmt>
  <rfmt sheetId="1" sqref="S599" start="0" length="0">
    <dxf/>
  </rfmt>
  <rfmt sheetId="1" sqref="T599" start="0" length="0">
    <dxf/>
  </rfmt>
  <rfmt sheetId="1" sqref="U599" start="0" length="0">
    <dxf/>
  </rfmt>
  <rfmt sheetId="1" sqref="V599" start="0" length="0">
    <dxf/>
  </rfmt>
  <rfmt sheetId="1" sqref="W599" start="0" length="0">
    <dxf/>
  </rfmt>
  <rfmt sheetId="1" sqref="X599" start="0" length="0">
    <dxf/>
  </rfmt>
  <rfmt sheetId="1" sqref="Y599" start="0" length="0">
    <dxf/>
  </rfmt>
  <rfmt sheetId="1" sqref="Z599" start="0" length="0">
    <dxf/>
  </rfmt>
  <rcc rId="7387" sId="1" odxf="1" dxf="1">
    <nc r="AA599" t="inlineStr">
      <is>
        <t>1</t>
      </is>
    </nc>
    <odxf/>
    <ndxf/>
  </rcc>
  <rcc rId="7388" sId="1" odxf="1" dxf="1">
    <nc r="AB599" t="inlineStr">
      <is>
        <t>0</t>
      </is>
    </nc>
    <odxf/>
    <ndxf/>
  </rcc>
  <rfmt sheetId="1" sqref="A599:XFD599" start="0" length="0">
    <dxf/>
  </rfmt>
  <rcc rId="7389" sId="1" odxf="1" dxf="1">
    <nc r="A600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390" sId="1" odxf="1" dxf="1">
    <nc r="B600" t="inlineStr">
      <is>
        <t>LoPro S3 HDMI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391" sId="1" odxf="1" dxf="1">
    <nc r="C600">
      <v>5.5</v>
    </nc>
    <odxf>
      <border outline="0">
        <bottom/>
      </border>
    </odxf>
    <ndxf>
      <border outline="0">
        <bottom style="medium">
          <color indexed="64"/>
        </bottom>
      </border>
    </ndxf>
  </rcc>
  <rcc rId="7392" sId="1" odxf="1" dxf="1">
    <nc r="D600" t="inlineStr">
      <is>
        <t>25-002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393" sId="1" odxf="1" dxf="1">
    <nc r="E600" t="inlineStr">
      <is>
        <t>W1028615/1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394" sId="1" odxf="1" dxf="1">
    <nc r="F600" t="inlineStr">
      <is>
        <t>VER1/0270-1078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395" sId="1" odxf="1" dxf="1">
    <nc r="G600" t="inlineStr">
      <is>
        <t>Non Sterile LoPro S3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396" sId="1" odxf="1" dxf="1">
    <nc r="H600">
      <v>75.02</v>
    </nc>
    <odxf>
      <border outline="0">
        <bottom/>
      </border>
    </odxf>
    <ndxf>
      <border outline="0">
        <bottom style="medium">
          <color indexed="64"/>
        </bottom>
      </border>
    </ndxf>
  </rcc>
  <rcc rId="7397" sId="1" odxf="1" dxf="1">
    <nc r="I600">
      <v>13.64</v>
    </nc>
    <odxf>
      <border outline="0">
        <bottom/>
      </border>
    </odxf>
    <ndxf>
      <border outline="0">
        <bottom style="medium">
          <color indexed="64"/>
        </bottom>
      </border>
    </ndxf>
  </rcc>
  <rcc rId="7398" sId="1" odxf="1" dxf="1">
    <nc r="J600">
      <v>300</v>
    </nc>
    <odxf>
      <border outline="0">
        <bottom/>
      </border>
    </odxf>
    <ndxf>
      <border outline="0">
        <bottom style="medium">
          <color indexed="64"/>
        </bottom>
      </border>
    </ndxf>
  </rcc>
  <rcc rId="7399" sId="1" odxf="1" dxf="1">
    <nc r="K600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7400" sId="1" odxf="1" dxf="1" numFmtId="19">
    <nc r="L600">
      <v>46244.590277777781</v>
    </nc>
    <odxf>
      <border outline="0">
        <bottom/>
      </border>
    </odxf>
    <ndxf>
      <border outline="0">
        <bottom style="medium">
          <color indexed="64"/>
        </bottom>
      </border>
    </ndxf>
  </rcc>
  <rcc rId="7401" sId="1" odxf="1" dxf="1" numFmtId="19">
    <nc r="M600">
      <v>46245.173611111109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600" start="0" length="0">
    <dxf>
      <border outline="0">
        <bottom style="medium">
          <color indexed="64"/>
        </bottom>
      </border>
    </dxf>
  </rfmt>
  <rfmt sheetId="1" sqref="O600" start="0" length="0">
    <dxf>
      <border outline="0">
        <bottom style="medium">
          <color indexed="64"/>
        </bottom>
      </border>
    </dxf>
  </rfmt>
  <rfmt sheetId="1" sqref="P600" start="0" length="0">
    <dxf>
      <border outline="0">
        <bottom style="medium">
          <color indexed="64"/>
        </bottom>
      </border>
    </dxf>
  </rfmt>
  <rfmt sheetId="1" sqref="Q600" start="0" length="0">
    <dxf>
      <border outline="0">
        <bottom style="medium">
          <color indexed="64"/>
        </bottom>
      </border>
    </dxf>
  </rfmt>
  <rfmt sheetId="1" sqref="R600" start="0" length="0">
    <dxf>
      <border outline="0">
        <bottom style="medium">
          <color indexed="64"/>
        </bottom>
      </border>
    </dxf>
  </rfmt>
  <rfmt sheetId="1" sqref="S600" start="0" length="0">
    <dxf>
      <border outline="0">
        <bottom style="medium">
          <color indexed="64"/>
        </bottom>
      </border>
    </dxf>
  </rfmt>
  <rfmt sheetId="1" sqref="T600" start="0" length="0">
    <dxf>
      <border outline="0">
        <bottom style="medium">
          <color indexed="64"/>
        </bottom>
      </border>
    </dxf>
  </rfmt>
  <rfmt sheetId="1" sqref="U600" start="0" length="0">
    <dxf>
      <border outline="0">
        <bottom style="medium">
          <color indexed="64"/>
        </bottom>
      </border>
    </dxf>
  </rfmt>
  <rfmt sheetId="1" sqref="V600" start="0" length="0">
    <dxf>
      <border outline="0">
        <bottom style="medium">
          <color indexed="64"/>
        </bottom>
      </border>
    </dxf>
  </rfmt>
  <rfmt sheetId="1" sqref="W600" start="0" length="0">
    <dxf>
      <border outline="0">
        <bottom style="medium">
          <color indexed="64"/>
        </bottom>
      </border>
    </dxf>
  </rfmt>
  <rfmt sheetId="1" sqref="X600" start="0" length="0">
    <dxf>
      <border outline="0">
        <bottom style="medium">
          <color indexed="64"/>
        </bottom>
      </border>
    </dxf>
  </rfmt>
  <rfmt sheetId="1" sqref="Y600" start="0" length="0">
    <dxf>
      <border outline="0">
        <bottom style="medium">
          <color indexed="64"/>
        </bottom>
      </border>
    </dxf>
  </rfmt>
  <rfmt sheetId="1" sqref="Z600" start="0" length="0">
    <dxf>
      <border outline="0">
        <bottom style="medium">
          <color indexed="64"/>
        </bottom>
      </border>
    </dxf>
  </rfmt>
  <rcc rId="7402" sId="1" odxf="1" dxf="1">
    <nc r="AA600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403" sId="1" odxf="1" dxf="1">
    <nc r="AB600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600:XFD600" start="0" length="0">
    <dxf>
      <border outline="0">
        <bottom style="medium">
          <color indexed="64"/>
        </bottom>
      </border>
    </dxf>
  </rfmt>
  <rcc rId="7404" sId="1" odxf="1" dxf="1">
    <nc r="A601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05" sId="1" odxf="1" dxf="1">
    <nc r="B601" t="inlineStr">
      <is>
        <t>LoPro S4 HDMI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06" sId="1" odxf="1" dxf="1">
    <nc r="C601">
      <v>5.5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07" sId="1" odxf="1" dxf="1">
    <nc r="D601" t="inlineStr">
      <is>
        <t>25-001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08" sId="1" odxf="1" dxf="1">
    <nc r="E601" t="inlineStr">
      <is>
        <t>W1027664/1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09" sId="1" odxf="1" dxf="1">
    <nc r="F601" t="inlineStr">
      <is>
        <t>VER1/0270-0939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10" sId="1" odxf="1" dxf="1">
    <nc r="G601" t="inlineStr">
      <is>
        <t>LoPro S4 Short Well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11" sId="1" odxf="1" dxf="1">
    <nc r="H601">
      <v>149.98500000000001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12" sId="1" odxf="1" dxf="1">
    <nc r="I601">
      <v>27.27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13" sId="1" odxf="1" dxf="1">
    <nc r="J601">
      <v>600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14" sId="1" odxf="1" dxf="1">
    <nc r="K601">
      <v>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15" sId="1" odxf="1" dxf="1" numFmtId="19">
    <nc r="L601">
      <v>46209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16" sId="1" odxf="1" dxf="1" numFmtId="19">
    <nc r="M601">
      <v>46210.152777777781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N601" start="0" length="0">
    <dxf>
      <fill>
        <patternFill patternType="solid">
          <bgColor theme="8" tint="0.39997558519241921"/>
        </patternFill>
      </fill>
    </dxf>
  </rfmt>
  <rfmt sheetId="1" sqref="O601" start="0" length="0">
    <dxf>
      <fill>
        <patternFill patternType="solid">
          <bgColor theme="8" tint="0.39997558519241921"/>
        </patternFill>
      </fill>
    </dxf>
  </rfmt>
  <rfmt sheetId="1" sqref="P601" start="0" length="0">
    <dxf>
      <fill>
        <patternFill patternType="solid">
          <bgColor theme="8" tint="0.39997558519241921"/>
        </patternFill>
      </fill>
    </dxf>
  </rfmt>
  <rfmt sheetId="1" sqref="Q601" start="0" length="0">
    <dxf>
      <fill>
        <patternFill patternType="solid">
          <bgColor theme="8" tint="0.39997558519241921"/>
        </patternFill>
      </fill>
    </dxf>
  </rfmt>
  <rfmt sheetId="1" sqref="R601" start="0" length="0">
    <dxf>
      <fill>
        <patternFill patternType="solid">
          <bgColor theme="8" tint="0.39997558519241921"/>
        </patternFill>
      </fill>
    </dxf>
  </rfmt>
  <rfmt sheetId="1" sqref="S601" start="0" length="0">
    <dxf>
      <fill>
        <patternFill patternType="solid">
          <bgColor theme="8" tint="0.39997558519241921"/>
        </patternFill>
      </fill>
    </dxf>
  </rfmt>
  <rfmt sheetId="1" sqref="T601" start="0" length="0">
    <dxf>
      <fill>
        <patternFill patternType="solid">
          <bgColor theme="8" tint="0.39997558519241921"/>
        </patternFill>
      </fill>
    </dxf>
  </rfmt>
  <rfmt sheetId="1" sqref="U601" start="0" length="0">
    <dxf>
      <fill>
        <patternFill patternType="solid">
          <bgColor theme="8" tint="0.39997558519241921"/>
        </patternFill>
      </fill>
    </dxf>
  </rfmt>
  <rfmt sheetId="1" sqref="V601" start="0" length="0">
    <dxf>
      <fill>
        <patternFill patternType="solid">
          <bgColor theme="8" tint="0.39997558519241921"/>
        </patternFill>
      </fill>
    </dxf>
  </rfmt>
  <rfmt sheetId="1" sqref="W601" start="0" length="0">
    <dxf>
      <fill>
        <patternFill patternType="solid">
          <bgColor theme="8" tint="0.39997558519241921"/>
        </patternFill>
      </fill>
    </dxf>
  </rfmt>
  <rfmt sheetId="1" sqref="X601" start="0" length="0">
    <dxf>
      <fill>
        <patternFill patternType="solid">
          <bgColor theme="8" tint="0.39997558519241921"/>
        </patternFill>
      </fill>
    </dxf>
  </rfmt>
  <rfmt sheetId="1" sqref="Y601" start="0" length="0">
    <dxf>
      <fill>
        <patternFill patternType="solid">
          <bgColor theme="8" tint="0.39997558519241921"/>
        </patternFill>
      </fill>
    </dxf>
  </rfmt>
  <rfmt sheetId="1" sqref="Z601" start="0" length="0">
    <dxf>
      <fill>
        <patternFill patternType="solid">
          <bgColor theme="8" tint="0.39997558519241921"/>
        </patternFill>
      </fill>
    </dxf>
  </rfmt>
  <rcc rId="7417" sId="1" odxf="1" dxf="1">
    <nc r="AA601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418" sId="1" odxf="1" dxf="1">
    <nc r="AB601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A601:XFD601" start="0" length="0">
    <dxf>
      <fill>
        <patternFill patternType="solid">
          <bgColor theme="8" tint="0.39997558519241921"/>
        </patternFill>
      </fill>
    </dxf>
  </rfmt>
  <rcc rId="7419" sId="1" odxf="1" dxf="1">
    <nc r="A602" t="inlineStr">
      <is>
        <t>Zone 3</t>
      </is>
    </nc>
    <odxf/>
    <ndxf/>
  </rcc>
  <rcc rId="7420" sId="1" odxf="1" dxf="1">
    <nc r="B602" t="inlineStr">
      <is>
        <t>LoPro S4 HDMI</t>
      </is>
    </nc>
    <odxf/>
    <ndxf/>
  </rcc>
  <rcc rId="7421" sId="1" odxf="1" dxf="1">
    <nc r="C602">
      <v>4</v>
    </nc>
    <odxf/>
    <ndxf/>
  </rcc>
  <rfmt sheetId="1" sqref="D602" start="0" length="0">
    <dxf/>
  </rfmt>
  <rcc rId="7422" sId="1" odxf="1" dxf="1">
    <nc r="E602" t="inlineStr">
      <is>
        <t>W1023960/1</t>
      </is>
    </nc>
    <odxf/>
    <ndxf/>
  </rcc>
  <rcc rId="7423" sId="1" odxf="1" dxf="1">
    <nc r="F602" t="inlineStr">
      <is>
        <t>VER1/0270-1140</t>
      </is>
    </nc>
    <odxf/>
    <ndxf/>
  </rcc>
  <rcc rId="7424" sId="1" odxf="1" dxf="1">
    <nc r="G602" t="inlineStr">
      <is>
        <t>Spectrum QC Mac S1</t>
      </is>
    </nc>
    <odxf/>
    <ndxf/>
  </rcc>
  <rcc rId="7425" sId="1" odxf="1" dxf="1">
    <nc r="H602">
      <v>150</v>
    </nc>
    <odxf/>
    <ndxf/>
  </rcc>
  <rcc rId="7426" sId="1" odxf="1" dxf="1">
    <nc r="I602">
      <v>37.5</v>
    </nc>
    <odxf/>
    <ndxf/>
  </rcc>
  <rcc rId="7427" sId="1" odxf="1" dxf="1">
    <nc r="J602">
      <v>450</v>
    </nc>
    <odxf/>
    <ndxf/>
  </rcc>
  <rcc rId="7428" sId="1" odxf="1" dxf="1">
    <nc r="K602">
      <v>0</v>
    </nc>
    <odxf/>
    <ndxf/>
  </rcc>
  <rcc rId="7429" sId="1" odxf="1" dxf="1" numFmtId="19">
    <nc r="L602">
      <v>46209</v>
    </nc>
    <odxf/>
    <ndxf/>
  </rcc>
  <rcc rId="7430" sId="1" odxf="1" dxf="1" numFmtId="19">
    <nc r="M602">
      <v>46210.576388888891</v>
    </nc>
    <odxf/>
    <ndxf/>
  </rcc>
  <rfmt sheetId="1" sqref="N602" start="0" length="0">
    <dxf/>
  </rfmt>
  <rcc rId="7431" sId="1" odxf="1" dxf="1">
    <nc r="O602" t="inlineStr">
      <is>
        <t>P</t>
      </is>
    </nc>
    <odxf/>
    <ndxf/>
  </rcc>
  <rfmt sheetId="1" sqref="P602" start="0" length="0">
    <dxf/>
  </rfmt>
  <rfmt sheetId="1" sqref="Q602" start="0" length="0">
    <dxf/>
  </rfmt>
  <rfmt sheetId="1" sqref="R602" start="0" length="0">
    <dxf/>
  </rfmt>
  <rfmt sheetId="1" sqref="S602" start="0" length="0">
    <dxf/>
  </rfmt>
  <rfmt sheetId="1" sqref="T602" start="0" length="0">
    <dxf/>
  </rfmt>
  <rfmt sheetId="1" sqref="U602" start="0" length="0">
    <dxf/>
  </rfmt>
  <rfmt sheetId="1" sqref="V602" start="0" length="0">
    <dxf/>
  </rfmt>
  <rfmt sheetId="1" sqref="W602" start="0" length="0">
    <dxf/>
  </rfmt>
  <rfmt sheetId="1" sqref="X602" start="0" length="0">
    <dxf/>
  </rfmt>
  <rfmt sheetId="1" sqref="Y602" start="0" length="0">
    <dxf/>
  </rfmt>
  <rfmt sheetId="1" sqref="Z602" start="0" length="0">
    <dxf/>
  </rfmt>
  <rcc rId="7432" sId="1" odxf="1" dxf="1">
    <nc r="AA602" t="inlineStr">
      <is>
        <t>1</t>
      </is>
    </nc>
    <odxf/>
    <ndxf/>
  </rcc>
  <rcc rId="7433" sId="1" odxf="1" dxf="1">
    <nc r="AB602" t="inlineStr">
      <is>
        <t>0</t>
      </is>
    </nc>
    <odxf/>
    <ndxf/>
  </rcc>
  <rfmt sheetId="1" sqref="A602:XFD602" start="0" length="0">
    <dxf/>
  </rfmt>
  <rfmt sheetId="1" sqref="A603" start="0" length="0">
    <dxf>
      <fill>
        <patternFill patternType="solid">
          <bgColor theme="0" tint="-4.9989318521683403E-2"/>
        </patternFill>
      </fill>
    </dxf>
  </rfmt>
  <rfmt sheetId="1" sqref="B603" start="0" length="0">
    <dxf>
      <fill>
        <patternFill patternType="solid">
          <bgColor theme="0" tint="-4.9989318521683403E-2"/>
        </patternFill>
      </fill>
    </dxf>
  </rfmt>
  <rfmt sheetId="1" sqref="C603" start="0" length="0">
    <dxf>
      <fill>
        <patternFill patternType="solid">
          <bgColor theme="0" tint="-4.9989318521683403E-2"/>
        </patternFill>
      </fill>
    </dxf>
  </rfmt>
  <rfmt sheetId="1" sqref="D603" start="0" length="0">
    <dxf>
      <fill>
        <patternFill patternType="solid">
          <bgColor theme="0" tint="-4.9989318521683403E-2"/>
        </patternFill>
      </fill>
    </dxf>
  </rfmt>
  <rfmt sheetId="1" sqref="E603" start="0" length="0">
    <dxf>
      <fill>
        <patternFill patternType="solid">
          <bgColor theme="0" tint="-4.9989318521683403E-2"/>
        </patternFill>
      </fill>
    </dxf>
  </rfmt>
  <rfmt sheetId="1" sqref="F603" start="0" length="0">
    <dxf>
      <fill>
        <patternFill patternType="solid">
          <bgColor theme="0" tint="-4.9989318521683403E-2"/>
        </patternFill>
      </fill>
    </dxf>
  </rfmt>
  <rfmt sheetId="1" sqref="G603" start="0" length="0">
    <dxf>
      <fill>
        <patternFill patternType="solid">
          <bgColor theme="0" tint="-4.9989318521683403E-2"/>
        </patternFill>
      </fill>
    </dxf>
  </rfmt>
  <rfmt sheetId="1" sqref="H603" start="0" length="0">
    <dxf>
      <fill>
        <patternFill patternType="solid">
          <bgColor theme="0" tint="-4.9989318521683403E-2"/>
        </patternFill>
      </fill>
    </dxf>
  </rfmt>
  <rfmt sheetId="1" sqref="I603" start="0" length="0">
    <dxf>
      <fill>
        <patternFill patternType="solid">
          <bgColor theme="0" tint="-4.9989318521683403E-2"/>
        </patternFill>
      </fill>
    </dxf>
  </rfmt>
  <rfmt sheetId="1" sqref="J603" start="0" length="0">
    <dxf>
      <fill>
        <patternFill patternType="solid">
          <bgColor theme="0" tint="-4.9989318521683403E-2"/>
        </patternFill>
      </fill>
    </dxf>
  </rfmt>
  <rfmt sheetId="1" sqref="K603" start="0" length="0">
    <dxf>
      <fill>
        <patternFill patternType="solid">
          <bgColor theme="0" tint="-4.9989318521683403E-2"/>
        </patternFill>
      </fill>
    </dxf>
  </rfmt>
  <rfmt sheetId="1" sqref="L603" start="0" length="0">
    <dxf>
      <fill>
        <patternFill patternType="solid">
          <bgColor theme="0" tint="-4.9989318521683403E-2"/>
        </patternFill>
      </fill>
    </dxf>
  </rfmt>
  <rfmt sheetId="1" sqref="M603" start="0" length="0">
    <dxf>
      <fill>
        <patternFill patternType="solid">
          <bgColor theme="0" tint="-4.9989318521683403E-2"/>
        </patternFill>
      </fill>
    </dxf>
  </rfmt>
  <rfmt sheetId="1" sqref="N603" start="0" length="0">
    <dxf>
      <fill>
        <patternFill patternType="solid">
          <bgColor theme="0" tint="-4.9989318521683403E-2"/>
        </patternFill>
      </fill>
    </dxf>
  </rfmt>
  <rfmt sheetId="1" sqref="O603" start="0" length="0">
    <dxf>
      <fill>
        <patternFill patternType="solid">
          <bgColor theme="0" tint="-4.9989318521683403E-2"/>
        </patternFill>
      </fill>
    </dxf>
  </rfmt>
  <rfmt sheetId="1" sqref="P603" start="0" length="0">
    <dxf>
      <fill>
        <patternFill patternType="solid">
          <bgColor theme="0" tint="-4.9989318521683403E-2"/>
        </patternFill>
      </fill>
    </dxf>
  </rfmt>
  <rfmt sheetId="1" sqref="Q603" start="0" length="0">
    <dxf>
      <fill>
        <patternFill patternType="solid">
          <bgColor theme="0" tint="-4.9989318521683403E-2"/>
        </patternFill>
      </fill>
    </dxf>
  </rfmt>
  <rfmt sheetId="1" sqref="R603" start="0" length="0">
    <dxf>
      <fill>
        <patternFill patternType="solid">
          <bgColor theme="0" tint="-4.9989318521683403E-2"/>
        </patternFill>
      </fill>
    </dxf>
  </rfmt>
  <rfmt sheetId="1" sqref="S603" start="0" length="0">
    <dxf>
      <fill>
        <patternFill patternType="solid">
          <bgColor theme="0" tint="-4.9989318521683403E-2"/>
        </patternFill>
      </fill>
    </dxf>
  </rfmt>
  <rfmt sheetId="1" sqref="T603" start="0" length="0">
    <dxf>
      <fill>
        <patternFill patternType="solid">
          <bgColor theme="0" tint="-4.9989318521683403E-2"/>
        </patternFill>
      </fill>
    </dxf>
  </rfmt>
  <rfmt sheetId="1" sqref="U603" start="0" length="0">
    <dxf>
      <fill>
        <patternFill patternType="solid">
          <bgColor theme="0" tint="-4.9989318521683403E-2"/>
        </patternFill>
      </fill>
    </dxf>
  </rfmt>
  <rfmt sheetId="1" sqref="V603" start="0" length="0">
    <dxf>
      <fill>
        <patternFill patternType="solid">
          <bgColor theme="0" tint="-4.9989318521683403E-2"/>
        </patternFill>
      </fill>
    </dxf>
  </rfmt>
  <rfmt sheetId="1" sqref="W603" start="0" length="0">
    <dxf>
      <fill>
        <patternFill patternType="solid">
          <bgColor theme="0" tint="-4.9989318521683403E-2"/>
        </patternFill>
      </fill>
    </dxf>
  </rfmt>
  <rfmt sheetId="1" sqref="X603" start="0" length="0">
    <dxf>
      <fill>
        <patternFill patternType="solid">
          <bgColor theme="0" tint="-4.9989318521683403E-2"/>
        </patternFill>
      </fill>
    </dxf>
  </rfmt>
  <rfmt sheetId="1" sqref="Y603" start="0" length="0">
    <dxf>
      <fill>
        <patternFill patternType="solid">
          <bgColor theme="0" tint="-4.9989318521683403E-2"/>
        </patternFill>
      </fill>
    </dxf>
  </rfmt>
  <rfmt sheetId="1" sqref="Z603" start="0" length="0">
    <dxf>
      <fill>
        <patternFill patternType="solid">
          <bgColor theme="0" tint="-4.9989318521683403E-2"/>
        </patternFill>
      </fill>
    </dxf>
  </rfmt>
  <rfmt sheetId="1" sqref="AA603" start="0" length="0">
    <dxf>
      <fill>
        <patternFill patternType="solid">
          <bgColor theme="0" tint="-4.9989318521683403E-2"/>
        </patternFill>
      </fill>
    </dxf>
  </rfmt>
  <rfmt sheetId="1" sqref="AB603" start="0" length="0">
    <dxf>
      <fill>
        <patternFill patternType="solid">
          <bgColor theme="0" tint="-4.9989318521683403E-2"/>
        </patternFill>
      </fill>
    </dxf>
  </rfmt>
  <rfmt sheetId="1" sqref="A603:XFD603" start="0" length="0">
    <dxf>
      <fill>
        <patternFill patternType="solid">
          <bgColor theme="0" tint="-4.9989318521683403E-2"/>
        </patternFill>
      </fill>
    </dxf>
  </rfmt>
  <rcc rId="7434" sId="1" odxf="1" dxf="1">
    <nc r="A604" t="inlineStr">
      <is>
        <t>Zone 3</t>
      </is>
    </nc>
    <odxf/>
    <ndxf/>
  </rcc>
  <rcc rId="7435" sId="1" odxf="1" dxf="1">
    <nc r="B604" t="inlineStr">
      <is>
        <t>LoPro S4 HDMI</t>
      </is>
    </nc>
    <odxf/>
    <ndxf/>
  </rcc>
  <rcc rId="7436" sId="1" odxf="1" dxf="1">
    <nc r="C604">
      <v>5.5</v>
    </nc>
    <odxf/>
    <ndxf/>
  </rcc>
  <rcc rId="7437" sId="1" odxf="1" dxf="1">
    <nc r="D604" t="inlineStr">
      <is>
        <t>25-001</t>
      </is>
    </nc>
    <odxf/>
    <ndxf/>
  </rcc>
  <rcc rId="7438" sId="1" odxf="1" dxf="1">
    <nc r="E604" t="inlineStr">
      <is>
        <t>W1027665/1</t>
      </is>
    </nc>
    <odxf/>
    <ndxf/>
  </rcc>
  <rcc rId="7439" sId="1" odxf="1" dxf="1">
    <nc r="F604" t="inlineStr">
      <is>
        <t>VER1/0270-0939</t>
      </is>
    </nc>
    <odxf/>
    <ndxf/>
  </rcc>
  <rcc rId="7440" sId="1" odxf="1" dxf="1">
    <nc r="G604" t="inlineStr">
      <is>
        <t>LoPro S4 Short Well</t>
      </is>
    </nc>
    <odxf/>
    <ndxf/>
  </rcc>
  <rcc rId="7441" sId="1" odxf="1" dxf="1">
    <nc r="H604">
      <v>149.98500000000001</v>
    </nc>
    <odxf/>
    <ndxf/>
  </rcc>
  <rcc rId="7442" sId="1" odxf="1" dxf="1">
    <nc r="I604">
      <v>27.27</v>
    </nc>
    <odxf/>
    <ndxf/>
  </rcc>
  <rcc rId="7443" sId="1" odxf="1" dxf="1">
    <nc r="J604">
      <v>600</v>
    </nc>
    <odxf/>
    <ndxf/>
  </rcc>
  <rcc rId="7444" sId="1" odxf="1" dxf="1">
    <nc r="K604">
      <v>0</v>
    </nc>
    <odxf/>
    <ndxf/>
  </rcc>
  <rcc rId="7445" sId="1" odxf="1" dxf="1" numFmtId="19">
    <nc r="L604">
      <v>46216</v>
    </nc>
    <odxf/>
    <ndxf/>
  </rcc>
  <rcc rId="7446" sId="1" odxf="1" dxf="1" numFmtId="19">
    <nc r="M604">
      <v>46217.152777777781</v>
    </nc>
    <odxf/>
    <ndxf/>
  </rcc>
  <rfmt sheetId="1" sqref="N604" start="0" length="0">
    <dxf/>
  </rfmt>
  <rfmt sheetId="1" sqref="O604" start="0" length="0">
    <dxf/>
  </rfmt>
  <rfmt sheetId="1" sqref="P604" start="0" length="0">
    <dxf/>
  </rfmt>
  <rfmt sheetId="1" sqref="Q604" start="0" length="0">
    <dxf/>
  </rfmt>
  <rfmt sheetId="1" sqref="R604" start="0" length="0">
    <dxf/>
  </rfmt>
  <rfmt sheetId="1" sqref="S604" start="0" length="0">
    <dxf/>
  </rfmt>
  <rfmt sheetId="1" sqref="T604" start="0" length="0">
    <dxf/>
  </rfmt>
  <rfmt sheetId="1" sqref="U604" start="0" length="0">
    <dxf/>
  </rfmt>
  <rfmt sheetId="1" sqref="V604" start="0" length="0">
    <dxf/>
  </rfmt>
  <rfmt sheetId="1" sqref="W604" start="0" length="0">
    <dxf/>
  </rfmt>
  <rfmt sheetId="1" sqref="X604" start="0" length="0">
    <dxf/>
  </rfmt>
  <rfmt sheetId="1" sqref="Y604" start="0" length="0">
    <dxf/>
  </rfmt>
  <rfmt sheetId="1" sqref="Z604" start="0" length="0">
    <dxf/>
  </rfmt>
  <rcc rId="7447" sId="1" odxf="1" dxf="1">
    <nc r="AA604" t="inlineStr">
      <is>
        <t>1</t>
      </is>
    </nc>
    <odxf/>
    <ndxf/>
  </rcc>
  <rcc rId="7448" sId="1" odxf="1" dxf="1">
    <nc r="AB604" t="inlineStr">
      <is>
        <t>0</t>
      </is>
    </nc>
    <odxf/>
    <ndxf/>
  </rcc>
  <rfmt sheetId="1" sqref="A604:XFD604" start="0" length="0">
    <dxf/>
  </rfmt>
  <rcc rId="7449" sId="1" odxf="1" dxf="1">
    <nc r="A605" t="inlineStr">
      <is>
        <t>Zone 3</t>
      </is>
    </nc>
    <odxf/>
    <ndxf/>
  </rcc>
  <rcc rId="7450" sId="1" odxf="1" dxf="1">
    <nc r="B605" t="inlineStr">
      <is>
        <t>LoPro S4 HDMI</t>
      </is>
    </nc>
    <odxf/>
    <ndxf/>
  </rcc>
  <rcc rId="7451" sId="1" odxf="1" dxf="1">
    <nc r="C605">
      <v>5.5</v>
    </nc>
    <odxf/>
    <ndxf/>
  </rcc>
  <rcc rId="7452" sId="1" odxf="1" dxf="1">
    <nc r="D605" t="inlineStr">
      <is>
        <t>25-001</t>
      </is>
    </nc>
    <odxf/>
    <ndxf/>
  </rcc>
  <rcc rId="7453" sId="1" odxf="1" dxf="1">
    <nc r="E605" t="inlineStr">
      <is>
        <t>W1027663/1</t>
      </is>
    </nc>
    <odxf/>
    <ndxf/>
  </rcc>
  <rcc rId="7454" sId="1" odxf="1" dxf="1">
    <nc r="F605" t="inlineStr">
      <is>
        <t>VER1/0270-0939</t>
      </is>
    </nc>
    <odxf/>
    <ndxf/>
  </rcc>
  <rcc rId="7455" sId="1" odxf="1" dxf="1">
    <nc r="G605" t="inlineStr">
      <is>
        <t>LoPro S4 Short Well</t>
      </is>
    </nc>
    <odxf/>
    <ndxf/>
  </rcc>
  <rcc rId="7456" sId="1" odxf="1" dxf="1">
    <nc r="H605">
      <v>37.51</v>
    </nc>
    <odxf/>
    <ndxf/>
  </rcc>
  <rcc rId="7457" sId="1" odxf="1" dxf="1">
    <nc r="I605">
      <v>6.82</v>
    </nc>
    <odxf/>
    <ndxf/>
  </rcc>
  <rcc rId="7458" sId="1" odxf="1" dxf="1">
    <nc r="J605">
      <v>150</v>
    </nc>
    <odxf/>
    <ndxf/>
  </rcc>
  <rcc rId="7459" sId="1" odxf="1" dxf="1">
    <nc r="K605">
      <v>0</v>
    </nc>
    <odxf/>
    <ndxf/>
  </rcc>
  <rcc rId="7460" sId="1" odxf="1" dxf="1" numFmtId="19">
    <nc r="L605">
      <v>46216</v>
    </nc>
    <odxf/>
    <ndxf/>
  </rcc>
  <rcc rId="7461" sId="1" odxf="1" dxf="1" numFmtId="19">
    <nc r="M605">
      <v>46216.298611111109</v>
    </nc>
    <odxf/>
    <ndxf/>
  </rcc>
  <rfmt sheetId="1" sqref="N605" start="0" length="0">
    <dxf/>
  </rfmt>
  <rfmt sheetId="1" sqref="O605" start="0" length="0">
    <dxf/>
  </rfmt>
  <rfmt sheetId="1" sqref="P605" start="0" length="0">
    <dxf/>
  </rfmt>
  <rfmt sheetId="1" sqref="Q605" start="0" length="0">
    <dxf/>
  </rfmt>
  <rfmt sheetId="1" sqref="R605" start="0" length="0">
    <dxf/>
  </rfmt>
  <rfmt sheetId="1" sqref="S605" start="0" length="0">
    <dxf/>
  </rfmt>
  <rfmt sheetId="1" sqref="T605" start="0" length="0">
    <dxf/>
  </rfmt>
  <rfmt sheetId="1" sqref="U605" start="0" length="0">
    <dxf/>
  </rfmt>
  <rfmt sheetId="1" sqref="V605" start="0" length="0">
    <dxf/>
  </rfmt>
  <rfmt sheetId="1" sqref="W605" start="0" length="0">
    <dxf/>
  </rfmt>
  <rfmt sheetId="1" sqref="X605" start="0" length="0">
    <dxf/>
  </rfmt>
  <rfmt sheetId="1" sqref="Y605" start="0" length="0">
    <dxf/>
  </rfmt>
  <rfmt sheetId="1" sqref="Z605" start="0" length="0">
    <dxf/>
  </rfmt>
  <rcc rId="7462" sId="1" odxf="1" dxf="1">
    <nc r="AA605" t="inlineStr">
      <is>
        <t>1</t>
      </is>
    </nc>
    <odxf/>
    <ndxf/>
  </rcc>
  <rcc rId="7463" sId="1" odxf="1" dxf="1">
    <nc r="AB605" t="inlineStr">
      <is>
        <t>0</t>
      </is>
    </nc>
    <odxf/>
    <ndxf/>
  </rcc>
  <rfmt sheetId="1" sqref="A605:XFD605" start="0" length="0">
    <dxf/>
  </rfmt>
  <rcc rId="7464" sId="1" odxf="1" dxf="1">
    <nc r="A606" t="inlineStr">
      <is>
        <t>Zone 3</t>
      </is>
    </nc>
    <odxf/>
    <ndxf/>
  </rcc>
  <rcc rId="7465" sId="1" odxf="1" dxf="1">
    <nc r="B606" t="inlineStr">
      <is>
        <t>LoPro S4 HDMI</t>
      </is>
    </nc>
    <odxf/>
    <ndxf/>
  </rcc>
  <rcc rId="7466" sId="1" odxf="1" dxf="1">
    <nc r="C606">
      <v>4</v>
    </nc>
    <odxf/>
    <ndxf/>
  </rcc>
  <rfmt sheetId="1" sqref="D606" start="0" length="0">
    <dxf/>
  </rfmt>
  <rcc rId="7467" sId="1" odxf="1" dxf="1">
    <nc r="E606" t="inlineStr">
      <is>
        <t>W1026793/1</t>
      </is>
    </nc>
    <odxf/>
    <ndxf/>
  </rcc>
  <rcc rId="7468" sId="1" odxf="1" dxf="1">
    <nc r="F606" t="inlineStr">
      <is>
        <t>VER1/0270-1152</t>
      </is>
    </nc>
    <odxf/>
    <ndxf/>
  </rcc>
  <rcc rId="7469" sId="1" odxf="1" dxf="1">
    <nc r="G606" t="inlineStr">
      <is>
        <t>QC ECO, MAC S2, NS, GS SPECTRUM BOX-10</t>
      </is>
    </nc>
    <odxf/>
    <ndxf/>
  </rcc>
  <rcc rId="7470" sId="1" odxf="1" dxf="1">
    <nc r="H606">
      <v>100</v>
    </nc>
    <odxf/>
    <ndxf/>
  </rcc>
  <rcc rId="7471" sId="1" odxf="1" dxf="1">
    <nc r="I606">
      <v>25</v>
    </nc>
    <odxf/>
    <ndxf/>
  </rcc>
  <rcc rId="7472" sId="1" odxf="1" dxf="1">
    <nc r="J606">
      <v>300</v>
    </nc>
    <odxf/>
    <ndxf/>
  </rcc>
  <rcc rId="7473" sId="1" odxf="1" dxf="1">
    <nc r="K606">
      <v>0</v>
    </nc>
    <odxf/>
    <ndxf/>
  </rcc>
  <rcc rId="7474" sId="1" odxf="1" dxf="1" numFmtId="19">
    <nc r="L606">
      <v>46216.305555555555</v>
    </nc>
    <odxf/>
    <ndxf/>
  </rcc>
  <rcc rId="7475" sId="1" odxf="1" dxf="1" numFmtId="19">
    <nc r="M606">
      <v>46217.361111111109</v>
    </nc>
    <odxf/>
    <ndxf/>
  </rcc>
  <rfmt sheetId="1" sqref="N606" start="0" length="0">
    <dxf/>
  </rfmt>
  <rfmt sheetId="1" sqref="O606" start="0" length="0">
    <dxf/>
  </rfmt>
  <rfmt sheetId="1" sqref="P606" start="0" length="0">
    <dxf/>
  </rfmt>
  <rfmt sheetId="1" sqref="Q606" start="0" length="0">
    <dxf/>
  </rfmt>
  <rfmt sheetId="1" sqref="R606" start="0" length="0">
    <dxf/>
  </rfmt>
  <rfmt sheetId="1" sqref="S606" start="0" length="0">
    <dxf/>
  </rfmt>
  <rfmt sheetId="1" sqref="T606" start="0" length="0">
    <dxf/>
  </rfmt>
  <rfmt sheetId="1" sqref="U606" start="0" length="0">
    <dxf/>
  </rfmt>
  <rfmt sheetId="1" sqref="V606" start="0" length="0">
    <dxf/>
  </rfmt>
  <rfmt sheetId="1" sqref="W606" start="0" length="0">
    <dxf/>
  </rfmt>
  <rfmt sheetId="1" sqref="X606" start="0" length="0">
    <dxf/>
  </rfmt>
  <rfmt sheetId="1" sqref="Y606" start="0" length="0">
    <dxf/>
  </rfmt>
  <rfmt sheetId="1" sqref="Z606" start="0" length="0">
    <dxf/>
  </rfmt>
  <rcc rId="7476" sId="1" odxf="1" dxf="1">
    <nc r="AA606" t="inlineStr">
      <is>
        <t>1</t>
      </is>
    </nc>
    <odxf/>
    <ndxf/>
  </rcc>
  <rcc rId="7477" sId="1" odxf="1" dxf="1">
    <nc r="AB606" t="inlineStr">
      <is>
        <t>0</t>
      </is>
    </nc>
    <odxf/>
    <ndxf/>
  </rcc>
  <rfmt sheetId="1" sqref="A606:XFD606" start="0" length="0">
    <dxf/>
  </rfmt>
  <rfmt sheetId="1" sqref="A607" start="0" length="0">
    <dxf>
      <fill>
        <patternFill patternType="solid">
          <bgColor theme="0" tint="-4.9989318521683403E-2"/>
        </patternFill>
      </fill>
    </dxf>
  </rfmt>
  <rfmt sheetId="1" sqref="B607" start="0" length="0">
    <dxf>
      <fill>
        <patternFill patternType="solid">
          <bgColor theme="0" tint="-4.9989318521683403E-2"/>
        </patternFill>
      </fill>
    </dxf>
  </rfmt>
  <rfmt sheetId="1" sqref="C607" start="0" length="0">
    <dxf>
      <fill>
        <patternFill patternType="solid">
          <bgColor theme="0" tint="-4.9989318521683403E-2"/>
        </patternFill>
      </fill>
    </dxf>
  </rfmt>
  <rfmt sheetId="1" sqref="D607" start="0" length="0">
    <dxf>
      <fill>
        <patternFill patternType="solid">
          <bgColor theme="0" tint="-4.9989318521683403E-2"/>
        </patternFill>
      </fill>
    </dxf>
  </rfmt>
  <rfmt sheetId="1" sqref="E607" start="0" length="0">
    <dxf>
      <fill>
        <patternFill patternType="solid">
          <bgColor theme="0" tint="-4.9989318521683403E-2"/>
        </patternFill>
      </fill>
    </dxf>
  </rfmt>
  <rfmt sheetId="1" sqref="F607" start="0" length="0">
    <dxf>
      <fill>
        <patternFill patternType="solid">
          <bgColor theme="0" tint="-4.9989318521683403E-2"/>
        </patternFill>
      </fill>
    </dxf>
  </rfmt>
  <rfmt sheetId="1" sqref="G607" start="0" length="0">
    <dxf>
      <fill>
        <patternFill patternType="solid">
          <bgColor theme="0" tint="-4.9989318521683403E-2"/>
        </patternFill>
      </fill>
    </dxf>
  </rfmt>
  <rfmt sheetId="1" sqref="H607" start="0" length="0">
    <dxf>
      <fill>
        <patternFill patternType="solid">
          <bgColor theme="0" tint="-4.9989318521683403E-2"/>
        </patternFill>
      </fill>
    </dxf>
  </rfmt>
  <rfmt sheetId="1" sqref="I607" start="0" length="0">
    <dxf>
      <fill>
        <patternFill patternType="solid">
          <bgColor theme="0" tint="-4.9989318521683403E-2"/>
        </patternFill>
      </fill>
    </dxf>
  </rfmt>
  <rfmt sheetId="1" sqref="J607" start="0" length="0">
    <dxf>
      <fill>
        <patternFill patternType="solid">
          <bgColor theme="0" tint="-4.9989318521683403E-2"/>
        </patternFill>
      </fill>
    </dxf>
  </rfmt>
  <rfmt sheetId="1" sqref="K607" start="0" length="0">
    <dxf>
      <fill>
        <patternFill patternType="solid">
          <bgColor theme="0" tint="-4.9989318521683403E-2"/>
        </patternFill>
      </fill>
    </dxf>
  </rfmt>
  <rfmt sheetId="1" sqref="L607" start="0" length="0">
    <dxf>
      <fill>
        <patternFill patternType="solid">
          <bgColor theme="0" tint="-4.9989318521683403E-2"/>
        </patternFill>
      </fill>
    </dxf>
  </rfmt>
  <rfmt sheetId="1" sqref="M607" start="0" length="0">
    <dxf>
      <fill>
        <patternFill patternType="solid">
          <bgColor theme="0" tint="-4.9989318521683403E-2"/>
        </patternFill>
      </fill>
    </dxf>
  </rfmt>
  <rfmt sheetId="1" sqref="N607" start="0" length="0">
    <dxf>
      <fill>
        <patternFill patternType="solid">
          <bgColor theme="0" tint="-4.9989318521683403E-2"/>
        </patternFill>
      </fill>
    </dxf>
  </rfmt>
  <rfmt sheetId="1" sqref="O607" start="0" length="0">
    <dxf>
      <fill>
        <patternFill patternType="solid">
          <bgColor theme="0" tint="-4.9989318521683403E-2"/>
        </patternFill>
      </fill>
    </dxf>
  </rfmt>
  <rfmt sheetId="1" sqref="P607" start="0" length="0">
    <dxf>
      <fill>
        <patternFill patternType="solid">
          <bgColor theme="0" tint="-4.9989318521683403E-2"/>
        </patternFill>
      </fill>
    </dxf>
  </rfmt>
  <rfmt sheetId="1" sqref="Q607" start="0" length="0">
    <dxf>
      <fill>
        <patternFill patternType="solid">
          <bgColor theme="0" tint="-4.9989318521683403E-2"/>
        </patternFill>
      </fill>
    </dxf>
  </rfmt>
  <rfmt sheetId="1" sqref="R607" start="0" length="0">
    <dxf>
      <fill>
        <patternFill patternType="solid">
          <bgColor theme="0" tint="-4.9989318521683403E-2"/>
        </patternFill>
      </fill>
    </dxf>
  </rfmt>
  <rfmt sheetId="1" sqref="S607" start="0" length="0">
    <dxf>
      <fill>
        <patternFill patternType="solid">
          <bgColor theme="0" tint="-4.9989318521683403E-2"/>
        </patternFill>
      </fill>
    </dxf>
  </rfmt>
  <rfmt sheetId="1" sqref="T607" start="0" length="0">
    <dxf>
      <fill>
        <patternFill patternType="solid">
          <bgColor theme="0" tint="-4.9989318521683403E-2"/>
        </patternFill>
      </fill>
    </dxf>
  </rfmt>
  <rfmt sheetId="1" sqref="U607" start="0" length="0">
    <dxf>
      <fill>
        <patternFill patternType="solid">
          <bgColor theme="0" tint="-4.9989318521683403E-2"/>
        </patternFill>
      </fill>
    </dxf>
  </rfmt>
  <rfmt sheetId="1" sqref="V607" start="0" length="0">
    <dxf>
      <fill>
        <patternFill patternType="solid">
          <bgColor theme="0" tint="-4.9989318521683403E-2"/>
        </patternFill>
      </fill>
    </dxf>
  </rfmt>
  <rfmt sheetId="1" sqref="W607" start="0" length="0">
    <dxf>
      <fill>
        <patternFill patternType="solid">
          <bgColor theme="0" tint="-4.9989318521683403E-2"/>
        </patternFill>
      </fill>
    </dxf>
  </rfmt>
  <rfmt sheetId="1" sqref="X607" start="0" length="0">
    <dxf>
      <fill>
        <patternFill patternType="solid">
          <bgColor theme="0" tint="-4.9989318521683403E-2"/>
        </patternFill>
      </fill>
    </dxf>
  </rfmt>
  <rfmt sheetId="1" sqref="Y607" start="0" length="0">
    <dxf>
      <fill>
        <patternFill patternType="solid">
          <bgColor theme="0" tint="-4.9989318521683403E-2"/>
        </patternFill>
      </fill>
    </dxf>
  </rfmt>
  <rfmt sheetId="1" sqref="Z607" start="0" length="0">
    <dxf>
      <fill>
        <patternFill patternType="solid">
          <bgColor theme="0" tint="-4.9989318521683403E-2"/>
        </patternFill>
      </fill>
    </dxf>
  </rfmt>
  <rfmt sheetId="1" sqref="AA607" start="0" length="0">
    <dxf>
      <fill>
        <patternFill patternType="solid">
          <bgColor theme="0" tint="-4.9989318521683403E-2"/>
        </patternFill>
      </fill>
    </dxf>
  </rfmt>
  <rfmt sheetId="1" sqref="AB607" start="0" length="0">
    <dxf>
      <fill>
        <patternFill patternType="solid">
          <bgColor theme="0" tint="-4.9989318521683403E-2"/>
        </patternFill>
      </fill>
    </dxf>
  </rfmt>
  <rfmt sheetId="1" sqref="A607:XFD607" start="0" length="0">
    <dxf>
      <fill>
        <patternFill patternType="solid">
          <bgColor theme="0" tint="-4.9989318521683403E-2"/>
        </patternFill>
      </fill>
    </dxf>
  </rfmt>
  <rcc rId="7478" sId="1" odxf="1" dxf="1">
    <nc r="A608" t="inlineStr">
      <is>
        <t>Zone 3</t>
      </is>
    </nc>
    <odxf/>
    <ndxf/>
  </rcc>
  <rcc rId="7479" sId="1" odxf="1" dxf="1">
    <nc r="B608" t="inlineStr">
      <is>
        <t>LoPro S4 HDMI</t>
      </is>
    </nc>
    <odxf/>
    <ndxf/>
  </rcc>
  <rcc rId="7480" sId="1" odxf="1" dxf="1">
    <nc r="C608">
      <v>5.5</v>
    </nc>
    <odxf/>
    <ndxf/>
  </rcc>
  <rcc rId="7481" sId="1" odxf="1" dxf="1">
    <nc r="D608" t="inlineStr">
      <is>
        <t>25-001</t>
      </is>
    </nc>
    <odxf/>
    <ndxf/>
  </rcc>
  <rcc rId="7482" sId="1" odxf="1" dxf="1">
    <nc r="E608" t="inlineStr">
      <is>
        <t>W1027666/1</t>
      </is>
    </nc>
    <odxf/>
    <ndxf/>
  </rcc>
  <rcc rId="7483" sId="1" odxf="1" dxf="1">
    <nc r="F608" t="inlineStr">
      <is>
        <t>VER1/0270-0939</t>
      </is>
    </nc>
    <odxf/>
    <ndxf/>
  </rcc>
  <rcc rId="7484" sId="1" odxf="1" dxf="1">
    <nc r="G608" t="inlineStr">
      <is>
        <t>LoPro S4 Short Well</t>
      </is>
    </nc>
    <odxf/>
    <ndxf/>
  </rcc>
  <rcc rId="7485" sId="1" odxf="1" dxf="1">
    <nc r="H608">
      <v>149.98500000000001</v>
    </nc>
    <odxf/>
    <ndxf/>
  </rcc>
  <rcc rId="7486" sId="1" odxf="1" dxf="1">
    <nc r="I608">
      <v>27.27</v>
    </nc>
    <odxf/>
    <ndxf/>
  </rcc>
  <rcc rId="7487" sId="1" odxf="1" dxf="1">
    <nc r="J608">
      <v>600</v>
    </nc>
    <odxf/>
    <ndxf/>
  </rcc>
  <rcc rId="7488" sId="1" odxf="1" dxf="1">
    <nc r="K608">
      <v>0</v>
    </nc>
    <odxf/>
    <ndxf/>
  </rcc>
  <rcc rId="7489" sId="1" odxf="1" dxf="1" numFmtId="19">
    <nc r="L608">
      <v>46223</v>
    </nc>
    <odxf/>
    <ndxf/>
  </rcc>
  <rcc rId="7490" sId="1" odxf="1" dxf="1" numFmtId="19">
    <nc r="M608">
      <v>46224.152777777781</v>
    </nc>
    <odxf/>
    <ndxf/>
  </rcc>
  <rfmt sheetId="1" sqref="N608" start="0" length="0">
    <dxf/>
  </rfmt>
  <rfmt sheetId="1" sqref="O608" start="0" length="0">
    <dxf/>
  </rfmt>
  <rfmt sheetId="1" sqref="P608" start="0" length="0">
    <dxf/>
  </rfmt>
  <rfmt sheetId="1" sqref="Q608" start="0" length="0">
    <dxf/>
  </rfmt>
  <rfmt sheetId="1" sqref="R608" start="0" length="0">
    <dxf/>
  </rfmt>
  <rfmt sheetId="1" sqref="S608" start="0" length="0">
    <dxf/>
  </rfmt>
  <rfmt sheetId="1" sqref="T608" start="0" length="0">
    <dxf/>
  </rfmt>
  <rfmt sheetId="1" sqref="U608" start="0" length="0">
    <dxf/>
  </rfmt>
  <rfmt sheetId="1" sqref="V608" start="0" length="0">
    <dxf/>
  </rfmt>
  <rfmt sheetId="1" sqref="W608" start="0" length="0">
    <dxf/>
  </rfmt>
  <rfmt sheetId="1" sqref="X608" start="0" length="0">
    <dxf/>
  </rfmt>
  <rfmt sheetId="1" sqref="Y608" start="0" length="0">
    <dxf/>
  </rfmt>
  <rfmt sheetId="1" sqref="Z608" start="0" length="0">
    <dxf/>
  </rfmt>
  <rcc rId="7491" sId="1" odxf="1" dxf="1">
    <nc r="AA608" t="inlineStr">
      <is>
        <t>1</t>
      </is>
    </nc>
    <odxf/>
    <ndxf/>
  </rcc>
  <rcc rId="7492" sId="1" odxf="1" dxf="1">
    <nc r="AB608" t="inlineStr">
      <is>
        <t>0</t>
      </is>
    </nc>
    <odxf/>
    <ndxf/>
  </rcc>
  <rfmt sheetId="1" sqref="A608:XFD608" start="0" length="0">
    <dxf/>
  </rfmt>
  <rcc rId="7493" sId="1" odxf="1" dxf="1">
    <nc r="A609" t="inlineStr">
      <is>
        <t>Zone 3</t>
      </is>
    </nc>
    <odxf/>
    <ndxf/>
  </rcc>
  <rcc rId="7494" sId="1" odxf="1" dxf="1">
    <nc r="B609" t="inlineStr">
      <is>
        <t>LoPro S4 HDMI</t>
      </is>
    </nc>
    <odxf/>
    <ndxf/>
  </rcc>
  <rcc rId="7495" sId="1" odxf="1" dxf="1">
    <nc r="C609">
      <v>5.5</v>
    </nc>
    <odxf/>
    <ndxf/>
  </rcc>
  <rcc rId="7496" sId="1" odxf="1" dxf="1">
    <nc r="D609" t="inlineStr">
      <is>
        <t>25-001</t>
      </is>
    </nc>
    <odxf/>
    <ndxf/>
  </rcc>
  <rcc rId="7497" sId="1" odxf="1" dxf="1">
    <nc r="E609" t="inlineStr">
      <is>
        <t>W1027667/1</t>
      </is>
    </nc>
    <odxf/>
    <ndxf/>
  </rcc>
  <rcc rId="7498" sId="1" odxf="1" dxf="1">
    <nc r="F609" t="inlineStr">
      <is>
        <t>VER1/0270-0939</t>
      </is>
    </nc>
    <odxf/>
    <ndxf/>
  </rcc>
  <rcc rId="7499" sId="1" odxf="1" dxf="1">
    <nc r="G609" t="inlineStr">
      <is>
        <t>LoPro S4 Short Well</t>
      </is>
    </nc>
    <odxf/>
    <ndxf/>
  </rcc>
  <rcc rId="7500" sId="1" odxf="1" dxf="1">
    <nc r="H609">
      <v>37.51</v>
    </nc>
    <odxf/>
    <ndxf/>
  </rcc>
  <rcc rId="7501" sId="1" odxf="1" dxf="1">
    <nc r="I609">
      <v>6.82</v>
    </nc>
    <odxf/>
    <ndxf/>
  </rcc>
  <rcc rId="7502" sId="1" odxf="1" dxf="1">
    <nc r="J609">
      <v>150</v>
    </nc>
    <odxf/>
    <ndxf/>
  </rcc>
  <rcc rId="7503" sId="1" odxf="1" dxf="1">
    <nc r="K609">
      <v>0</v>
    </nc>
    <odxf/>
    <ndxf/>
  </rcc>
  <rcc rId="7504" sId="1" odxf="1" dxf="1" numFmtId="19">
    <nc r="L609">
      <v>46223</v>
    </nc>
    <odxf/>
    <ndxf/>
  </rcc>
  <rcc rId="7505" sId="1" odxf="1" dxf="1" numFmtId="19">
    <nc r="M609">
      <v>46223.298611111109</v>
    </nc>
    <odxf/>
    <ndxf/>
  </rcc>
  <rfmt sheetId="1" sqref="N609" start="0" length="0">
    <dxf/>
  </rfmt>
  <rfmt sheetId="1" sqref="O609" start="0" length="0">
    <dxf/>
  </rfmt>
  <rfmt sheetId="1" sqref="P609" start="0" length="0">
    <dxf/>
  </rfmt>
  <rfmt sheetId="1" sqref="Q609" start="0" length="0">
    <dxf/>
  </rfmt>
  <rfmt sheetId="1" sqref="R609" start="0" length="0">
    <dxf/>
  </rfmt>
  <rfmt sheetId="1" sqref="S609" start="0" length="0">
    <dxf/>
  </rfmt>
  <rfmt sheetId="1" sqref="T609" start="0" length="0">
    <dxf/>
  </rfmt>
  <rfmt sheetId="1" sqref="U609" start="0" length="0">
    <dxf/>
  </rfmt>
  <rfmt sheetId="1" sqref="V609" start="0" length="0">
    <dxf/>
  </rfmt>
  <rfmt sheetId="1" sqref="W609" start="0" length="0">
    <dxf/>
  </rfmt>
  <rfmt sheetId="1" sqref="X609" start="0" length="0">
    <dxf/>
  </rfmt>
  <rfmt sheetId="1" sqref="Y609" start="0" length="0">
    <dxf/>
  </rfmt>
  <rfmt sheetId="1" sqref="Z609" start="0" length="0">
    <dxf/>
  </rfmt>
  <rcc rId="7506" sId="1" odxf="1" dxf="1">
    <nc r="AA609" t="inlineStr">
      <is>
        <t>1</t>
      </is>
    </nc>
    <odxf/>
    <ndxf/>
  </rcc>
  <rcc rId="7507" sId="1" odxf="1" dxf="1">
    <nc r="AB609" t="inlineStr">
      <is>
        <t>0</t>
      </is>
    </nc>
    <odxf/>
    <ndxf/>
  </rcc>
  <rfmt sheetId="1" sqref="A609:XFD609" start="0" length="0">
    <dxf/>
  </rfmt>
  <rcc rId="7508" sId="1" odxf="1" dxf="1">
    <nc r="A610" t="inlineStr">
      <is>
        <t>Zone 3</t>
      </is>
    </nc>
    <odxf/>
    <ndxf/>
  </rcc>
  <rcc rId="7509" sId="1" odxf="1" dxf="1">
    <nc r="B610" t="inlineStr">
      <is>
        <t>LoPro S4 HDMI</t>
      </is>
    </nc>
    <odxf/>
    <ndxf/>
  </rcc>
  <rcc rId="7510" sId="1" odxf="1" dxf="1">
    <nc r="C610">
      <v>5.5</v>
    </nc>
    <odxf/>
    <ndxf/>
  </rcc>
  <rcc rId="7511" sId="1" odxf="1" dxf="1">
    <nc r="D610" t="inlineStr">
      <is>
        <t>25-001</t>
      </is>
    </nc>
    <odxf/>
    <ndxf/>
  </rcc>
  <rcc rId="7512" sId="1" odxf="1" dxf="1">
    <nc r="E610" t="inlineStr">
      <is>
        <t>W1027674/1</t>
      </is>
    </nc>
    <odxf/>
    <ndxf/>
  </rcc>
  <rcc rId="7513" sId="1" odxf="1" dxf="1">
    <nc r="F610" t="inlineStr">
      <is>
        <t>VER1/0270-1079</t>
      </is>
    </nc>
    <odxf/>
    <ndxf/>
  </rcc>
  <rcc rId="7514" sId="1" odxf="1" dxf="1">
    <nc r="G610" t="inlineStr">
      <is>
        <t>Non Sterile LoPro S4</t>
      </is>
    </nc>
    <odxf/>
    <ndxf/>
  </rcc>
  <rcc rId="7515" sId="1" odxf="1" dxf="1">
    <nc r="H610">
      <v>37.51</v>
    </nc>
    <odxf/>
    <ndxf/>
  </rcc>
  <rcc rId="7516" sId="1" odxf="1" dxf="1">
    <nc r="I610">
      <v>6.82</v>
    </nc>
    <odxf/>
    <ndxf/>
  </rcc>
  <rcc rId="7517" sId="1" odxf="1" dxf="1">
    <nc r="J610">
      <v>150</v>
    </nc>
    <odxf/>
    <ndxf/>
  </rcc>
  <rcc rId="7518" sId="1" odxf="1" dxf="1">
    <nc r="K610">
      <v>0</v>
    </nc>
    <odxf/>
    <ndxf/>
  </rcc>
  <rcc rId="7519" sId="1" odxf="1" dxf="1" numFmtId="19">
    <nc r="L610">
      <v>46223.305555555555</v>
    </nc>
    <odxf/>
    <ndxf/>
  </rcc>
  <rcc rId="7520" sId="1" odxf="1" dxf="1" numFmtId="19">
    <nc r="M610">
      <v>46223.604166666664</v>
    </nc>
    <odxf/>
    <ndxf/>
  </rcc>
  <rfmt sheetId="1" sqref="N610" start="0" length="0">
    <dxf/>
  </rfmt>
  <rfmt sheetId="1" sqref="O610" start="0" length="0">
    <dxf/>
  </rfmt>
  <rfmt sheetId="1" sqref="P610" start="0" length="0">
    <dxf/>
  </rfmt>
  <rfmt sheetId="1" sqref="Q610" start="0" length="0">
    <dxf/>
  </rfmt>
  <rfmt sheetId="1" sqref="R610" start="0" length="0">
    <dxf/>
  </rfmt>
  <rfmt sheetId="1" sqref="S610" start="0" length="0">
    <dxf/>
  </rfmt>
  <rfmt sheetId="1" sqref="T610" start="0" length="0">
    <dxf/>
  </rfmt>
  <rfmt sheetId="1" sqref="U610" start="0" length="0">
    <dxf/>
  </rfmt>
  <rfmt sheetId="1" sqref="V610" start="0" length="0">
    <dxf/>
  </rfmt>
  <rfmt sheetId="1" sqref="W610" start="0" length="0">
    <dxf/>
  </rfmt>
  <rfmt sheetId="1" sqref="X610" start="0" length="0">
    <dxf/>
  </rfmt>
  <rfmt sheetId="1" sqref="Y610" start="0" length="0">
    <dxf/>
  </rfmt>
  <rfmt sheetId="1" sqref="Z610" start="0" length="0">
    <dxf/>
  </rfmt>
  <rcc rId="7521" sId="1" odxf="1" dxf="1">
    <nc r="AA610" t="inlineStr">
      <is>
        <t>1</t>
      </is>
    </nc>
    <odxf/>
    <ndxf/>
  </rcc>
  <rcc rId="7522" sId="1" odxf="1" dxf="1">
    <nc r="AB610" t="inlineStr">
      <is>
        <t>0</t>
      </is>
    </nc>
    <odxf/>
    <ndxf/>
  </rcc>
  <rfmt sheetId="1" sqref="A610:XFD610" start="0" length="0">
    <dxf/>
  </rfmt>
  <rfmt sheetId="1" sqref="A611" start="0" length="0">
    <dxf>
      <fill>
        <patternFill patternType="solid">
          <bgColor theme="0" tint="-4.9989318521683403E-2"/>
        </patternFill>
      </fill>
    </dxf>
  </rfmt>
  <rfmt sheetId="1" sqref="B611" start="0" length="0">
    <dxf>
      <fill>
        <patternFill patternType="solid">
          <bgColor theme="0" tint="-4.9989318521683403E-2"/>
        </patternFill>
      </fill>
    </dxf>
  </rfmt>
  <rfmt sheetId="1" sqref="C611" start="0" length="0">
    <dxf>
      <fill>
        <patternFill patternType="solid">
          <bgColor theme="0" tint="-4.9989318521683403E-2"/>
        </patternFill>
      </fill>
    </dxf>
  </rfmt>
  <rfmt sheetId="1" sqref="D611" start="0" length="0">
    <dxf>
      <fill>
        <patternFill patternType="solid">
          <bgColor theme="0" tint="-4.9989318521683403E-2"/>
        </patternFill>
      </fill>
    </dxf>
  </rfmt>
  <rfmt sheetId="1" sqref="E611" start="0" length="0">
    <dxf>
      <fill>
        <patternFill patternType="solid">
          <bgColor theme="0" tint="-4.9989318521683403E-2"/>
        </patternFill>
      </fill>
    </dxf>
  </rfmt>
  <rfmt sheetId="1" sqref="F611" start="0" length="0">
    <dxf>
      <fill>
        <patternFill patternType="solid">
          <bgColor theme="0" tint="-4.9989318521683403E-2"/>
        </patternFill>
      </fill>
    </dxf>
  </rfmt>
  <rfmt sheetId="1" sqref="G611" start="0" length="0">
    <dxf>
      <fill>
        <patternFill patternType="solid">
          <bgColor theme="0" tint="-4.9989318521683403E-2"/>
        </patternFill>
      </fill>
    </dxf>
  </rfmt>
  <rfmt sheetId="1" sqref="H611" start="0" length="0">
    <dxf>
      <fill>
        <patternFill patternType="solid">
          <bgColor theme="0" tint="-4.9989318521683403E-2"/>
        </patternFill>
      </fill>
    </dxf>
  </rfmt>
  <rfmt sheetId="1" sqref="I611" start="0" length="0">
    <dxf>
      <fill>
        <patternFill patternType="solid">
          <bgColor theme="0" tint="-4.9989318521683403E-2"/>
        </patternFill>
      </fill>
    </dxf>
  </rfmt>
  <rfmt sheetId="1" sqref="J611" start="0" length="0">
    <dxf>
      <fill>
        <patternFill patternType="solid">
          <bgColor theme="0" tint="-4.9989318521683403E-2"/>
        </patternFill>
      </fill>
    </dxf>
  </rfmt>
  <rfmt sheetId="1" sqref="K611" start="0" length="0">
    <dxf>
      <fill>
        <patternFill patternType="solid">
          <bgColor theme="0" tint="-4.9989318521683403E-2"/>
        </patternFill>
      </fill>
    </dxf>
  </rfmt>
  <rfmt sheetId="1" sqref="L611" start="0" length="0">
    <dxf>
      <fill>
        <patternFill patternType="solid">
          <bgColor theme="0" tint="-4.9989318521683403E-2"/>
        </patternFill>
      </fill>
    </dxf>
  </rfmt>
  <rfmt sheetId="1" sqref="M611" start="0" length="0">
    <dxf>
      <fill>
        <patternFill patternType="solid">
          <bgColor theme="0" tint="-4.9989318521683403E-2"/>
        </patternFill>
      </fill>
    </dxf>
  </rfmt>
  <rfmt sheetId="1" sqref="N611" start="0" length="0">
    <dxf>
      <fill>
        <patternFill patternType="solid">
          <bgColor theme="0" tint="-4.9989318521683403E-2"/>
        </patternFill>
      </fill>
    </dxf>
  </rfmt>
  <rfmt sheetId="1" sqref="O611" start="0" length="0">
    <dxf>
      <fill>
        <patternFill patternType="solid">
          <bgColor theme="0" tint="-4.9989318521683403E-2"/>
        </patternFill>
      </fill>
    </dxf>
  </rfmt>
  <rfmt sheetId="1" sqref="P611" start="0" length="0">
    <dxf>
      <fill>
        <patternFill patternType="solid">
          <bgColor theme="0" tint="-4.9989318521683403E-2"/>
        </patternFill>
      </fill>
    </dxf>
  </rfmt>
  <rfmt sheetId="1" sqref="Q611" start="0" length="0">
    <dxf>
      <fill>
        <patternFill patternType="solid">
          <bgColor theme="0" tint="-4.9989318521683403E-2"/>
        </patternFill>
      </fill>
    </dxf>
  </rfmt>
  <rfmt sheetId="1" sqref="R611" start="0" length="0">
    <dxf>
      <fill>
        <patternFill patternType="solid">
          <bgColor theme="0" tint="-4.9989318521683403E-2"/>
        </patternFill>
      </fill>
    </dxf>
  </rfmt>
  <rfmt sheetId="1" sqref="S611" start="0" length="0">
    <dxf>
      <fill>
        <patternFill patternType="solid">
          <bgColor theme="0" tint="-4.9989318521683403E-2"/>
        </patternFill>
      </fill>
    </dxf>
  </rfmt>
  <rfmt sheetId="1" sqref="T611" start="0" length="0">
    <dxf>
      <fill>
        <patternFill patternType="solid">
          <bgColor theme="0" tint="-4.9989318521683403E-2"/>
        </patternFill>
      </fill>
    </dxf>
  </rfmt>
  <rfmt sheetId="1" sqref="U611" start="0" length="0">
    <dxf>
      <fill>
        <patternFill patternType="solid">
          <bgColor theme="0" tint="-4.9989318521683403E-2"/>
        </patternFill>
      </fill>
    </dxf>
  </rfmt>
  <rfmt sheetId="1" sqref="V611" start="0" length="0">
    <dxf>
      <fill>
        <patternFill patternType="solid">
          <bgColor theme="0" tint="-4.9989318521683403E-2"/>
        </patternFill>
      </fill>
    </dxf>
  </rfmt>
  <rfmt sheetId="1" sqref="W611" start="0" length="0">
    <dxf>
      <fill>
        <patternFill patternType="solid">
          <bgColor theme="0" tint="-4.9989318521683403E-2"/>
        </patternFill>
      </fill>
    </dxf>
  </rfmt>
  <rfmt sheetId="1" sqref="X611" start="0" length="0">
    <dxf>
      <fill>
        <patternFill patternType="solid">
          <bgColor theme="0" tint="-4.9989318521683403E-2"/>
        </patternFill>
      </fill>
    </dxf>
  </rfmt>
  <rfmt sheetId="1" sqref="Y611" start="0" length="0">
    <dxf>
      <fill>
        <patternFill patternType="solid">
          <bgColor theme="0" tint="-4.9989318521683403E-2"/>
        </patternFill>
      </fill>
    </dxf>
  </rfmt>
  <rfmt sheetId="1" sqref="Z611" start="0" length="0">
    <dxf>
      <fill>
        <patternFill patternType="solid">
          <bgColor theme="0" tint="-4.9989318521683403E-2"/>
        </patternFill>
      </fill>
    </dxf>
  </rfmt>
  <rfmt sheetId="1" sqref="AA611" start="0" length="0">
    <dxf>
      <fill>
        <patternFill patternType="solid">
          <bgColor theme="0" tint="-4.9989318521683403E-2"/>
        </patternFill>
      </fill>
    </dxf>
  </rfmt>
  <rfmt sheetId="1" sqref="AB611" start="0" length="0">
    <dxf>
      <fill>
        <patternFill patternType="solid">
          <bgColor theme="0" tint="-4.9989318521683403E-2"/>
        </patternFill>
      </fill>
    </dxf>
  </rfmt>
  <rfmt sheetId="1" sqref="A611:XFD611" start="0" length="0">
    <dxf>
      <fill>
        <patternFill patternType="solid">
          <bgColor theme="0" tint="-4.9989318521683403E-2"/>
        </patternFill>
      </fill>
    </dxf>
  </rfmt>
  <rcc rId="7523" sId="1" odxf="1" dxf="1">
    <nc r="A612" t="inlineStr">
      <is>
        <t>Zone 3</t>
      </is>
    </nc>
    <odxf/>
    <ndxf/>
  </rcc>
  <rcc rId="7524" sId="1" odxf="1" dxf="1">
    <nc r="B612" t="inlineStr">
      <is>
        <t>LoPro S4 HDMI</t>
      </is>
    </nc>
    <odxf/>
    <ndxf/>
  </rcc>
  <rcc rId="7525" sId="1" odxf="1" dxf="1">
    <nc r="C612">
      <v>5.5</v>
    </nc>
    <odxf/>
    <ndxf/>
  </rcc>
  <rcc rId="7526" sId="1" odxf="1" dxf="1">
    <nc r="D612" t="inlineStr">
      <is>
        <t>25-001</t>
      </is>
    </nc>
    <odxf/>
    <ndxf/>
  </rcc>
  <rcc rId="7527" sId="1" odxf="1" dxf="1">
    <nc r="E612" t="inlineStr">
      <is>
        <t>W1027675/1</t>
      </is>
    </nc>
    <odxf/>
    <ndxf/>
  </rcc>
  <rcc rId="7528" sId="1" odxf="1" dxf="1">
    <nc r="F612" t="inlineStr">
      <is>
        <t>VER1/0270-1079</t>
      </is>
    </nc>
    <odxf/>
    <ndxf/>
  </rcc>
  <rcc rId="7529" sId="1" odxf="1" dxf="1">
    <nc r="G612" t="inlineStr">
      <is>
        <t>Non Sterile LoPro S4</t>
      </is>
    </nc>
    <odxf/>
    <ndxf/>
  </rcc>
  <rcc rId="7530" sId="1" odxf="1" dxf="1">
    <nc r="H612">
      <v>75.02</v>
    </nc>
    <odxf/>
    <ndxf/>
  </rcc>
  <rcc rId="7531" sId="1" odxf="1" dxf="1">
    <nc r="I612">
      <v>13.64</v>
    </nc>
    <odxf/>
    <ndxf/>
  </rcc>
  <rcc rId="7532" sId="1" odxf="1" dxf="1">
    <nc r="J612">
      <v>300</v>
    </nc>
    <odxf/>
    <ndxf/>
  </rcc>
  <rcc rId="7533" sId="1" odxf="1" dxf="1">
    <nc r="K612">
      <v>0</v>
    </nc>
    <odxf/>
    <ndxf/>
  </rcc>
  <rcc rId="7534" sId="1" odxf="1" dxf="1" numFmtId="19">
    <nc r="L612">
      <v>46230</v>
    </nc>
    <odxf/>
    <ndxf/>
  </rcc>
  <rcc rId="7535" sId="1" odxf="1" dxf="1" numFmtId="19">
    <nc r="M612">
      <v>46230.583333333336</v>
    </nc>
    <odxf/>
    <ndxf/>
  </rcc>
  <rfmt sheetId="1" sqref="N612" start="0" length="0">
    <dxf/>
  </rfmt>
  <rfmt sheetId="1" sqref="O612" start="0" length="0">
    <dxf/>
  </rfmt>
  <rfmt sheetId="1" sqref="P612" start="0" length="0">
    <dxf/>
  </rfmt>
  <rfmt sheetId="1" sqref="Q612" start="0" length="0">
    <dxf/>
  </rfmt>
  <rfmt sheetId="1" sqref="R612" start="0" length="0">
    <dxf/>
  </rfmt>
  <rfmt sheetId="1" sqref="S612" start="0" length="0">
    <dxf/>
  </rfmt>
  <rfmt sheetId="1" sqref="T612" start="0" length="0">
    <dxf/>
  </rfmt>
  <rfmt sheetId="1" sqref="U612" start="0" length="0">
    <dxf/>
  </rfmt>
  <rfmt sheetId="1" sqref="V612" start="0" length="0">
    <dxf/>
  </rfmt>
  <rfmt sheetId="1" sqref="W612" start="0" length="0">
    <dxf/>
  </rfmt>
  <rfmt sheetId="1" sqref="X612" start="0" length="0">
    <dxf/>
  </rfmt>
  <rfmt sheetId="1" sqref="Y612" start="0" length="0">
    <dxf/>
  </rfmt>
  <rfmt sheetId="1" sqref="Z612" start="0" length="0">
    <dxf/>
  </rfmt>
  <rcc rId="7536" sId="1" odxf="1" dxf="1">
    <nc r="AA612" t="inlineStr">
      <is>
        <t>1</t>
      </is>
    </nc>
    <odxf/>
    <ndxf/>
  </rcc>
  <rcc rId="7537" sId="1" odxf="1" dxf="1">
    <nc r="AB612" t="inlineStr">
      <is>
        <t>0</t>
      </is>
    </nc>
    <odxf/>
    <ndxf/>
  </rcc>
  <rfmt sheetId="1" sqref="A612:XFD612" start="0" length="0">
    <dxf/>
  </rfmt>
  <rcc rId="7538" sId="1" odxf="1" dxf="1">
    <nc r="A613" t="inlineStr">
      <is>
        <t>Zone 3</t>
      </is>
    </nc>
    <odxf/>
    <ndxf/>
  </rcc>
  <rcc rId="7539" sId="1" odxf="1" dxf="1">
    <nc r="B613" t="inlineStr">
      <is>
        <t>LoPro S4 HDMI</t>
      </is>
    </nc>
    <odxf/>
    <ndxf/>
  </rcc>
  <rcc rId="7540" sId="1" odxf="1" dxf="1">
    <nc r="C613">
      <v>5.5</v>
    </nc>
    <odxf/>
    <ndxf/>
  </rcc>
  <rcc rId="7541" sId="1" odxf="1" dxf="1">
    <nc r="D613" t="inlineStr">
      <is>
        <t>25-001</t>
      </is>
    </nc>
    <odxf/>
    <ndxf/>
  </rcc>
  <rcc rId="7542" sId="1" odxf="1" dxf="1">
    <nc r="E613" t="inlineStr">
      <is>
        <t>W1027668/1</t>
      </is>
    </nc>
    <odxf/>
    <ndxf/>
  </rcc>
  <rcc rId="7543" sId="1" odxf="1" dxf="1">
    <nc r="F613" t="inlineStr">
      <is>
        <t>VER1/0270-0939</t>
      </is>
    </nc>
    <odxf/>
    <ndxf/>
  </rcc>
  <rcc rId="7544" sId="1" odxf="1" dxf="1">
    <nc r="G613" t="inlineStr">
      <is>
        <t>LoPro S4 Short Well</t>
      </is>
    </nc>
    <odxf/>
    <ndxf/>
  </rcc>
  <rcc rId="7545" sId="1" odxf="1" dxf="1">
    <nc r="H613">
      <v>149.98500000000001</v>
    </nc>
    <odxf/>
    <ndxf/>
  </rcc>
  <rcc rId="7546" sId="1" odxf="1" dxf="1">
    <nc r="I613">
      <v>27.27</v>
    </nc>
    <odxf/>
    <ndxf/>
  </rcc>
  <rcc rId="7547" sId="1" odxf="1" dxf="1">
    <nc r="J613">
      <v>600</v>
    </nc>
    <odxf/>
    <ndxf/>
  </rcc>
  <rcc rId="7548" sId="1" odxf="1" dxf="1">
    <nc r="K613">
      <v>0</v>
    </nc>
    <odxf/>
    <ndxf/>
  </rcc>
  <rcc rId="7549" sId="1" odxf="1" dxf="1" numFmtId="19">
    <nc r="L613">
      <v>46230</v>
    </nc>
    <odxf/>
    <ndxf/>
  </rcc>
  <rcc rId="7550" sId="1" odxf="1" dxf="1" numFmtId="19">
    <nc r="M613">
      <v>46231.152777777781</v>
    </nc>
    <odxf/>
    <ndxf/>
  </rcc>
  <rfmt sheetId="1" sqref="N613" start="0" length="0">
    <dxf/>
  </rfmt>
  <rfmt sheetId="1" sqref="O613" start="0" length="0">
    <dxf/>
  </rfmt>
  <rfmt sheetId="1" sqref="P613" start="0" length="0">
    <dxf/>
  </rfmt>
  <rfmt sheetId="1" sqref="Q613" start="0" length="0">
    <dxf/>
  </rfmt>
  <rfmt sheetId="1" sqref="R613" start="0" length="0">
    <dxf/>
  </rfmt>
  <rfmt sheetId="1" sqref="S613" start="0" length="0">
    <dxf/>
  </rfmt>
  <rfmt sheetId="1" sqref="T613" start="0" length="0">
    <dxf/>
  </rfmt>
  <rfmt sheetId="1" sqref="U613" start="0" length="0">
    <dxf/>
  </rfmt>
  <rfmt sheetId="1" sqref="V613" start="0" length="0">
    <dxf/>
  </rfmt>
  <rfmt sheetId="1" sqref="W613" start="0" length="0">
    <dxf/>
  </rfmt>
  <rfmt sheetId="1" sqref="X613" start="0" length="0">
    <dxf/>
  </rfmt>
  <rfmt sheetId="1" sqref="Y613" start="0" length="0">
    <dxf/>
  </rfmt>
  <rfmt sheetId="1" sqref="Z613" start="0" length="0">
    <dxf/>
  </rfmt>
  <rcc rId="7551" sId="1" odxf="1" dxf="1">
    <nc r="AA613" t="inlineStr">
      <is>
        <t>1</t>
      </is>
    </nc>
    <odxf/>
    <ndxf/>
  </rcc>
  <rcc rId="7552" sId="1" odxf="1" dxf="1">
    <nc r="AB613" t="inlineStr">
      <is>
        <t>0</t>
      </is>
    </nc>
    <odxf/>
    <ndxf/>
  </rcc>
  <rfmt sheetId="1" sqref="A613:XFD613" start="0" length="0">
    <dxf/>
  </rfmt>
  <rfmt sheetId="1" sqref="A614" start="0" length="0">
    <dxf/>
  </rfmt>
  <rfmt sheetId="1" sqref="B614" start="0" length="0">
    <dxf/>
  </rfmt>
  <rfmt sheetId="1" sqref="C614" start="0" length="0">
    <dxf/>
  </rfmt>
  <rfmt sheetId="1" sqref="D614" start="0" length="0">
    <dxf/>
  </rfmt>
  <rfmt sheetId="1" sqref="E614" start="0" length="0">
    <dxf/>
  </rfmt>
  <rfmt sheetId="1" sqref="F614" start="0" length="0">
    <dxf/>
  </rfmt>
  <rfmt sheetId="1" sqref="G614" start="0" length="0">
    <dxf/>
  </rfmt>
  <rfmt sheetId="1" sqref="H614" start="0" length="0">
    <dxf/>
  </rfmt>
  <rfmt sheetId="1" sqref="I614" start="0" length="0">
    <dxf/>
  </rfmt>
  <rfmt sheetId="1" sqref="J614" start="0" length="0">
    <dxf/>
  </rfmt>
  <rfmt sheetId="1" sqref="K614" start="0" length="0">
    <dxf/>
  </rfmt>
  <rfmt sheetId="1" sqref="L614" start="0" length="0">
    <dxf/>
  </rfmt>
  <rfmt sheetId="1" sqref="M614" start="0" length="0">
    <dxf/>
  </rfmt>
  <rfmt sheetId="1" sqref="N614" start="0" length="0">
    <dxf/>
  </rfmt>
  <rfmt sheetId="1" sqref="O614" start="0" length="0">
    <dxf/>
  </rfmt>
  <rfmt sheetId="1" sqref="P614" start="0" length="0">
    <dxf/>
  </rfmt>
  <rfmt sheetId="1" sqref="Q614" start="0" length="0">
    <dxf/>
  </rfmt>
  <rfmt sheetId="1" sqref="R614" start="0" length="0">
    <dxf/>
  </rfmt>
  <rfmt sheetId="1" sqref="S614" start="0" length="0">
    <dxf/>
  </rfmt>
  <rfmt sheetId="1" sqref="T614" start="0" length="0">
    <dxf/>
  </rfmt>
  <rfmt sheetId="1" sqref="U614" start="0" length="0">
    <dxf/>
  </rfmt>
  <rfmt sheetId="1" sqref="V614" start="0" length="0">
    <dxf/>
  </rfmt>
  <rfmt sheetId="1" sqref="W614" start="0" length="0">
    <dxf/>
  </rfmt>
  <rfmt sheetId="1" sqref="X614" start="0" length="0">
    <dxf/>
  </rfmt>
  <rfmt sheetId="1" sqref="Y614" start="0" length="0">
    <dxf/>
  </rfmt>
  <rfmt sheetId="1" sqref="Z614" start="0" length="0">
    <dxf/>
  </rfmt>
  <rfmt sheetId="1" sqref="AA614" start="0" length="0">
    <dxf/>
  </rfmt>
  <rfmt sheetId="1" sqref="AB614" start="0" length="0">
    <dxf/>
  </rfmt>
  <rfmt sheetId="1" sqref="A614:XFD614" start="0" length="0">
    <dxf/>
  </rfmt>
  <rcc rId="7553" sId="1" odxf="1" dxf="1">
    <nc r="A615" t="inlineStr">
      <is>
        <t>Zone 3</t>
      </is>
    </nc>
    <odxf/>
    <ndxf/>
  </rcc>
  <rcc rId="7554" sId="1" odxf="1" dxf="1">
    <nc r="B615" t="inlineStr">
      <is>
        <t>LoPro S4 HDMI</t>
      </is>
    </nc>
    <odxf/>
    <ndxf/>
  </rcc>
  <rcc rId="7555" sId="1" odxf="1" dxf="1">
    <nc r="C615">
      <v>5.5</v>
    </nc>
    <odxf/>
    <ndxf/>
  </rcc>
  <rcc rId="7556" sId="1" odxf="1" dxf="1">
    <nc r="D615" t="inlineStr">
      <is>
        <t>25-001</t>
      </is>
    </nc>
    <odxf/>
    <ndxf/>
  </rcc>
  <rcc rId="7557" sId="1" odxf="1" dxf="1">
    <nc r="E615" t="inlineStr">
      <is>
        <t>W1028637/1</t>
      </is>
    </nc>
    <odxf/>
    <ndxf/>
  </rcc>
  <rcc rId="7558" sId="1" odxf="1" dxf="1">
    <nc r="F615" t="inlineStr">
      <is>
        <t>VER1/0270-1079</t>
      </is>
    </nc>
    <odxf/>
    <ndxf/>
  </rcc>
  <rcc rId="7559" sId="1" odxf="1" dxf="1">
    <nc r="G615" t="inlineStr">
      <is>
        <t>Non Sterile LoPro S4</t>
      </is>
    </nc>
    <odxf/>
    <ndxf/>
  </rcc>
  <rcc rId="7560" sId="1" odxf="1" dxf="1">
    <nc r="H615">
      <v>75.02</v>
    </nc>
    <odxf/>
    <ndxf/>
  </rcc>
  <rcc rId="7561" sId="1" odxf="1" dxf="1">
    <nc r="I615">
      <v>13.64</v>
    </nc>
    <odxf/>
    <ndxf/>
  </rcc>
  <rcc rId="7562" sId="1" odxf="1" dxf="1">
    <nc r="J615">
      <v>300</v>
    </nc>
    <odxf/>
    <ndxf/>
  </rcc>
  <rcc rId="7563" sId="1" odxf="1" dxf="1">
    <nc r="K615">
      <v>0</v>
    </nc>
    <odxf/>
    <ndxf/>
  </rcc>
  <rcc rId="7564" sId="1" odxf="1" dxf="1" numFmtId="19">
    <nc r="L615">
      <v>46237.958333333336</v>
    </nc>
    <odxf/>
    <ndxf/>
  </rcc>
  <rcc rId="7565" sId="1" odxf="1" dxf="1" numFmtId="19">
    <nc r="M615">
      <v>46238.541666666664</v>
    </nc>
    <odxf/>
    <ndxf/>
  </rcc>
  <rfmt sheetId="1" sqref="N615" start="0" length="0">
    <dxf/>
  </rfmt>
  <rfmt sheetId="1" sqref="O615" start="0" length="0">
    <dxf/>
  </rfmt>
  <rfmt sheetId="1" sqref="P615" start="0" length="0">
    <dxf/>
  </rfmt>
  <rfmt sheetId="1" sqref="Q615" start="0" length="0">
    <dxf/>
  </rfmt>
  <rfmt sheetId="1" sqref="R615" start="0" length="0">
    <dxf/>
  </rfmt>
  <rfmt sheetId="1" sqref="S615" start="0" length="0">
    <dxf/>
  </rfmt>
  <rfmt sheetId="1" sqref="T615" start="0" length="0">
    <dxf/>
  </rfmt>
  <rfmt sheetId="1" sqref="U615" start="0" length="0">
    <dxf/>
  </rfmt>
  <rfmt sheetId="1" sqref="V615" start="0" length="0">
    <dxf/>
  </rfmt>
  <rfmt sheetId="1" sqref="W615" start="0" length="0">
    <dxf/>
  </rfmt>
  <rfmt sheetId="1" sqref="X615" start="0" length="0">
    <dxf/>
  </rfmt>
  <rfmt sheetId="1" sqref="Y615" start="0" length="0">
    <dxf/>
  </rfmt>
  <rfmt sheetId="1" sqref="Z615" start="0" length="0">
    <dxf/>
  </rfmt>
  <rcc rId="7566" sId="1" odxf="1" dxf="1">
    <nc r="AA615" t="inlineStr">
      <is>
        <t>1</t>
      </is>
    </nc>
    <odxf/>
    <ndxf/>
  </rcc>
  <rcc rId="7567" sId="1" odxf="1" dxf="1">
    <nc r="AB615" t="inlineStr">
      <is>
        <t>0</t>
      </is>
    </nc>
    <odxf/>
    <ndxf/>
  </rcc>
  <rfmt sheetId="1" sqref="A615:XFD615" start="0" length="0">
    <dxf/>
  </rfmt>
  <rcc rId="7568" sId="1" odxf="1" dxf="1">
    <nc r="A616" t="inlineStr">
      <is>
        <t>Zone 3</t>
      </is>
    </nc>
    <odxf/>
    <ndxf/>
  </rcc>
  <rcc rId="7569" sId="1" odxf="1" dxf="1">
    <nc r="B616" t="inlineStr">
      <is>
        <t>LoPro S4 HDMI</t>
      </is>
    </nc>
    <odxf/>
    <ndxf/>
  </rcc>
  <rcc rId="7570" sId="1" odxf="1" dxf="1">
    <nc r="C616">
      <v>5.5</v>
    </nc>
    <odxf/>
    <ndxf/>
  </rcc>
  <rcc rId="7571" sId="1" odxf="1" dxf="1">
    <nc r="D616" t="inlineStr">
      <is>
        <t>25-001</t>
      </is>
    </nc>
    <odxf/>
    <ndxf/>
  </rcc>
  <rcc rId="7572" sId="1" odxf="1" dxf="1">
    <nc r="E616" t="inlineStr">
      <is>
        <t>W1028425/1</t>
      </is>
    </nc>
    <odxf/>
    <ndxf/>
  </rcc>
  <rcc rId="7573" sId="1" odxf="1" dxf="1">
    <nc r="F616" t="inlineStr">
      <is>
        <t>VER1/0270-0939</t>
      </is>
    </nc>
    <odxf/>
    <ndxf/>
  </rcc>
  <rcc rId="7574" sId="1" odxf="1" dxf="1">
    <nc r="G616" t="inlineStr">
      <is>
        <t>LoPro S4 Short Well</t>
      </is>
    </nc>
    <odxf/>
    <ndxf/>
  </rcc>
  <rcc rId="7575" sId="1" odxf="1" dxf="1">
    <nc r="H616">
      <v>75.02</v>
    </nc>
    <odxf/>
    <ndxf/>
  </rcc>
  <rcc rId="7576" sId="1" odxf="1" dxf="1">
    <nc r="I616">
      <v>13.64</v>
    </nc>
    <odxf/>
    <ndxf/>
  </rcc>
  <rcc rId="7577" sId="1" odxf="1" dxf="1">
    <nc r="J616">
      <v>300</v>
    </nc>
    <odxf/>
    <ndxf/>
  </rcc>
  <rcc rId="7578" sId="1" odxf="1" dxf="1">
    <nc r="K616">
      <v>0</v>
    </nc>
    <odxf/>
    <ndxf/>
  </rcc>
  <rcc rId="7579" sId="1" odxf="1" dxf="1" numFmtId="19">
    <nc r="L616">
      <v>46237.958333333336</v>
    </nc>
    <odxf/>
    <ndxf/>
  </rcc>
  <rcc rId="7580" sId="1" odxf="1" dxf="1" numFmtId="19">
    <nc r="M616">
      <v>46238.541666666664</v>
    </nc>
    <odxf/>
    <ndxf/>
  </rcc>
  <rfmt sheetId="1" sqref="N616" start="0" length="0">
    <dxf/>
  </rfmt>
  <rfmt sheetId="1" sqref="O616" start="0" length="0">
    <dxf/>
  </rfmt>
  <rfmt sheetId="1" sqref="P616" start="0" length="0">
    <dxf/>
  </rfmt>
  <rfmt sheetId="1" sqref="Q616" start="0" length="0">
    <dxf/>
  </rfmt>
  <rfmt sheetId="1" sqref="R616" start="0" length="0">
    <dxf/>
  </rfmt>
  <rfmt sheetId="1" sqref="S616" start="0" length="0">
    <dxf/>
  </rfmt>
  <rfmt sheetId="1" sqref="T616" start="0" length="0">
    <dxf/>
  </rfmt>
  <rfmt sheetId="1" sqref="U616" start="0" length="0">
    <dxf/>
  </rfmt>
  <rfmt sheetId="1" sqref="V616" start="0" length="0">
    <dxf/>
  </rfmt>
  <rfmt sheetId="1" sqref="W616" start="0" length="0">
    <dxf/>
  </rfmt>
  <rfmt sheetId="1" sqref="X616" start="0" length="0">
    <dxf/>
  </rfmt>
  <rfmt sheetId="1" sqref="Y616" start="0" length="0">
    <dxf/>
  </rfmt>
  <rfmt sheetId="1" sqref="Z616" start="0" length="0">
    <dxf/>
  </rfmt>
  <rcc rId="7581" sId="1" odxf="1" dxf="1">
    <nc r="AA616" t="inlineStr">
      <is>
        <t>1</t>
      </is>
    </nc>
    <odxf/>
    <ndxf/>
  </rcc>
  <rcc rId="7582" sId="1" odxf="1" dxf="1">
    <nc r="AB616" t="inlineStr">
      <is>
        <t>0</t>
      </is>
    </nc>
    <odxf/>
    <ndxf/>
  </rcc>
  <rfmt sheetId="1" sqref="A616:XFD616" start="0" length="0">
    <dxf/>
  </rfmt>
  <rcc rId="7583" sId="1" odxf="1" dxf="1">
    <nc r="A617" t="inlineStr">
      <is>
        <t>Zone 3</t>
      </is>
    </nc>
    <odxf/>
    <ndxf/>
  </rcc>
  <rcc rId="7584" sId="1" odxf="1" dxf="1">
    <nc r="B617" t="inlineStr">
      <is>
        <t>LoPro S4 HDMI</t>
      </is>
    </nc>
    <odxf/>
    <ndxf/>
  </rcc>
  <rcc rId="7585" sId="1" odxf="1" dxf="1">
    <nc r="C617">
      <v>4</v>
    </nc>
    <odxf/>
    <ndxf/>
  </rcc>
  <rfmt sheetId="1" sqref="D617" start="0" length="0">
    <dxf/>
  </rfmt>
  <rcc rId="7586" sId="1" odxf="1" dxf="1">
    <nc r="E617" t="inlineStr">
      <is>
        <t>W1028811/1</t>
      </is>
    </nc>
    <odxf/>
    <ndxf/>
  </rcc>
  <rcc rId="7587" sId="1" odxf="1" dxf="1">
    <nc r="F617" t="inlineStr">
      <is>
        <t>VER1/0270-1151</t>
      </is>
    </nc>
    <odxf/>
    <ndxf/>
  </rcc>
  <rcc rId="7588" sId="1" odxf="1" dxf="1">
    <nc r="G617" t="inlineStr">
      <is>
        <t>QC ECO, MAC S1, NS, GS SPECTRUM BOX-10</t>
      </is>
    </nc>
    <odxf/>
    <ndxf/>
  </rcc>
  <rcc rId="7589" sId="1" odxf="1" dxf="1">
    <nc r="H617">
      <v>100</v>
    </nc>
    <odxf/>
    <ndxf/>
  </rcc>
  <rcc rId="7590" sId="1" odxf="1" dxf="1">
    <nc r="I617">
      <v>25</v>
    </nc>
    <odxf/>
    <ndxf/>
  </rcc>
  <rcc rId="7591" sId="1" odxf="1" dxf="1">
    <nc r="J617">
      <v>300</v>
    </nc>
    <odxf/>
    <ndxf/>
  </rcc>
  <rcc rId="7592" sId="1" odxf="1" dxf="1">
    <nc r="K617">
      <v>0</v>
    </nc>
    <odxf/>
    <ndxf/>
  </rcc>
  <rcc rId="7593" sId="1" odxf="1" dxf="1" numFmtId="19">
    <nc r="L617">
      <v>46238.548611111109</v>
    </nc>
    <odxf/>
    <ndxf/>
  </rcc>
  <rcc rId="7594" sId="1" odxf="1" dxf="1" numFmtId="19">
    <nc r="M617">
      <v>46239.604166666664</v>
    </nc>
    <odxf/>
    <ndxf/>
  </rcc>
  <rfmt sheetId="1" sqref="N617" start="0" length="0">
    <dxf/>
  </rfmt>
  <rfmt sheetId="1" sqref="O617" start="0" length="0">
    <dxf/>
  </rfmt>
  <rfmt sheetId="1" sqref="P617" start="0" length="0">
    <dxf/>
  </rfmt>
  <rfmt sheetId="1" sqref="Q617" start="0" length="0">
    <dxf/>
  </rfmt>
  <rfmt sheetId="1" sqref="R617" start="0" length="0">
    <dxf/>
  </rfmt>
  <rfmt sheetId="1" sqref="S617" start="0" length="0">
    <dxf/>
  </rfmt>
  <rfmt sheetId="1" sqref="T617" start="0" length="0">
    <dxf/>
  </rfmt>
  <rfmt sheetId="1" sqref="U617" start="0" length="0">
    <dxf/>
  </rfmt>
  <rfmt sheetId="1" sqref="V617" start="0" length="0">
    <dxf/>
  </rfmt>
  <rfmt sheetId="1" sqref="W617" start="0" length="0">
    <dxf/>
  </rfmt>
  <rfmt sheetId="1" sqref="X617" start="0" length="0">
    <dxf/>
  </rfmt>
  <rfmt sheetId="1" sqref="Y617" start="0" length="0">
    <dxf/>
  </rfmt>
  <rfmt sheetId="1" sqref="Z617" start="0" length="0">
    <dxf/>
  </rfmt>
  <rcc rId="7595" sId="1" odxf="1" dxf="1">
    <nc r="AA617" t="inlineStr">
      <is>
        <t>1</t>
      </is>
    </nc>
    <odxf/>
    <ndxf/>
  </rcc>
  <rcc rId="7596" sId="1" odxf="1" dxf="1">
    <nc r="AB617" t="inlineStr">
      <is>
        <t>0</t>
      </is>
    </nc>
    <odxf/>
    <ndxf/>
  </rcc>
  <rfmt sheetId="1" sqref="A617:XFD617" start="0" length="0">
    <dxf/>
  </rfmt>
  <rfmt sheetId="1" sqref="A618" start="0" length="0">
    <dxf>
      <fill>
        <patternFill patternType="solid">
          <bgColor theme="0" tint="-4.9989318521683403E-2"/>
        </patternFill>
      </fill>
    </dxf>
  </rfmt>
  <rfmt sheetId="1" sqref="B618" start="0" length="0">
    <dxf>
      <fill>
        <patternFill patternType="solid">
          <bgColor theme="0" tint="-4.9989318521683403E-2"/>
        </patternFill>
      </fill>
    </dxf>
  </rfmt>
  <rfmt sheetId="1" sqref="C618" start="0" length="0">
    <dxf>
      <fill>
        <patternFill patternType="solid">
          <bgColor theme="0" tint="-4.9989318521683403E-2"/>
        </patternFill>
      </fill>
    </dxf>
  </rfmt>
  <rfmt sheetId="1" sqref="D618" start="0" length="0">
    <dxf>
      <fill>
        <patternFill patternType="solid">
          <bgColor theme="0" tint="-4.9989318521683403E-2"/>
        </patternFill>
      </fill>
    </dxf>
  </rfmt>
  <rfmt sheetId="1" sqref="E618" start="0" length="0">
    <dxf>
      <fill>
        <patternFill patternType="solid">
          <bgColor theme="0" tint="-4.9989318521683403E-2"/>
        </patternFill>
      </fill>
    </dxf>
  </rfmt>
  <rfmt sheetId="1" sqref="F618" start="0" length="0">
    <dxf>
      <fill>
        <patternFill patternType="solid">
          <bgColor theme="0" tint="-4.9989318521683403E-2"/>
        </patternFill>
      </fill>
    </dxf>
  </rfmt>
  <rfmt sheetId="1" sqref="G618" start="0" length="0">
    <dxf>
      <fill>
        <patternFill patternType="solid">
          <bgColor theme="0" tint="-4.9989318521683403E-2"/>
        </patternFill>
      </fill>
    </dxf>
  </rfmt>
  <rfmt sheetId="1" sqref="H618" start="0" length="0">
    <dxf>
      <fill>
        <patternFill patternType="solid">
          <bgColor theme="0" tint="-4.9989318521683403E-2"/>
        </patternFill>
      </fill>
    </dxf>
  </rfmt>
  <rfmt sheetId="1" sqref="I618" start="0" length="0">
    <dxf>
      <fill>
        <patternFill patternType="solid">
          <bgColor theme="0" tint="-4.9989318521683403E-2"/>
        </patternFill>
      </fill>
    </dxf>
  </rfmt>
  <rfmt sheetId="1" sqref="J618" start="0" length="0">
    <dxf>
      <fill>
        <patternFill patternType="solid">
          <bgColor theme="0" tint="-4.9989318521683403E-2"/>
        </patternFill>
      </fill>
    </dxf>
  </rfmt>
  <rfmt sheetId="1" sqref="K618" start="0" length="0">
    <dxf>
      <fill>
        <patternFill patternType="solid">
          <bgColor theme="0" tint="-4.9989318521683403E-2"/>
        </patternFill>
      </fill>
    </dxf>
  </rfmt>
  <rfmt sheetId="1" sqref="L618" start="0" length="0">
    <dxf>
      <fill>
        <patternFill patternType="solid">
          <bgColor theme="0" tint="-4.9989318521683403E-2"/>
        </patternFill>
      </fill>
    </dxf>
  </rfmt>
  <rfmt sheetId="1" sqref="M618" start="0" length="0">
    <dxf>
      <fill>
        <patternFill patternType="solid">
          <bgColor theme="0" tint="-4.9989318521683403E-2"/>
        </patternFill>
      </fill>
    </dxf>
  </rfmt>
  <rfmt sheetId="1" sqref="N618" start="0" length="0">
    <dxf>
      <fill>
        <patternFill patternType="solid">
          <bgColor theme="0" tint="-4.9989318521683403E-2"/>
        </patternFill>
      </fill>
    </dxf>
  </rfmt>
  <rfmt sheetId="1" sqref="O618" start="0" length="0">
    <dxf>
      <fill>
        <patternFill patternType="solid">
          <bgColor theme="0" tint="-4.9989318521683403E-2"/>
        </patternFill>
      </fill>
    </dxf>
  </rfmt>
  <rfmt sheetId="1" sqref="P618" start="0" length="0">
    <dxf>
      <fill>
        <patternFill patternType="solid">
          <bgColor theme="0" tint="-4.9989318521683403E-2"/>
        </patternFill>
      </fill>
    </dxf>
  </rfmt>
  <rfmt sheetId="1" sqref="Q618" start="0" length="0">
    <dxf>
      <fill>
        <patternFill patternType="solid">
          <bgColor theme="0" tint="-4.9989318521683403E-2"/>
        </patternFill>
      </fill>
    </dxf>
  </rfmt>
  <rfmt sheetId="1" sqref="R618" start="0" length="0">
    <dxf>
      <fill>
        <patternFill patternType="solid">
          <bgColor theme="0" tint="-4.9989318521683403E-2"/>
        </patternFill>
      </fill>
    </dxf>
  </rfmt>
  <rfmt sheetId="1" sqref="S618" start="0" length="0">
    <dxf>
      <fill>
        <patternFill patternType="solid">
          <bgColor theme="0" tint="-4.9989318521683403E-2"/>
        </patternFill>
      </fill>
    </dxf>
  </rfmt>
  <rfmt sheetId="1" sqref="T618" start="0" length="0">
    <dxf>
      <fill>
        <patternFill patternType="solid">
          <bgColor theme="0" tint="-4.9989318521683403E-2"/>
        </patternFill>
      </fill>
    </dxf>
  </rfmt>
  <rfmt sheetId="1" sqref="U618" start="0" length="0">
    <dxf>
      <fill>
        <patternFill patternType="solid">
          <bgColor theme="0" tint="-4.9989318521683403E-2"/>
        </patternFill>
      </fill>
    </dxf>
  </rfmt>
  <rfmt sheetId="1" sqref="V618" start="0" length="0">
    <dxf>
      <fill>
        <patternFill patternType="solid">
          <bgColor theme="0" tint="-4.9989318521683403E-2"/>
        </patternFill>
      </fill>
    </dxf>
  </rfmt>
  <rfmt sheetId="1" sqref="W618" start="0" length="0">
    <dxf>
      <fill>
        <patternFill patternType="solid">
          <bgColor theme="0" tint="-4.9989318521683403E-2"/>
        </patternFill>
      </fill>
    </dxf>
  </rfmt>
  <rfmt sheetId="1" sqref="X618" start="0" length="0">
    <dxf>
      <fill>
        <patternFill patternType="solid">
          <bgColor theme="0" tint="-4.9989318521683403E-2"/>
        </patternFill>
      </fill>
    </dxf>
  </rfmt>
  <rfmt sheetId="1" sqref="Y618" start="0" length="0">
    <dxf>
      <fill>
        <patternFill patternType="solid">
          <bgColor theme="0" tint="-4.9989318521683403E-2"/>
        </patternFill>
      </fill>
    </dxf>
  </rfmt>
  <rfmt sheetId="1" sqref="Z618" start="0" length="0">
    <dxf>
      <fill>
        <patternFill patternType="solid">
          <bgColor theme="0" tint="-4.9989318521683403E-2"/>
        </patternFill>
      </fill>
    </dxf>
  </rfmt>
  <rfmt sheetId="1" sqref="AA618" start="0" length="0">
    <dxf>
      <fill>
        <patternFill patternType="solid">
          <bgColor theme="0" tint="-4.9989318521683403E-2"/>
        </patternFill>
      </fill>
    </dxf>
  </rfmt>
  <rfmt sheetId="1" sqref="AB618" start="0" length="0">
    <dxf>
      <fill>
        <patternFill patternType="solid">
          <bgColor theme="0" tint="-4.9989318521683403E-2"/>
        </patternFill>
      </fill>
    </dxf>
  </rfmt>
  <rfmt sheetId="1" sqref="A618:XFD618" start="0" length="0">
    <dxf>
      <fill>
        <patternFill patternType="solid">
          <bgColor theme="0" tint="-4.9989318521683403E-2"/>
        </patternFill>
      </fill>
    </dxf>
  </rfmt>
  <rcc rId="7597" sId="1" odxf="1" dxf="1">
    <nc r="A619" t="inlineStr">
      <is>
        <t>Zone 3</t>
      </is>
    </nc>
    <odxf/>
    <ndxf/>
  </rcc>
  <rcc rId="7598" sId="1" odxf="1" dxf="1">
    <nc r="B619" t="inlineStr">
      <is>
        <t>LoPro S4 HDMI</t>
      </is>
    </nc>
    <odxf/>
    <ndxf/>
  </rcc>
  <rcc rId="7599" sId="1" odxf="1" dxf="1">
    <nc r="C619">
      <v>5.5</v>
    </nc>
    <odxf/>
    <ndxf/>
  </rcc>
  <rcc rId="7600" sId="1" odxf="1" dxf="1">
    <nc r="D619" t="inlineStr">
      <is>
        <t>25-001</t>
      </is>
    </nc>
    <odxf/>
    <ndxf/>
  </rcc>
  <rcc rId="7601" sId="1" odxf="1" dxf="1">
    <nc r="E619" t="inlineStr">
      <is>
        <t>W1028638/1</t>
      </is>
    </nc>
    <odxf/>
    <ndxf/>
  </rcc>
  <rcc rId="7602" sId="1" odxf="1" dxf="1">
    <nc r="F619" t="inlineStr">
      <is>
        <t>VER1/0270-1079</t>
      </is>
    </nc>
    <odxf/>
    <ndxf/>
  </rcc>
  <rcc rId="7603" sId="1" odxf="1" dxf="1">
    <nc r="G619" t="inlineStr">
      <is>
        <t>Non Sterile LoPro S4</t>
      </is>
    </nc>
    <odxf/>
    <ndxf/>
  </rcc>
  <rcc rId="7604" sId="1" odxf="1" dxf="1">
    <nc r="H619">
      <v>75.02</v>
    </nc>
    <odxf/>
    <ndxf/>
  </rcc>
  <rcc rId="7605" sId="1" odxf="1" dxf="1">
    <nc r="I619">
      <v>13.64</v>
    </nc>
    <odxf/>
    <ndxf/>
  </rcc>
  <rcc rId="7606" sId="1" odxf="1" dxf="1">
    <nc r="J619">
      <v>300</v>
    </nc>
    <odxf/>
    <ndxf/>
  </rcc>
  <rcc rId="7607" sId="1" odxf="1" dxf="1">
    <nc r="K619">
      <v>0</v>
    </nc>
    <odxf/>
    <ndxf/>
  </rcc>
  <rcc rId="7608" sId="1" odxf="1" dxf="1" numFmtId="19">
    <nc r="L619">
      <v>46244</v>
    </nc>
    <odxf/>
    <ndxf/>
  </rcc>
  <rcc rId="7609" sId="1" odxf="1" dxf="1" numFmtId="19">
    <nc r="M619">
      <v>46244.583333333336</v>
    </nc>
    <odxf/>
    <ndxf/>
  </rcc>
  <rfmt sheetId="1" sqref="N619" start="0" length="0">
    <dxf/>
  </rfmt>
  <rfmt sheetId="1" sqref="O619" start="0" length="0">
    <dxf/>
  </rfmt>
  <rfmt sheetId="1" sqref="P619" start="0" length="0">
    <dxf/>
  </rfmt>
  <rfmt sheetId="1" sqref="Q619" start="0" length="0">
    <dxf/>
  </rfmt>
  <rfmt sheetId="1" sqref="R619" start="0" length="0">
    <dxf/>
  </rfmt>
  <rfmt sheetId="1" sqref="S619" start="0" length="0">
    <dxf/>
  </rfmt>
  <rfmt sheetId="1" sqref="T619" start="0" length="0">
    <dxf/>
  </rfmt>
  <rfmt sheetId="1" sqref="U619" start="0" length="0">
    <dxf/>
  </rfmt>
  <rfmt sheetId="1" sqref="V619" start="0" length="0">
    <dxf/>
  </rfmt>
  <rfmt sheetId="1" sqref="W619" start="0" length="0">
    <dxf/>
  </rfmt>
  <rfmt sheetId="1" sqref="X619" start="0" length="0">
    <dxf/>
  </rfmt>
  <rfmt sheetId="1" sqref="Y619" start="0" length="0">
    <dxf/>
  </rfmt>
  <rfmt sheetId="1" sqref="Z619" start="0" length="0">
    <dxf/>
  </rfmt>
  <rcc rId="7610" sId="1" odxf="1" dxf="1">
    <nc r="AA619" t="inlineStr">
      <is>
        <t>1</t>
      </is>
    </nc>
    <odxf/>
    <ndxf/>
  </rcc>
  <rcc rId="7611" sId="1" odxf="1" dxf="1">
    <nc r="AB619" t="inlineStr">
      <is>
        <t>0</t>
      </is>
    </nc>
    <odxf/>
    <ndxf/>
  </rcc>
  <rfmt sheetId="1" sqref="A619:XFD619" start="0" length="0">
    <dxf/>
  </rfmt>
  <rcc rId="7612" sId="1" odxf="1" dxf="1">
    <nc r="A620" t="inlineStr">
      <is>
        <t>Zone 3</t>
      </is>
    </nc>
    <odxf/>
    <ndxf/>
  </rcc>
  <rcc rId="7613" sId="1" odxf="1" dxf="1">
    <nc r="B620" t="inlineStr">
      <is>
        <t>LoPro S4 HDMI</t>
      </is>
    </nc>
    <odxf/>
    <ndxf/>
  </rcc>
  <rcc rId="7614" sId="1" odxf="1" dxf="1">
    <nc r="C620">
      <v>5.5</v>
    </nc>
    <odxf/>
    <ndxf/>
  </rcc>
  <rcc rId="7615" sId="1" odxf="1" dxf="1">
    <nc r="D620" t="inlineStr">
      <is>
        <t>25-001</t>
      </is>
    </nc>
    <odxf/>
    <ndxf/>
  </rcc>
  <rcc rId="7616" sId="1" odxf="1" dxf="1">
    <nc r="E620" t="inlineStr">
      <is>
        <t>W1028630/1</t>
      </is>
    </nc>
    <odxf/>
    <ndxf/>
  </rcc>
  <rcc rId="7617" sId="1" odxf="1" dxf="1">
    <nc r="F620" t="inlineStr">
      <is>
        <t>VER1/0270-0939</t>
      </is>
    </nc>
    <odxf/>
    <ndxf/>
  </rcc>
  <rcc rId="7618" sId="1" odxf="1" dxf="1">
    <nc r="G620" t="inlineStr">
      <is>
        <t>LoPro S4 Short Well</t>
      </is>
    </nc>
    <odxf/>
    <ndxf/>
  </rcc>
  <rcc rId="7619" sId="1" odxf="1" dxf="1">
    <nc r="H620">
      <v>149.98500000000001</v>
    </nc>
    <odxf/>
    <ndxf/>
  </rcc>
  <rcc rId="7620" sId="1" odxf="1" dxf="1">
    <nc r="I620">
      <v>27.27</v>
    </nc>
    <odxf/>
    <ndxf/>
  </rcc>
  <rcc rId="7621" sId="1" odxf="1" dxf="1">
    <nc r="J620">
      <v>600</v>
    </nc>
    <odxf/>
    <ndxf/>
  </rcc>
  <rcc rId="7622" sId="1" odxf="1" dxf="1">
    <nc r="K620">
      <v>0</v>
    </nc>
    <odxf/>
    <ndxf/>
  </rcc>
  <rcc rId="7623" sId="1" odxf="1" dxf="1" numFmtId="19">
    <nc r="L620">
      <v>46244</v>
    </nc>
    <odxf/>
    <ndxf/>
  </rcc>
  <rcc rId="7624" sId="1" odxf="1" dxf="1" numFmtId="19">
    <nc r="M620">
      <v>46245.152777777781</v>
    </nc>
    <odxf/>
    <ndxf/>
  </rcc>
  <rfmt sheetId="1" sqref="N620" start="0" length="0">
    <dxf/>
  </rfmt>
  <rfmt sheetId="1" sqref="O620" start="0" length="0">
    <dxf/>
  </rfmt>
  <rfmt sheetId="1" sqref="P620" start="0" length="0">
    <dxf/>
  </rfmt>
  <rfmt sheetId="1" sqref="Q620" start="0" length="0">
    <dxf/>
  </rfmt>
  <rfmt sheetId="1" sqref="R620" start="0" length="0">
    <dxf/>
  </rfmt>
  <rfmt sheetId="1" sqref="S620" start="0" length="0">
    <dxf/>
  </rfmt>
  <rfmt sheetId="1" sqref="T620" start="0" length="0">
    <dxf/>
  </rfmt>
  <rfmt sheetId="1" sqref="U620" start="0" length="0">
    <dxf/>
  </rfmt>
  <rfmt sheetId="1" sqref="V620" start="0" length="0">
    <dxf/>
  </rfmt>
  <rfmt sheetId="1" sqref="W620" start="0" length="0">
    <dxf/>
  </rfmt>
  <rfmt sheetId="1" sqref="X620" start="0" length="0">
    <dxf/>
  </rfmt>
  <rfmt sheetId="1" sqref="Y620" start="0" length="0">
    <dxf/>
  </rfmt>
  <rfmt sheetId="1" sqref="Z620" start="0" length="0">
    <dxf/>
  </rfmt>
  <rcc rId="7625" sId="1" odxf="1" dxf="1">
    <nc r="AA620" t="inlineStr">
      <is>
        <t>1</t>
      </is>
    </nc>
    <odxf/>
    <ndxf/>
  </rcc>
  <rcc rId="7626" sId="1" odxf="1" dxf="1">
    <nc r="AB620" t="inlineStr">
      <is>
        <t>0</t>
      </is>
    </nc>
    <odxf/>
    <ndxf/>
  </rcc>
  <rfmt sheetId="1" sqref="A620:XFD620" start="0" length="0">
    <dxf/>
  </rfmt>
  <rcc rId="7627" sId="1" odxf="1" dxf="1">
    <nc r="A621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628" sId="1" odxf="1" dxf="1">
    <nc r="B621" t="inlineStr">
      <is>
        <t>LoPro S4 HDMI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629" sId="1" odxf="1" dxf="1">
    <nc r="C621">
      <v>5.5</v>
    </nc>
    <odxf>
      <border outline="0">
        <bottom/>
      </border>
    </odxf>
    <ndxf>
      <border outline="0">
        <bottom style="medium">
          <color indexed="64"/>
        </bottom>
      </border>
    </ndxf>
  </rcc>
  <rcc rId="7630" sId="1" odxf="1" dxf="1">
    <nc r="D621" t="inlineStr">
      <is>
        <t>25-001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631" sId="1" odxf="1" dxf="1">
    <nc r="E621" t="inlineStr">
      <is>
        <t>W1027669/1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632" sId="1" odxf="1" dxf="1">
    <nc r="F621" t="inlineStr">
      <is>
        <t>VER1/0270-0939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633" sId="1" odxf="1" dxf="1">
    <nc r="G621" t="inlineStr">
      <is>
        <t>LoPro S4 Short Well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634" sId="1" odxf="1" dxf="1">
    <nc r="H621">
      <v>37.51</v>
    </nc>
    <odxf>
      <border outline="0">
        <bottom/>
      </border>
    </odxf>
    <ndxf>
      <border outline="0">
        <bottom style="medium">
          <color indexed="64"/>
        </bottom>
      </border>
    </ndxf>
  </rcc>
  <rcc rId="7635" sId="1" odxf="1" dxf="1">
    <nc r="I621">
      <v>6.82</v>
    </nc>
    <odxf>
      <border outline="0">
        <bottom/>
      </border>
    </odxf>
    <ndxf>
      <border outline="0">
        <bottom style="medium">
          <color indexed="64"/>
        </bottom>
      </border>
    </ndxf>
  </rcc>
  <rcc rId="7636" sId="1" odxf="1" dxf="1">
    <nc r="J621">
      <v>150</v>
    </nc>
    <odxf>
      <border outline="0">
        <bottom/>
      </border>
    </odxf>
    <ndxf>
      <border outline="0">
        <bottom style="medium">
          <color indexed="64"/>
        </bottom>
      </border>
    </ndxf>
  </rcc>
  <rcc rId="7637" sId="1" odxf="1" dxf="1">
    <nc r="K621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7638" sId="1" odxf="1" dxf="1" numFmtId="19">
    <nc r="L621">
      <v>46244.590277777781</v>
    </nc>
    <odxf>
      <border outline="0">
        <bottom/>
      </border>
    </odxf>
    <ndxf>
      <border outline="0">
        <bottom style="medium">
          <color indexed="64"/>
        </bottom>
      </border>
    </ndxf>
  </rcc>
  <rcc rId="7639" sId="1" odxf="1" dxf="1" numFmtId="19">
    <nc r="M621">
      <v>46244.888888888891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621" start="0" length="0">
    <dxf>
      <border outline="0">
        <bottom style="medium">
          <color indexed="64"/>
        </bottom>
      </border>
    </dxf>
  </rfmt>
  <rfmt sheetId="1" sqref="O621" start="0" length="0">
    <dxf>
      <border outline="0">
        <bottom style="medium">
          <color indexed="64"/>
        </bottom>
      </border>
    </dxf>
  </rfmt>
  <rfmt sheetId="1" sqref="P621" start="0" length="0">
    <dxf>
      <border outline="0">
        <bottom style="medium">
          <color indexed="64"/>
        </bottom>
      </border>
    </dxf>
  </rfmt>
  <rfmt sheetId="1" sqref="Q621" start="0" length="0">
    <dxf>
      <border outline="0">
        <bottom style="medium">
          <color indexed="64"/>
        </bottom>
      </border>
    </dxf>
  </rfmt>
  <rfmt sheetId="1" sqref="R621" start="0" length="0">
    <dxf>
      <border outline="0">
        <bottom style="medium">
          <color indexed="64"/>
        </bottom>
      </border>
    </dxf>
  </rfmt>
  <rfmt sheetId="1" sqref="S621" start="0" length="0">
    <dxf>
      <border outline="0">
        <bottom style="medium">
          <color indexed="64"/>
        </bottom>
      </border>
    </dxf>
  </rfmt>
  <rfmt sheetId="1" sqref="T621" start="0" length="0">
    <dxf>
      <border outline="0">
        <bottom style="medium">
          <color indexed="64"/>
        </bottom>
      </border>
    </dxf>
  </rfmt>
  <rfmt sheetId="1" sqref="U621" start="0" length="0">
    <dxf>
      <border outline="0">
        <bottom style="medium">
          <color indexed="64"/>
        </bottom>
      </border>
    </dxf>
  </rfmt>
  <rfmt sheetId="1" sqref="V621" start="0" length="0">
    <dxf>
      <border outline="0">
        <bottom style="medium">
          <color indexed="64"/>
        </bottom>
      </border>
    </dxf>
  </rfmt>
  <rfmt sheetId="1" sqref="W621" start="0" length="0">
    <dxf>
      <border outline="0">
        <bottom style="medium">
          <color indexed="64"/>
        </bottom>
      </border>
    </dxf>
  </rfmt>
  <rfmt sheetId="1" sqref="X621" start="0" length="0">
    <dxf>
      <border outline="0">
        <bottom style="medium">
          <color indexed="64"/>
        </bottom>
      </border>
    </dxf>
  </rfmt>
  <rfmt sheetId="1" sqref="Y621" start="0" length="0">
    <dxf>
      <border outline="0">
        <bottom style="medium">
          <color indexed="64"/>
        </bottom>
      </border>
    </dxf>
  </rfmt>
  <rfmt sheetId="1" sqref="Z621" start="0" length="0">
    <dxf>
      <border outline="0">
        <bottom style="medium">
          <color indexed="64"/>
        </bottom>
      </border>
    </dxf>
  </rfmt>
  <rcc rId="7640" sId="1" odxf="1" dxf="1">
    <nc r="AA621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641" sId="1" odxf="1" dxf="1">
    <nc r="AB621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621:XFD621" start="0" length="0">
    <dxf>
      <border outline="0">
        <bottom style="medium">
          <color indexed="64"/>
        </bottom>
      </border>
    </dxf>
  </rfmt>
  <rrc rId="7642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HDMI Mix</t>
        </is>
      </nc>
    </rcc>
    <rcc rId="0" sId="1">
      <nc r="C622">
        <v>4</v>
      </nc>
    </rcc>
    <rcc rId="0" sId="1" dxf="1">
      <nc r="E622" t="inlineStr">
        <is>
          <t>W1029483/Cel</t>
        </is>
      </nc>
      <ndxf>
        <fill>
          <patternFill patternType="solid">
            <bgColor rgb="FF00B050"/>
          </patternFill>
        </fill>
      </ndxf>
    </rcc>
    <rcc rId="0" sId="1">
      <nc r="F622" t="inlineStr">
        <is>
          <t>VER1/0270-1135</t>
        </is>
      </nc>
    </rcc>
    <rcc rId="0" sId="1">
      <nc r="G622" t="inlineStr">
        <is>
          <t>Spectrum QC Mac S2</t>
        </is>
      </nc>
    </rcc>
    <rcc rId="0" sId="1">
      <nc r="H622">
        <v>1.4</v>
      </nc>
    </rcc>
    <rcc rId="0" sId="1">
      <nc r="I622">
        <v>0.35</v>
      </nc>
    </rcc>
    <rcc rId="0" sId="1">
      <nc r="J622">
        <v>4.2</v>
      </nc>
    </rcc>
    <rcc rId="0" sId="1">
      <nc r="K622">
        <v>0</v>
      </nc>
    </rcc>
    <rcc rId="0" sId="1" dxf="1" numFmtId="19">
      <nc r="L622">
        <v>46208.958333333336</v>
      </nc>
      <ndxf>
        <numFmt numFmtId="164" formatCode="mm\-dd\-yyyy"/>
      </ndxf>
    </rcc>
    <rcc rId="0" sId="1" dxf="1" numFmtId="19">
      <nc r="M622">
        <v>46208.993055555555</v>
      </nc>
      <ndxf>
        <numFmt numFmtId="164" formatCode="mm\-dd\-yyyy"/>
      </ndxf>
    </rcc>
    <rfmt sheetId="1" sqref="N622" start="0" length="0">
      <dxf>
        <fill>
          <patternFill patternType="solid">
            <bgColor rgb="FF00B050"/>
          </patternFill>
        </fill>
      </dxf>
    </rfmt>
    <rfmt sheetId="1" sqref="O622" start="0" length="0">
      <dxf>
        <fill>
          <patternFill patternType="solid">
            <bgColor rgb="FF00B050"/>
          </patternFill>
        </fill>
      </dxf>
    </rfmt>
    <rfmt sheetId="1" sqref="P622" start="0" length="0">
      <dxf>
        <fill>
          <patternFill patternType="solid">
            <bgColor rgb="FF00B050"/>
          </patternFill>
        </fill>
      </dxf>
    </rfmt>
    <rfmt sheetId="1" sqref="Q622" start="0" length="0">
      <dxf>
        <fill>
          <patternFill patternType="solid">
            <bgColor rgb="FF00B050"/>
          </patternFill>
        </fill>
      </dxf>
    </rfmt>
    <rfmt sheetId="1" sqref="R622" start="0" length="0">
      <dxf>
        <fill>
          <patternFill patternType="solid">
            <bgColor rgb="FF00B050"/>
          </patternFill>
        </fill>
      </dxf>
    </rfmt>
    <rfmt sheetId="1" sqref="S622" start="0" length="0">
      <dxf>
        <fill>
          <patternFill patternType="solid">
            <bgColor rgb="FF00B050"/>
          </patternFill>
        </fill>
      </dxf>
    </rfmt>
    <rcc rId="0" sId="1">
      <nc r="AA622" t="inlineStr">
        <is>
          <t>Cel</t>
        </is>
      </nc>
    </rcc>
    <rcc rId="0" sId="1">
      <nc r="AB622" t="inlineStr">
        <is>
          <t>0</t>
        </is>
      </nc>
    </rcc>
  </rrc>
  <rrc rId="7643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HDMI Mix</t>
        </is>
      </nc>
    </rcc>
    <rcc rId="0" sId="1">
      <nc r="C622">
        <v>4</v>
      </nc>
    </rcc>
    <rcc rId="0" sId="1">
      <nc r="D622" t="inlineStr">
        <is>
          <t>16-014</t>
        </is>
      </nc>
    </rcc>
    <rcc rId="0" sId="1" dxf="1">
      <nc r="E622" t="inlineStr">
        <is>
          <t>W1023873/1</t>
        </is>
      </nc>
      <ndxf>
        <fill>
          <patternFill patternType="solid">
            <bgColor theme="8" tint="0.39997558519241921"/>
          </patternFill>
        </fill>
      </ndxf>
    </rcc>
    <rcc rId="0" sId="1">
      <nc r="F622" t="inlineStr">
        <is>
          <t>VER1/0270-0933</t>
        </is>
      </nc>
    </rcc>
    <rcc rId="0" sId="1">
      <nc r="G622" t="inlineStr">
        <is>
          <t>Direct View MAC S4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46209</v>
      </nc>
      <ndxf>
        <numFmt numFmtId="164" formatCode="mm\-dd\-yyyy"/>
      </ndxf>
    </rcc>
    <rcc rId="0" sId="1" dxf="1" numFmtId="19">
      <nc r="M622">
        <v>46210.055555555555</v>
      </nc>
      <ndxf>
        <numFmt numFmtId="164" formatCode="mm\-dd\-yyyy"/>
      </ndxf>
    </rcc>
    <rfmt sheetId="1" sqref="N622" start="0" length="0">
      <dxf>
        <fill>
          <patternFill patternType="solid">
            <bgColor theme="8" tint="0.39997558519241921"/>
          </patternFill>
        </fill>
      </dxf>
    </rfmt>
    <rcc rId="0" sId="1" dxf="1">
      <nc r="O622" t="inlineStr">
        <is>
          <t>P</t>
        </is>
      </nc>
      <ndxf>
        <fill>
          <patternFill patternType="solid">
            <bgColor theme="8" tint="0.39997558519241921"/>
          </patternFill>
        </fill>
      </ndxf>
    </rcc>
    <rfmt sheetId="1" sqref="P622" start="0" length="0">
      <dxf>
        <fill>
          <patternFill patternType="solid">
            <bgColor theme="8" tint="0.39997558519241921"/>
          </patternFill>
        </fill>
      </dxf>
    </rfmt>
    <rfmt sheetId="1" sqref="Q622" start="0" length="0">
      <dxf>
        <fill>
          <patternFill patternType="solid">
            <bgColor theme="8" tint="0.39997558519241921"/>
          </patternFill>
        </fill>
      </dxf>
    </rfmt>
    <rfmt sheetId="1" sqref="R622" start="0" length="0">
      <dxf>
        <fill>
          <patternFill patternType="solid">
            <bgColor theme="8" tint="0.39997558519241921"/>
          </patternFill>
        </fill>
      </dxf>
    </rfmt>
    <rfmt sheetId="1" sqref="S622" start="0" length="0">
      <dxf>
        <fill>
          <patternFill patternType="solid">
            <bgColor theme="8" tint="0.39997558519241921"/>
          </patternFill>
        </fill>
      </dxf>
    </rfmt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44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HDMI Mix</t>
        </is>
      </nc>
    </rcc>
    <rcc rId="0" sId="1">
      <nc r="C622">
        <v>4</v>
      </nc>
    </rcc>
    <rcc rId="0" sId="1">
      <nc r="D622" t="inlineStr">
        <is>
          <t>16-014</t>
        </is>
      </nc>
    </rcc>
    <rcc rId="0" sId="1">
      <nc r="E622" t="inlineStr">
        <is>
          <t>W1029947/1</t>
        </is>
      </nc>
    </rcc>
    <rcc rId="0" sId="1">
      <nc r="F622" t="inlineStr">
        <is>
          <t>VER1/0270-1081</t>
        </is>
      </nc>
    </rcc>
    <rcc rId="0" sId="1">
      <nc r="G622" t="inlineStr">
        <is>
          <t>Non Sterile DVM S4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46210.0625</v>
      </nc>
      <ndxf>
        <numFmt numFmtId="164" formatCode="mm\-dd\-yyyy"/>
      </ndxf>
    </rcc>
    <rcc rId="0" sId="1" dxf="1" numFmtId="19">
      <nc r="M622">
        <v>46211.118055555555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45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HDMI Mix</t>
        </is>
      </nc>
    </rcc>
    <rcc rId="0" sId="1">
      <nc r="C622">
        <v>4</v>
      </nc>
    </rcc>
    <rcc rId="0" sId="1">
      <nc r="D622" t="inlineStr">
        <is>
          <t>15-004</t>
        </is>
      </nc>
    </rcc>
    <rcc rId="0" sId="1">
      <nc r="E622" t="inlineStr">
        <is>
          <t>W1024675/1</t>
        </is>
      </nc>
    </rcc>
    <rcc rId="0" sId="1">
      <nc r="F622" t="inlineStr">
        <is>
          <t>VER1/0270-1076</t>
        </is>
      </nc>
    </rcc>
    <rcc rId="0" sId="1">
      <nc r="G622" t="inlineStr">
        <is>
          <t>Non Sterile LoPro S2</t>
        </is>
      </nc>
    </rcc>
    <rcc rId="0" sId="1">
      <nc r="H622">
        <v>50</v>
      </nc>
    </rcc>
    <rcc rId="0" sId="1">
      <nc r="I622">
        <v>12.5</v>
      </nc>
    </rcc>
    <rcc rId="0" sId="1">
      <nc r="J622">
        <v>150</v>
      </nc>
    </rcc>
    <rcc rId="0" sId="1">
      <nc r="K622">
        <v>0</v>
      </nc>
    </rcc>
    <rcc rId="0" sId="1" dxf="1" numFmtId="19">
      <nc r="L622">
        <v>46216</v>
      </nc>
      <ndxf>
        <numFmt numFmtId="164" formatCode="mm\-dd\-yyyy"/>
      </ndxf>
    </rcc>
    <rcc rId="0" sId="1" dxf="1" numFmtId="19">
      <nc r="M622">
        <v>46216.534722222219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46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HDMI Mix</t>
        </is>
      </nc>
    </rcc>
    <rcc rId="0" sId="1">
      <nc r="C622">
        <v>4</v>
      </nc>
    </rcc>
    <rcc rId="0" sId="1">
      <nc r="D622" t="inlineStr">
        <is>
          <t>18-004</t>
        </is>
      </nc>
    </rcc>
    <rcc rId="0" sId="1">
      <nc r="E622" t="inlineStr">
        <is>
          <t>W1027239/1</t>
        </is>
      </nc>
    </rcc>
    <rcc rId="0" sId="1">
      <nc r="F622" t="inlineStr">
        <is>
          <t>VER1/0270-0962</t>
        </is>
      </nc>
    </rcc>
    <rcc rId="0" sId="1">
      <nc r="G622" t="inlineStr">
        <is>
          <t>LoPro S2.5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46216.541666666664</v>
      </nc>
      <ndxf>
        <numFmt numFmtId="164" formatCode="mm\-dd\-yyyy"/>
      </ndxf>
    </rcc>
    <rcc rId="0" sId="1" dxf="1" numFmtId="19">
      <nc r="M622">
        <v>46217.597222222219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47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HDMI Mix</t>
        </is>
      </nc>
    </rcc>
    <rcc rId="0" sId="1">
      <nc r="C622">
        <v>4</v>
      </nc>
    </rcc>
    <rcc rId="0" sId="1">
      <nc r="E622" t="inlineStr">
        <is>
          <t>W1027991/1</t>
        </is>
      </nc>
    </rcc>
    <rcc rId="0" sId="1">
      <nc r="F622" t="inlineStr">
        <is>
          <t>VER1/0270-0967</t>
        </is>
      </nc>
    </rcc>
    <rcc rId="0" sId="1">
      <nc r="G622" t="inlineStr">
        <is>
          <t>Miller 1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46217.604166666664</v>
      </nc>
      <ndxf>
        <numFmt numFmtId="164" formatCode="mm\-dd\-yyyy"/>
      </ndxf>
    </rcc>
    <rcc rId="0" sId="1" dxf="1" numFmtId="19">
      <nc r="M622">
        <v>46218.659722222219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48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HDMI Mix</t>
        </is>
      </nc>
    </rcc>
    <rcc rId="0" sId="1">
      <nc r="C622">
        <v>4</v>
      </nc>
    </rcc>
    <rcc rId="0" sId="1">
      <nc r="D622" t="inlineStr">
        <is>
          <t>18-005</t>
        </is>
      </nc>
    </rcc>
    <rcc rId="0" sId="1">
      <nc r="E622" t="inlineStr">
        <is>
          <t>W1026668/1</t>
        </is>
      </nc>
    </rcc>
    <rcc rId="0" sId="1">
      <nc r="F622" t="inlineStr">
        <is>
          <t>VER1/0270-0966</t>
        </is>
      </nc>
    </rcc>
    <rcc rId="0" sId="1">
      <nc r="G622" t="inlineStr">
        <is>
          <t>Miller 0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46223</v>
      </nc>
      <ndxf>
        <numFmt numFmtId="164" formatCode="mm\-dd\-yyyy"/>
      </ndxf>
    </rcc>
    <rcc rId="0" sId="1" dxf="1" numFmtId="19">
      <nc r="M622">
        <v>46224.055555555555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49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HDMI Mix</t>
        </is>
      </nc>
    </rcc>
    <rcc rId="0" sId="1">
      <nc r="C622">
        <v>4</v>
      </nc>
    </rcc>
    <rcc rId="0" sId="1">
      <nc r="D622" t="inlineStr">
        <is>
          <t>16-013</t>
        </is>
      </nc>
    </rcc>
    <rcc rId="0" sId="1">
      <nc r="E622" t="inlineStr">
        <is>
          <t>W1030173/1</t>
        </is>
      </nc>
    </rcc>
    <rcc rId="0" sId="1">
      <nc r="F622" t="inlineStr">
        <is>
          <t>VER1/0270-1080</t>
        </is>
      </nc>
    </rcc>
    <rcc rId="0" sId="1">
      <nc r="G622" t="inlineStr">
        <is>
          <t>Non Sterile DVM S3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46224.0625</v>
      </nc>
      <ndxf>
        <numFmt numFmtId="164" formatCode="mm\-dd\-yyyy"/>
      </ndxf>
    </rcc>
    <rcc rId="0" sId="1" dxf="1" numFmtId="19">
      <nc r="M622">
        <v>46225.118055555555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50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HDMI Mix</t>
        </is>
      </nc>
    </rcc>
    <rcc rId="0" sId="1">
      <nc r="C622">
        <v>4</v>
      </nc>
    </rcc>
    <rcc rId="0" sId="1">
      <nc r="D622" t="inlineStr">
        <is>
          <t>16-013</t>
        </is>
      </nc>
    </rcc>
    <rcc rId="0" sId="1">
      <nc r="E622" t="inlineStr">
        <is>
          <t>W1027988/1</t>
        </is>
      </nc>
    </rcc>
    <rcc rId="0" sId="1">
      <nc r="F622" t="inlineStr">
        <is>
          <t>VER1/0270-0932</t>
        </is>
      </nc>
    </rcc>
    <rcc rId="0" sId="1">
      <nc r="G622" t="inlineStr">
        <is>
          <t>Direct View MAC S3</t>
        </is>
      </nc>
    </rcc>
    <rcc rId="0" sId="1">
      <nc r="H622">
        <v>150</v>
      </nc>
    </rcc>
    <rcc rId="0" sId="1">
      <nc r="I622">
        <v>37.5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46230</v>
      </nc>
      <ndxf>
        <numFmt numFmtId="164" formatCode="mm\-dd\-yyyy"/>
      </ndxf>
    </rcc>
    <rcc rId="0" sId="1" dxf="1" numFmtId="19">
      <nc r="M622">
        <v>46231.576388888891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51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3</t>
        </is>
      </nc>
    </rcc>
    <rcc rId="0" sId="1">
      <nc r="C622">
        <v>4</v>
      </nc>
    </rcc>
    <rcc rId="0" sId="1">
      <nc r="D622" t="inlineStr">
        <is>
          <t>20-032</t>
        </is>
      </nc>
    </rcc>
    <rcc rId="0" sId="1">
      <nc r="E622" t="inlineStr">
        <is>
          <t>W1029028/1</t>
        </is>
      </nc>
    </rcc>
    <rcc rId="0" sId="1">
      <nc r="F622" t="inlineStr">
        <is>
          <t>VER1/0270-1147</t>
        </is>
      </nc>
    </rcc>
    <rcc rId="0" sId="1">
      <nc r="G622" t="inlineStr">
        <is>
          <t>QC ECO ,MAC S3, NS, GS SPECTRUM BOX-10</t>
        </is>
      </nc>
    </rcc>
    <rcc rId="0" sId="1">
      <nc r="H622">
        <v>100</v>
      </nc>
    </rcc>
    <rcc rId="0" sId="1">
      <nc r="I622">
        <v>12.5</v>
      </nc>
    </rcc>
    <rcc rId="0" sId="1">
      <nc r="J622">
        <v>300</v>
      </nc>
    </rcc>
    <rcc rId="0" sId="1">
      <nc r="K622">
        <v>150</v>
      </nc>
    </rcc>
    <rcc rId="0" sId="1" dxf="1" numFmtId="19">
      <nc r="L622">
        <v>46210.458333333336</v>
      </nc>
      <ndxf>
        <numFmt numFmtId="164" formatCode="mm\-dd\-yyyy"/>
      </ndxf>
    </rcc>
    <rcc rId="0" sId="1" dxf="1" numFmtId="19">
      <nc r="M622">
        <v>46210.972222222219</v>
      </nc>
      <ndxf>
        <numFmt numFmtId="164" formatCode="mm\-dd\-yyyy"/>
      </ndxf>
    </rcc>
    <rcc rId="0" sId="1" dxf="1">
      <nc r="O622" t="inlineStr">
        <is>
          <t>P</t>
        </is>
      </nc>
      <ndxf>
        <fill>
          <patternFill patternType="solid">
            <bgColor rgb="FF00B050"/>
          </patternFill>
        </fill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52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3</t>
        </is>
      </nc>
    </rcc>
    <rcc rId="0" sId="1">
      <nc r="C622">
        <v>4</v>
      </nc>
    </rcc>
    <rcc rId="0" sId="1">
      <nc r="D622" t="inlineStr">
        <is>
          <t>20-032</t>
        </is>
      </nc>
    </rcc>
    <rcc rId="0" sId="1" dxf="1">
      <nc r="E622" t="inlineStr">
        <is>
          <t>W1030147/1</t>
        </is>
      </nc>
      <ndxf>
        <fill>
          <patternFill patternType="solid">
            <bgColor theme="8" tint="0.39997558519241921"/>
          </patternFill>
        </fill>
      </ndxf>
    </rcc>
    <rcc rId="0" sId="1">
      <nc r="F622" t="inlineStr">
        <is>
          <t>VER1/0270-1147</t>
        </is>
      </nc>
    </rcc>
    <rcc rId="0" sId="1">
      <nc r="G622" t="inlineStr">
        <is>
          <t>QC ECO ,MAC S3, NS, GS SPECTRUM BOX-10</t>
        </is>
      </nc>
    </rcc>
    <rcc rId="0" sId="1">
      <nc r="H622">
        <v>150</v>
      </nc>
    </rcc>
    <rcc rId="0" sId="1">
      <nc r="I622">
        <v>37.5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46210.979166666664</v>
      </nc>
      <ndxf>
        <numFmt numFmtId="164" formatCode="mm\-dd\-yyyy"/>
      </ndxf>
    </rcc>
    <rcc rId="0" sId="1" dxf="1" numFmtId="19">
      <nc r="M622">
        <v>46212.555555555555</v>
      </nc>
      <ndxf>
        <numFmt numFmtId="164" formatCode="mm\-dd\-yyyy"/>
      </ndxf>
    </rcc>
    <rfmt sheetId="1" sqref="N622" start="0" length="0">
      <dxf>
        <fill>
          <patternFill patternType="solid">
            <bgColor theme="8" tint="0.39997558519241921"/>
          </patternFill>
        </fill>
      </dxf>
    </rfmt>
    <rcc rId="0" sId="1" dxf="1">
      <nc r="O622" t="inlineStr">
        <is>
          <t>P</t>
        </is>
      </nc>
      <ndxf>
        <fill>
          <patternFill patternType="solid">
            <bgColor theme="8" tint="0.39997558519241921"/>
          </patternFill>
        </fill>
      </ndxf>
    </rcc>
    <rfmt sheetId="1" sqref="P622" start="0" length="0">
      <dxf>
        <fill>
          <patternFill patternType="solid">
            <bgColor theme="8" tint="0.39997558519241921"/>
          </patternFill>
        </fill>
      </dxf>
    </rfmt>
    <rfmt sheetId="1" sqref="Q622" start="0" length="0">
      <dxf>
        <fill>
          <patternFill patternType="solid">
            <bgColor theme="8" tint="0.39997558519241921"/>
          </patternFill>
        </fill>
      </dxf>
    </rfmt>
    <rfmt sheetId="1" sqref="R622" start="0" length="0">
      <dxf>
        <fill>
          <patternFill patternType="solid">
            <bgColor theme="8" tint="0.39997558519241921"/>
          </patternFill>
        </fill>
      </dxf>
    </rfmt>
    <rfmt sheetId="1" sqref="S622" start="0" length="0">
      <dxf>
        <fill>
          <patternFill patternType="solid">
            <bgColor theme="8" tint="0.39997558519241921"/>
          </patternFill>
        </fill>
      </dxf>
    </rfmt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53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3</t>
        </is>
      </nc>
    </rcc>
    <rcc rId="0" sId="1">
      <nc r="C622">
        <v>4</v>
      </nc>
    </rcc>
    <rcc rId="0" sId="1">
      <nc r="D622" t="inlineStr">
        <is>
          <t>20-032</t>
        </is>
      </nc>
    </rcc>
    <rcc rId="0" sId="1">
      <nc r="E622" t="inlineStr">
        <is>
          <t>W1030162/1</t>
        </is>
      </nc>
    </rcc>
    <rcc rId="0" sId="1">
      <nc r="F622" t="inlineStr">
        <is>
          <t>VER1/0270-1147</t>
        </is>
      </nc>
    </rcc>
    <rcc rId="0" sId="1">
      <nc r="G622" t="inlineStr">
        <is>
          <t>QC ECO ,MAC S3, NS, GS SPECTRUM BOX-10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46212.5625</v>
      </nc>
      <ndxf>
        <numFmt numFmtId="164" formatCode="mm\-dd\-yyyy"/>
      </ndxf>
    </rcc>
    <rcc rId="0" sId="1" dxf="1" numFmtId="19">
      <nc r="M622">
        <v>46213.618055555555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54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3</t>
        </is>
      </nc>
    </rcc>
    <rcc rId="0" sId="1">
      <nc r="C622">
        <v>4</v>
      </nc>
    </rcc>
    <rcc rId="0" sId="1">
      <nc r="D622" t="inlineStr">
        <is>
          <t>20-032</t>
        </is>
      </nc>
    </rcc>
    <rcc rId="0" sId="1">
      <nc r="E622" t="inlineStr">
        <is>
          <t>W1029029/1</t>
        </is>
      </nc>
    </rcc>
    <rcc rId="0" sId="1">
      <nc r="F622" t="inlineStr">
        <is>
          <t>VER1/0270-1147</t>
        </is>
      </nc>
    </rcc>
    <rcc rId="0" sId="1">
      <nc r="G622" t="inlineStr">
        <is>
          <t>QC ECO ,MAC S3, NS, GS SPECTRUM BOX-10</t>
        </is>
      </nc>
    </rcc>
    <rcc rId="0" sId="1">
      <nc r="H622">
        <v>150</v>
      </nc>
    </rcc>
    <rcc rId="0" sId="1">
      <nc r="I622">
        <v>37.5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46216</v>
      </nc>
      <ndxf>
        <numFmt numFmtId="164" formatCode="mm\-dd\-yyyy"/>
      </ndxf>
    </rcc>
    <rcc rId="0" sId="1" dxf="1" numFmtId="19">
      <nc r="M622">
        <v>46217.576388888891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55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3</t>
        </is>
      </nc>
    </rcc>
    <rcc rId="0" sId="1">
      <nc r="C622">
        <v>4</v>
      </nc>
    </rcc>
    <rcc rId="0" sId="1">
      <nc r="D622" t="inlineStr">
        <is>
          <t>20-032</t>
        </is>
      </nc>
    </rcc>
    <rcc rId="0" sId="1">
      <nc r="E622" t="inlineStr">
        <is>
          <t>W1029675/1</t>
        </is>
      </nc>
    </rcc>
    <rcc rId="0" sId="1">
      <nc r="F622" t="inlineStr">
        <is>
          <t>VER1/0270-1147</t>
        </is>
      </nc>
    </rcc>
    <rcc rId="0" sId="1">
      <nc r="G622" t="inlineStr">
        <is>
          <t>QC ECO ,MAC S3, NS, GS SPECTRUM BOX-10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46217.583333333336</v>
      </nc>
      <ndxf>
        <numFmt numFmtId="164" formatCode="mm\-dd\-yyyy"/>
      </ndxf>
    </rcc>
    <rcc rId="0" sId="1" dxf="1" numFmtId="19">
      <nc r="M622">
        <v>46218.638888888891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56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3</t>
        </is>
      </nc>
    </rcc>
    <rcc rId="0" sId="1">
      <nc r="C622">
        <v>4</v>
      </nc>
    </rcc>
    <rcc rId="0" sId="1">
      <nc r="D622" t="inlineStr">
        <is>
          <t>20-032</t>
        </is>
      </nc>
    </rcc>
    <rcc rId="0" sId="1">
      <nc r="E622" t="inlineStr">
        <is>
          <t>W1027536/1</t>
        </is>
      </nc>
    </rcc>
    <rcc rId="0" sId="1">
      <nc r="F622" t="inlineStr">
        <is>
          <t>VER1/0270-1147</t>
        </is>
      </nc>
    </rcc>
    <rcc rId="0" sId="1">
      <nc r="G622" t="inlineStr">
        <is>
          <t>QC ECO ,MAC S3, NS, GS SPECTRUM BOX-10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46219.645833333336</v>
      </nc>
      <ndxf>
        <numFmt numFmtId="164" formatCode="mm\-dd\-yyyy"/>
      </ndxf>
    </rcc>
    <rcc rId="0" sId="1" dxf="1" numFmtId="19">
      <nc r="M622">
        <v>46222.993055555555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57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3</t>
        </is>
      </nc>
    </rcc>
    <rcc rId="0" sId="1">
      <nc r="C622">
        <v>4</v>
      </nc>
    </rcc>
    <rcc rId="0" sId="1">
      <nc r="D622" t="inlineStr">
        <is>
          <t>20-032</t>
        </is>
      </nc>
    </rcc>
    <rcc rId="0" sId="1">
      <nc r="E622" t="inlineStr">
        <is>
          <t>W1030027/1</t>
        </is>
      </nc>
    </rcc>
    <rcc rId="0" sId="1">
      <nc r="F622" t="inlineStr">
        <is>
          <t>VER1/0270-1085</t>
        </is>
      </nc>
    </rcc>
    <rcc rId="0" sId="1">
      <nc r="G622" t="inlineStr">
        <is>
          <t>Spectrum QC MACS3</t>
        </is>
      </nc>
    </rcc>
    <rcc rId="0" sId="1">
      <nc r="H622">
        <v>150</v>
      </nc>
    </rcc>
    <rcc rId="0" sId="1">
      <nc r="I622">
        <v>37.5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46223</v>
      </nc>
      <ndxf>
        <numFmt numFmtId="164" formatCode="mm\-dd\-yyyy"/>
      </ndxf>
    </rcc>
    <rcc rId="0" sId="1" dxf="1" numFmtId="19">
      <nc r="M622">
        <v>46224.576388888891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58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3</t>
        </is>
      </nc>
    </rcc>
    <rcc rId="0" sId="1">
      <nc r="C622">
        <v>4</v>
      </nc>
    </rcc>
    <rcc rId="0" sId="1">
      <nc r="D622" t="inlineStr">
        <is>
          <t>20-032</t>
        </is>
      </nc>
    </rcc>
    <rcc rId="0" sId="1">
      <nc r="E622" t="inlineStr">
        <is>
          <t>W1030028/1</t>
        </is>
      </nc>
    </rcc>
    <rcc rId="0" sId="1">
      <nc r="F622" t="inlineStr">
        <is>
          <t>VER1/0270-1085</t>
        </is>
      </nc>
    </rcc>
    <rcc rId="0" sId="1">
      <nc r="G622" t="inlineStr">
        <is>
          <t>Spectrum QC MACS3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46224.583333333336</v>
      </nc>
      <ndxf>
        <numFmt numFmtId="164" formatCode="mm\-dd\-yyyy"/>
      </ndxf>
    </rcc>
    <rcc rId="0" sId="1" dxf="1" numFmtId="19">
      <nc r="M622">
        <v>46225.638888888891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59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3</t>
        </is>
      </nc>
    </rcc>
    <rcc rId="0" sId="1">
      <nc r="C622">
        <v>4</v>
      </nc>
    </rcc>
    <rcc rId="0" sId="1">
      <nc r="D622" t="inlineStr">
        <is>
          <t>20-032</t>
        </is>
      </nc>
    </rcc>
    <rcc rId="0" sId="1">
      <nc r="E622" t="inlineStr">
        <is>
          <t>W1026626/1</t>
        </is>
      </nc>
    </rcc>
    <rcc rId="0" sId="1">
      <nc r="F622" t="inlineStr">
        <is>
          <t>VER1/0270-1147</t>
        </is>
      </nc>
    </rcc>
    <rcc rId="0" sId="1">
      <nc r="G622" t="inlineStr">
        <is>
          <t>QC ECO ,MAC S3, NS, GS SPECTRUM BOX-10</t>
        </is>
      </nc>
    </rcc>
    <rcc rId="0" sId="1">
      <nc r="H622">
        <v>150</v>
      </nc>
    </rcc>
    <rcc rId="0" sId="1">
      <nc r="I622">
        <v>37.5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46226.125</v>
      </nc>
      <ndxf>
        <numFmt numFmtId="164" formatCode="mm\-dd\-yyyy"/>
      </ndxf>
    </rcc>
    <rcc rId="0" sId="1" dxf="1" numFmtId="19">
      <nc r="M622">
        <v>46229.993055555555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60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4</t>
        </is>
      </nc>
    </rcc>
    <rcc rId="0" sId="1">
      <nc r="C622">
        <v>4</v>
      </nc>
    </rcc>
    <rcc rId="0" sId="1">
      <nc r="D622" t="inlineStr">
        <is>
          <t>20-033</t>
        </is>
      </nc>
    </rcc>
    <rcc rId="0" sId="1">
      <nc r="E622" t="inlineStr">
        <is>
          <t>W1027575/1</t>
        </is>
      </nc>
    </rcc>
    <rcc rId="0" sId="1">
      <nc r="F622" t="inlineStr">
        <is>
          <t>VER1/0270-1086</t>
        </is>
      </nc>
    </rcc>
    <rcc rId="0" sId="1">
      <nc r="G622" t="inlineStr">
        <is>
          <t>Spectrum QC MAC S4</t>
        </is>
      </nc>
    </rcc>
    <rcc rId="0" sId="1">
      <nc r="H622">
        <v>92.32</v>
      </nc>
    </rcc>
    <rcc rId="0" sId="1">
      <nc r="I622">
        <v>23.08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46208.958333333336</v>
      </nc>
      <ndxf>
        <numFmt numFmtId="164" formatCode="mm\-dd\-yyyy"/>
      </ndxf>
    </rcc>
    <rcc rId="0" sId="1" dxf="1" numFmtId="19">
      <nc r="M622">
        <v>46209.9375</v>
      </nc>
      <ndxf>
        <numFmt numFmtId="164" formatCode="mm\-dd\-yyyy"/>
      </ndxf>
    </rcc>
    <rcc rId="0" sId="1" dxf="1">
      <nc r="O622" t="inlineStr">
        <is>
          <t>P</t>
        </is>
      </nc>
      <ndxf>
        <fill>
          <patternFill patternType="solid">
            <bgColor rgb="FF00B050"/>
          </patternFill>
        </fill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61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4</t>
        </is>
      </nc>
    </rcc>
    <rcc rId="0" sId="1">
      <nc r="C622">
        <v>4</v>
      </nc>
    </rcc>
    <rcc rId="0" sId="1">
      <nc r="D622" t="inlineStr">
        <is>
          <t>20-033</t>
        </is>
      </nc>
    </rcc>
    <rcc rId="0" sId="1">
      <nc r="E622" t="inlineStr">
        <is>
          <t>W1026197/1</t>
        </is>
      </nc>
    </rcc>
    <rcc rId="0" sId="1">
      <nc r="F622" t="inlineStr">
        <is>
          <t>VER1/0270-1148</t>
        </is>
      </nc>
    </rcc>
    <rcc rId="0" sId="1">
      <nc r="G622" t="inlineStr">
        <is>
          <t>QC ECO ,MAC S4, NS, GS SPECTRUM BOX-10</t>
        </is>
      </nc>
    </rcc>
    <rcc rId="0" sId="1">
      <nc r="H622">
        <v>138.47999999999999</v>
      </nc>
    </rcc>
    <rcc rId="0" sId="1">
      <nc r="I622">
        <v>34.619999999999997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46209.944444444445</v>
      </nc>
      <ndxf>
        <numFmt numFmtId="164" formatCode="mm\-dd\-yyyy"/>
      </ndxf>
    </rcc>
    <rcc rId="0" sId="1" dxf="1" numFmtId="19">
      <nc r="M622">
        <v>46211.402777777781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62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4</t>
        </is>
      </nc>
    </rcc>
    <rcc rId="0" sId="1">
      <nc r="C622">
        <v>4</v>
      </nc>
    </rcc>
    <rcc rId="0" sId="1">
      <nc r="D622" t="inlineStr">
        <is>
          <t>20-033</t>
        </is>
      </nc>
    </rcc>
    <rcc rId="0" sId="1" dxf="1">
      <nc r="E622" t="inlineStr">
        <is>
          <t>W1029033/1</t>
        </is>
      </nc>
      <ndxf>
        <fill>
          <patternFill patternType="solid">
            <bgColor theme="8" tint="0.39997558519241921"/>
          </patternFill>
        </fill>
      </ndxf>
    </rcc>
    <rcc rId="0" sId="1">
      <nc r="F622" t="inlineStr">
        <is>
          <t>VER1/0270-1148</t>
        </is>
      </nc>
    </rcc>
    <rcc rId="0" sId="1">
      <nc r="G622" t="inlineStr">
        <is>
          <t>QC ECO ,MAC S4, NS, GS SPECTRUM BOX-10</t>
        </is>
      </nc>
    </rcc>
    <rcc rId="0" sId="1">
      <nc r="H622">
        <v>138.47999999999999</v>
      </nc>
    </rcc>
    <rcc rId="0" sId="1">
      <nc r="I622">
        <v>34.619999999999997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46212.909722222219</v>
      </nc>
      <ndxf>
        <numFmt numFmtId="164" formatCode="mm\-dd\-yyyy"/>
      </ndxf>
    </rcc>
    <rcc rId="0" sId="1" dxf="1" numFmtId="19">
      <nc r="M622">
        <v>46216.368055555555</v>
      </nc>
      <ndxf>
        <numFmt numFmtId="164" formatCode="mm\-dd\-yyyy"/>
      </ndxf>
    </rcc>
    <rfmt sheetId="1" sqref="N622" start="0" length="0">
      <dxf>
        <fill>
          <patternFill patternType="solid">
            <bgColor theme="8" tint="0.39997558519241921"/>
          </patternFill>
        </fill>
      </dxf>
    </rfmt>
    <rcc rId="0" sId="1" dxf="1">
      <nc r="O622" t="inlineStr">
        <is>
          <t>P</t>
        </is>
      </nc>
      <ndxf>
        <fill>
          <patternFill patternType="solid">
            <bgColor theme="8" tint="0.39997558519241921"/>
          </patternFill>
        </fill>
      </ndxf>
    </rcc>
    <rfmt sheetId="1" sqref="P622" start="0" length="0">
      <dxf>
        <fill>
          <patternFill patternType="solid">
            <bgColor theme="8" tint="0.39997558519241921"/>
          </patternFill>
        </fill>
      </dxf>
    </rfmt>
    <rfmt sheetId="1" sqref="Q622" start="0" length="0">
      <dxf>
        <fill>
          <patternFill patternType="solid">
            <bgColor theme="8" tint="0.39997558519241921"/>
          </patternFill>
        </fill>
      </dxf>
    </rfmt>
    <rfmt sheetId="1" sqref="R622" start="0" length="0">
      <dxf>
        <fill>
          <patternFill patternType="solid">
            <bgColor theme="8" tint="0.39997558519241921"/>
          </patternFill>
        </fill>
      </dxf>
    </rfmt>
    <rfmt sheetId="1" sqref="S622" start="0" length="0">
      <dxf>
        <fill>
          <patternFill patternType="solid">
            <bgColor theme="8" tint="0.39997558519241921"/>
          </patternFill>
        </fill>
      </dxf>
    </rfmt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63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4</t>
        </is>
      </nc>
    </rcc>
    <rcc rId="0" sId="1">
      <nc r="C622">
        <v>4</v>
      </nc>
    </rcc>
    <rcc rId="0" sId="1">
      <nc r="D622" t="inlineStr">
        <is>
          <t>20-033</t>
        </is>
      </nc>
    </rcc>
    <rcc rId="0" sId="1">
      <nc r="E622" t="inlineStr">
        <is>
          <t>W1029034/1</t>
        </is>
      </nc>
    </rcc>
    <rcc rId="0" sId="1">
      <nc r="F622" t="inlineStr">
        <is>
          <t>VER1/0270-1086</t>
        </is>
      </nc>
    </rcc>
    <rcc rId="0" sId="1">
      <nc r="G622" t="inlineStr">
        <is>
          <t>Spectrum QC MAC S4</t>
        </is>
      </nc>
    </rcc>
    <rcc rId="0" sId="1">
      <nc r="H622">
        <v>138.47999999999999</v>
      </nc>
    </rcc>
    <rcc rId="0" sId="1">
      <nc r="I622">
        <v>34.619999999999997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46216.375</v>
      </nc>
      <ndxf>
        <numFmt numFmtId="164" formatCode="mm\-dd\-yyyy"/>
      </ndxf>
    </rcc>
    <rcc rId="0" sId="1" dxf="1" numFmtId="19">
      <nc r="M622">
        <v>46217.833333333336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64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4</t>
        </is>
      </nc>
    </rcc>
    <rcc rId="0" sId="1">
      <nc r="C622">
        <v>4</v>
      </nc>
    </rcc>
    <rcc rId="0" sId="1">
      <nc r="D622" t="inlineStr">
        <is>
          <t>20-033</t>
        </is>
      </nc>
    </rcc>
    <rcc rId="0" sId="1">
      <nc r="E622" t="inlineStr">
        <is>
          <t>W1029653/1</t>
        </is>
      </nc>
    </rcc>
    <rcc rId="0" sId="1">
      <nc r="F622" t="inlineStr">
        <is>
          <t>VER1/0270-1086</t>
        </is>
      </nc>
    </rcc>
    <rcc rId="0" sId="1">
      <nc r="G622" t="inlineStr">
        <is>
          <t>Spectrum QC MAC S4</t>
        </is>
      </nc>
    </rcc>
    <rcc rId="0" sId="1">
      <nc r="H622">
        <v>138.47999999999999</v>
      </nc>
    </rcc>
    <rcc rId="0" sId="1">
      <nc r="I622">
        <v>34.619999999999997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46217.840277777781</v>
      </nc>
      <ndxf>
        <numFmt numFmtId="164" formatCode="mm\-dd\-yyyy"/>
      </ndxf>
    </rcc>
    <rcc rId="0" sId="1" dxf="1" numFmtId="19">
      <nc r="M622">
        <v>46219.298611111109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65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4</t>
        </is>
      </nc>
    </rcc>
    <rcc rId="0" sId="1">
      <nc r="C622">
        <v>4</v>
      </nc>
    </rcc>
    <rcc rId="0" sId="1">
      <nc r="D622" t="inlineStr">
        <is>
          <t>20-033</t>
        </is>
      </nc>
    </rcc>
    <rcc rId="0" sId="1">
      <nc r="E622" t="inlineStr">
        <is>
          <t>W1027577/1</t>
        </is>
      </nc>
    </rcc>
    <rcc rId="0" sId="1">
      <nc r="F622" t="inlineStr">
        <is>
          <t>VER1/0270-1086</t>
        </is>
      </nc>
    </rcc>
    <rcc rId="0" sId="1">
      <nc r="G622" t="inlineStr">
        <is>
          <t>Spectrum QC MAC S4</t>
        </is>
      </nc>
    </rcc>
    <rcc rId="0" sId="1">
      <nc r="H622">
        <v>138.47999999999999</v>
      </nc>
    </rcc>
    <rcc rId="0" sId="1">
      <nc r="I622">
        <v>34.619999999999997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46219.305555555555</v>
      </nc>
      <ndxf>
        <numFmt numFmtId="164" formatCode="mm\-dd\-yyyy"/>
      </ndxf>
    </rcc>
    <rcc rId="0" sId="1" dxf="1" numFmtId="19">
      <nc r="M622">
        <v>46220.763888888891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66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4</t>
        </is>
      </nc>
    </rcc>
    <rcc rId="0" sId="1">
      <nc r="C622">
        <v>4</v>
      </nc>
    </rcc>
    <rcc rId="0" sId="1">
      <nc r="D622" t="inlineStr">
        <is>
          <t>20-033</t>
        </is>
      </nc>
    </rcc>
    <rcc rId="0" sId="1">
      <nc r="E622" t="inlineStr">
        <is>
          <t>W1027193/1</t>
        </is>
      </nc>
    </rcc>
    <rcc rId="0" sId="1">
      <nc r="F622" t="inlineStr">
        <is>
          <t>VER1/0270-1148</t>
        </is>
      </nc>
    </rcc>
    <rcc rId="0" sId="1">
      <nc r="G622" t="inlineStr">
        <is>
          <t>QC ECO ,MAC S4, NS, GS SPECTRUM BOX-10</t>
        </is>
      </nc>
    </rcc>
    <rcc rId="0" sId="1">
      <nc r="H622">
        <v>138.47999999999999</v>
      </nc>
    </rcc>
    <rcc rId="0" sId="1">
      <nc r="I622">
        <v>34.619999999999997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46223</v>
      </nc>
      <ndxf>
        <numFmt numFmtId="164" formatCode="mm\-dd\-yyyy"/>
      </ndxf>
    </rcc>
    <rcc rId="0" sId="1" dxf="1" numFmtId="19">
      <nc r="M622">
        <v>46224.458333333336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67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4</t>
        </is>
      </nc>
    </rcc>
    <rcc rId="0" sId="1">
      <nc r="C622">
        <v>4</v>
      </nc>
    </rcc>
    <rcc rId="0" sId="1">
      <nc r="D622" t="inlineStr">
        <is>
          <t>20-033</t>
        </is>
      </nc>
    </rcc>
    <rcc rId="0" sId="1">
      <nc r="E622" t="inlineStr">
        <is>
          <t>W1027568/1</t>
        </is>
      </nc>
    </rcc>
    <rcc rId="0" sId="1">
      <nc r="F622" t="inlineStr">
        <is>
          <t>VER1/0270-1148</t>
        </is>
      </nc>
    </rcc>
    <rcc rId="0" sId="1">
      <nc r="G622" t="inlineStr">
        <is>
          <t>QC ECO ,MAC S4, NS, GS SPECTRUM BOX-10</t>
        </is>
      </nc>
    </rcc>
    <rcc rId="0" sId="1">
      <nc r="H622">
        <v>138.47999999999999</v>
      </nc>
    </rcc>
    <rcc rId="0" sId="1">
      <nc r="I622">
        <v>34.619999999999997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46224.465277777781</v>
      </nc>
      <ndxf>
        <numFmt numFmtId="164" formatCode="mm\-dd\-yyyy"/>
      </ndxf>
    </rcc>
    <rcc rId="0" sId="1" dxf="1" numFmtId="19">
      <nc r="M622">
        <v>46225.923611111109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68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4</t>
        </is>
      </nc>
    </rcc>
    <rcc rId="0" sId="1">
      <nc r="C622">
        <v>4</v>
      </nc>
    </rcc>
    <rcc rId="0" sId="1">
      <nc r="D622" t="inlineStr">
        <is>
          <t>20-033</t>
        </is>
      </nc>
    </rcc>
    <rcc rId="0" sId="1">
      <nc r="E622" t="inlineStr">
        <is>
          <t>W1027569/1</t>
        </is>
      </nc>
    </rcc>
    <rcc rId="0" sId="1">
      <nc r="F622" t="inlineStr">
        <is>
          <t>VER1/0270-1148</t>
        </is>
      </nc>
    </rcc>
    <rcc rId="0" sId="1">
      <nc r="G622" t="inlineStr">
        <is>
          <t>QC ECO ,MAC S4, NS, GS SPECTRUM BOX-10</t>
        </is>
      </nc>
    </rcc>
    <rcc rId="0" sId="1">
      <nc r="H622">
        <v>92.32</v>
      </nc>
    </rcc>
    <rcc rId="0" sId="1">
      <nc r="I622">
        <v>23.08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46230</v>
      </nc>
      <ndxf>
        <numFmt numFmtId="164" formatCode="mm\-dd\-yyyy"/>
      </ndxf>
    </rcc>
    <rcc rId="0" sId="1" dxf="1" numFmtId="19">
      <nc r="M622">
        <v>46230.979166666664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69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Mac 4</t>
        </is>
      </nc>
    </rcc>
    <rcc rId="0" sId="1">
      <nc r="C622">
        <v>4</v>
      </nc>
    </rcc>
    <rcc rId="0" sId="1">
      <nc r="D622" t="inlineStr">
        <is>
          <t>20-033</t>
        </is>
      </nc>
    </rcc>
    <rcc rId="0" sId="1">
      <nc r="E622" t="inlineStr">
        <is>
          <t>W1028628/1</t>
        </is>
      </nc>
    </rcc>
    <rcc rId="0" sId="1">
      <nc r="F622" t="inlineStr">
        <is>
          <t>VER1/0270-1148</t>
        </is>
      </nc>
    </rcc>
    <rcc rId="0" sId="1">
      <nc r="G622" t="inlineStr">
        <is>
          <t>QC ECO ,MAC S4, NS, GS SPECTRUM BOX-10</t>
        </is>
      </nc>
    </rcc>
    <rcc rId="0" sId="1">
      <nc r="H622">
        <v>138.47999999999999</v>
      </nc>
    </rcc>
    <rcc rId="0" sId="1">
      <nc r="I622">
        <v>34.619999999999997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46230.986111111109</v>
      </nc>
      <ndxf>
        <numFmt numFmtId="164" formatCode="mm\-dd\-yyyy"/>
      </ndxf>
    </rcc>
    <rcc rId="0" sId="1" dxf="1" numFmtId="19">
      <nc r="M622">
        <v>46232.444444444445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70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Mix</t>
        </is>
      </nc>
    </rcc>
    <rcc rId="0" sId="1">
      <nc r="C622">
        <v>4</v>
      </nc>
    </rcc>
    <rcc rId="0" sId="1">
      <nc r="D622" t="inlineStr">
        <is>
          <t>20-027</t>
        </is>
      </nc>
    </rcc>
    <rcc rId="0" sId="1" dxf="1">
      <nc r="E622" t="inlineStr">
        <is>
          <t>W1029640/Cel</t>
        </is>
      </nc>
      <ndxf>
        <fill>
          <patternFill patternType="solid">
            <bgColor theme="4" tint="0.79998168889431442"/>
          </patternFill>
        </fill>
      </ndxf>
    </rcc>
    <rcc rId="0" sId="1">
      <nc r="F622" t="inlineStr">
        <is>
          <t>VER1/0270-1091</t>
        </is>
      </nc>
    </rcc>
    <rcc rId="0" sId="1">
      <nc r="G622" t="inlineStr">
        <is>
          <t>SpectrumQC HA S2.5</t>
        </is>
      </nc>
    </rcc>
    <rcc rId="0" sId="1">
      <nc r="H622">
        <v>1.4</v>
      </nc>
    </rcc>
    <rcc rId="0" sId="1">
      <nc r="I622">
        <v>0.02</v>
      </nc>
    </rcc>
    <rcc rId="0" sId="1">
      <nc r="J622">
        <v>4.2</v>
      </nc>
    </rcc>
    <rcc rId="0" sId="1">
      <nc r="K622">
        <v>4</v>
      </nc>
    </rcc>
    <rcc rId="0" sId="1" dxf="1" numFmtId="19">
      <nc r="L622">
        <v>46208.958333333336</v>
      </nc>
      <ndxf>
        <numFmt numFmtId="164" formatCode="mm\-dd\-yyyy"/>
      </ndxf>
    </rcc>
    <rcc rId="0" sId="1" dxf="1" numFmtId="19">
      <nc r="M622">
        <v>46208.958333333336</v>
      </nc>
      <ndxf>
        <numFmt numFmtId="164" formatCode="mm\-dd\-yyyy"/>
      </ndxf>
    </rcc>
    <rfmt sheetId="1" sqref="N622" start="0" length="0">
      <dxf>
        <fill>
          <patternFill patternType="solid">
            <bgColor theme="4" tint="0.79998168889431442"/>
          </patternFill>
        </fill>
      </dxf>
    </rfmt>
    <rcc rId="0" sId="1" dxf="1">
      <nc r="O622" t="inlineStr">
        <is>
          <t>P</t>
        </is>
      </nc>
      <ndxf>
        <fill>
          <patternFill patternType="solid">
            <bgColor theme="4" tint="0.79998168889431442"/>
          </patternFill>
        </fill>
      </ndxf>
    </rcc>
    <rfmt sheetId="1" sqref="P622" start="0" length="0">
      <dxf>
        <fill>
          <patternFill patternType="solid">
            <bgColor theme="4" tint="0.79998168889431442"/>
          </patternFill>
        </fill>
      </dxf>
    </rfmt>
    <rfmt sheetId="1" sqref="Q622" start="0" length="0">
      <dxf>
        <fill>
          <patternFill patternType="solid">
            <bgColor theme="4" tint="0.79998168889431442"/>
          </patternFill>
        </fill>
      </dxf>
    </rfmt>
    <rfmt sheetId="1" sqref="R622" start="0" length="0">
      <dxf>
        <fill>
          <patternFill patternType="solid">
            <bgColor theme="4" tint="0.79998168889431442"/>
          </patternFill>
        </fill>
      </dxf>
    </rfmt>
    <rfmt sheetId="1" sqref="S622" start="0" length="0">
      <dxf>
        <fill>
          <patternFill patternType="solid">
            <bgColor theme="4" tint="0.79998168889431442"/>
          </patternFill>
        </fill>
      </dxf>
    </rfmt>
    <rcc rId="0" sId="1">
      <nc r="AA622" t="inlineStr">
        <is>
          <t>Cel</t>
        </is>
      </nc>
    </rcc>
    <rcc rId="0" sId="1">
      <nc r="AB622" t="inlineStr">
        <is>
          <t>0</t>
        </is>
      </nc>
    </rcc>
  </rrc>
  <rrc rId="7671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Mix</t>
        </is>
      </nc>
    </rcc>
    <rcc rId="0" sId="1">
      <nc r="C622">
        <v>4</v>
      </nc>
    </rcc>
    <rcc rId="0" sId="1">
      <nc r="E622" t="inlineStr">
        <is>
          <t>W1022240/1</t>
        </is>
      </nc>
    </rcc>
    <rcc rId="0" sId="1">
      <nc r="F622" t="inlineStr">
        <is>
          <t>VER1/0270-1143</t>
        </is>
      </nc>
    </rcc>
    <rcc rId="0" sId="1">
      <nc r="G622" t="inlineStr">
        <is>
          <t>QC ECO ,HA S2, NS, GS SPECTRUM BOX-10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46209</v>
      </nc>
      <ndxf>
        <numFmt numFmtId="164" formatCode="mm\-dd\-yyyy"/>
      </ndxf>
    </rcc>
    <rcc rId="0" sId="1" dxf="1" numFmtId="19">
      <nc r="M622">
        <v>46210.055555555555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72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Mix</t>
        </is>
      </nc>
    </rcc>
    <rcc rId="0" sId="1">
      <nc r="C622">
        <v>4</v>
      </nc>
    </rcc>
    <rcc rId="0" sId="1">
      <nc r="D622" t="inlineStr">
        <is>
          <t>20-026</t>
        </is>
      </nc>
    </rcc>
    <rcc rId="0" sId="1">
      <nc r="E622" t="inlineStr">
        <is>
          <t>W1026342/1</t>
        </is>
      </nc>
    </rcc>
    <rcc rId="0" sId="1">
      <nc r="F622" t="inlineStr">
        <is>
          <t>VER1/0270-1090</t>
        </is>
      </nc>
    </rcc>
    <rcc rId="0" sId="1">
      <nc r="G622" t="inlineStr">
        <is>
          <t>Spectrum QC HA S2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46210.0625</v>
      </nc>
      <ndxf>
        <numFmt numFmtId="164" formatCode="mm\-dd\-yyyy"/>
      </ndxf>
    </rcc>
    <rcc rId="0" sId="1" dxf="1" numFmtId="19">
      <nc r="M622">
        <v>46211.118055555555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73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Mix</t>
        </is>
      </nc>
    </rcc>
    <rcc rId="0" sId="1">
      <nc r="C622">
        <v>4</v>
      </nc>
    </rcc>
    <rcc rId="0" sId="1" dxf="1">
      <nc r="E622" t="inlineStr">
        <is>
          <t>W1030106/1</t>
        </is>
      </nc>
      <ndxf>
        <fill>
          <patternFill patternType="solid">
            <bgColor theme="8" tint="0.39997558519241921"/>
          </patternFill>
        </fill>
      </ndxf>
    </rcc>
    <rcc rId="0" sId="1">
      <nc r="F622" t="inlineStr">
        <is>
          <t>VER1/0270-1143</t>
        </is>
      </nc>
    </rcc>
    <rcc rId="0" sId="1">
      <nc r="G622" t="inlineStr">
        <is>
          <t>QC ECO ,HA S2, NS, GS SPECTRUM BOX-10</t>
        </is>
      </nc>
    </rcc>
    <rcc rId="0" sId="1">
      <nc r="H622">
        <v>50</v>
      </nc>
    </rcc>
    <rcc rId="0" sId="1">
      <nc r="I622">
        <v>12.5</v>
      </nc>
    </rcc>
    <rcc rId="0" sId="1">
      <nc r="J622">
        <v>150</v>
      </nc>
    </rcc>
    <rcc rId="0" sId="1">
      <nc r="K622">
        <v>0</v>
      </nc>
    </rcc>
    <rcc rId="0" sId="1" dxf="1" numFmtId="19">
      <nc r="L622">
        <v>46211.125</v>
      </nc>
      <ndxf>
        <numFmt numFmtId="164" formatCode="mm\-dd\-yyyy"/>
      </ndxf>
    </rcc>
    <rcc rId="0" sId="1" dxf="1" numFmtId="19">
      <nc r="M622">
        <v>46211.659722222219</v>
      </nc>
      <ndxf>
        <numFmt numFmtId="164" formatCode="mm\-dd\-yyyy"/>
      </ndxf>
    </rcc>
    <rfmt sheetId="1" sqref="N622" start="0" length="0">
      <dxf>
        <fill>
          <patternFill patternType="solid">
            <bgColor theme="8" tint="0.39997558519241921"/>
          </patternFill>
        </fill>
      </dxf>
    </rfmt>
    <rcc rId="0" sId="1" dxf="1">
      <nc r="O622" t="inlineStr">
        <is>
          <t>P</t>
        </is>
      </nc>
      <ndxf>
        <fill>
          <patternFill patternType="solid">
            <bgColor theme="8" tint="0.39997558519241921"/>
          </patternFill>
        </fill>
      </ndxf>
    </rcc>
    <rfmt sheetId="1" sqref="P622" start="0" length="0">
      <dxf>
        <fill>
          <patternFill patternType="solid">
            <bgColor theme="8" tint="0.39997558519241921"/>
          </patternFill>
        </fill>
      </dxf>
    </rfmt>
    <rfmt sheetId="1" sqref="Q622" start="0" length="0">
      <dxf>
        <fill>
          <patternFill patternType="solid">
            <bgColor theme="8" tint="0.39997558519241921"/>
          </patternFill>
        </fill>
      </dxf>
    </rfmt>
    <rfmt sheetId="1" sqref="R622" start="0" length="0">
      <dxf>
        <fill>
          <patternFill patternType="solid">
            <bgColor theme="8" tint="0.39997558519241921"/>
          </patternFill>
        </fill>
      </dxf>
    </rfmt>
    <rfmt sheetId="1" sqref="S622" start="0" length="0">
      <dxf>
        <fill>
          <patternFill patternType="solid">
            <bgColor theme="8" tint="0.39997558519241921"/>
          </patternFill>
        </fill>
      </dxf>
    </rfmt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74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Mix</t>
        </is>
      </nc>
    </rcc>
    <rcc rId="0" sId="1">
      <nc r="C622">
        <v>4</v>
      </nc>
    </rcc>
    <rcc rId="0" sId="1">
      <nc r="E622" t="inlineStr">
        <is>
          <t>W1022241/1</t>
        </is>
      </nc>
    </rcc>
    <rcc rId="0" sId="1">
      <nc r="F622" t="inlineStr">
        <is>
          <t>VER1/0270-1144</t>
        </is>
      </nc>
    </rcc>
    <rcc rId="0" sId="1">
      <nc r="G622" t="inlineStr">
        <is>
          <t>QC ECO ,HA S2.5, NS, GS SPECTRUM BOX-10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46216</v>
      </nc>
      <ndxf>
        <numFmt numFmtId="164" formatCode="mm\-dd\-yyyy"/>
      </ndxf>
    </rcc>
    <rcc rId="0" sId="1" dxf="1" numFmtId="19">
      <nc r="M622">
        <v>46217.055555555555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75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Mix</t>
        </is>
      </nc>
    </rcc>
    <rcc rId="0" sId="1">
      <nc r="C622">
        <v>4</v>
      </nc>
    </rcc>
    <rcc rId="0" sId="1">
      <nc r="D622" t="inlineStr">
        <is>
          <t>20-030</t>
        </is>
      </nc>
    </rcc>
    <rcc rId="0" sId="1">
      <nc r="E622" t="inlineStr">
        <is>
          <t>W1028038/1</t>
        </is>
      </nc>
    </rcc>
    <rcc rId="0" sId="1">
      <nc r="F622" t="inlineStr">
        <is>
          <t>VER1/0270-1087</t>
        </is>
      </nc>
    </rcc>
    <rcc rId="0" sId="1">
      <nc r="G622" t="inlineStr">
        <is>
          <t>Spectrum QC Miller S0</t>
        </is>
      </nc>
    </rcc>
    <rcc rId="0" sId="1">
      <nc r="H622">
        <v>150</v>
      </nc>
    </rcc>
    <rcc rId="0" sId="1">
      <nc r="I622">
        <v>37.5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46217.0625</v>
      </nc>
      <ndxf>
        <numFmt numFmtId="164" formatCode="mm\-dd\-yyyy"/>
      </ndxf>
    </rcc>
    <rcc rId="0" sId="1" dxf="1" numFmtId="19">
      <nc r="M622">
        <v>46218.638888888891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76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Mix</t>
        </is>
      </nc>
    </rcc>
    <rcc rId="0" sId="1">
      <nc r="C622">
        <v>4</v>
      </nc>
    </rcc>
    <rcc rId="0" sId="1">
      <nc r="E622" t="inlineStr">
        <is>
          <t>W1027833/1</t>
        </is>
      </nc>
    </rcc>
    <rcc rId="0" sId="1">
      <nc r="F622" t="inlineStr">
        <is>
          <t>VER1/0270-1153</t>
        </is>
      </nc>
    </rcc>
    <rcc rId="0" sId="1">
      <nc r="G622" t="inlineStr">
        <is>
          <t>QCECO,MILLER S00,NS, GS SPECTRUM BOX-10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46223</v>
      </nc>
      <ndxf>
        <numFmt numFmtId="164" formatCode="mm\-dd\-yyyy"/>
      </ndxf>
    </rcc>
    <rcc rId="0" sId="1" dxf="1" numFmtId="19">
      <nc r="M622">
        <v>46224.055555555555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77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Mix</t>
        </is>
      </nc>
    </rcc>
    <rcc rId="0" sId="1">
      <nc r="C622">
        <v>4</v>
      </nc>
    </rcc>
    <rcc rId="0" sId="1">
      <nc r="D622" t="inlineStr">
        <is>
          <t>20-031</t>
        </is>
      </nc>
    </rcc>
    <rcc rId="0" sId="1">
      <nc r="E622" t="inlineStr">
        <is>
          <t>W1028544/1</t>
        </is>
      </nc>
    </rcc>
    <rcc rId="0" sId="1">
      <nc r="F622" t="inlineStr">
        <is>
          <t>VER1/0270-1088</t>
        </is>
      </nc>
    </rcc>
    <rcc rId="0" sId="1">
      <nc r="G622" t="inlineStr">
        <is>
          <t>Spectrum QC Miller S1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46224.0625</v>
      </nc>
      <ndxf>
        <numFmt numFmtId="164" formatCode="mm\-dd\-yyyy"/>
      </ndxf>
    </rcc>
    <rcc rId="0" sId="1" dxf="1" numFmtId="19">
      <nc r="M622">
        <v>46225.118055555555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78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Mix</t>
        </is>
      </nc>
    </rcc>
    <rcc rId="0" sId="1">
      <nc r="C622">
        <v>4</v>
      </nc>
    </rcc>
    <rcc rId="0" sId="1">
      <nc r="E622" t="inlineStr">
        <is>
          <t>W1024912/1</t>
        </is>
      </nc>
    </rcc>
    <rcc rId="0" sId="1">
      <nc r="F622" t="inlineStr">
        <is>
          <t>VER1/0270-1150</t>
        </is>
      </nc>
    </rcc>
    <rcc rId="0" sId="1">
      <nc r="G622" t="inlineStr">
        <is>
          <t>QC ECO ,MILLER S1, NS, GS SPECTRUM BOX-10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46230</v>
      </nc>
      <ndxf>
        <numFmt numFmtId="164" formatCode="mm\-dd\-yyyy"/>
      </ndxf>
    </rcc>
    <rcc rId="0" sId="1" dxf="1" numFmtId="19">
      <nc r="M622">
        <v>46231.055555555555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79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 dxf="1">
      <nc r="E622" t="inlineStr">
        <is>
          <t>W1027638/1</t>
        </is>
      </nc>
      <ndxf>
        <fill>
          <patternFill patternType="solid">
            <bgColor theme="8" tint="0.39997558519241921"/>
          </patternFill>
        </fill>
      </ndxf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46209</v>
      </nc>
      <ndxf>
        <numFmt numFmtId="164" formatCode="mm\-dd\-yyyy"/>
      </ndxf>
    </rcc>
    <rcc rId="0" sId="1" dxf="1" numFmtId="19">
      <nc r="M622">
        <v>46210.152777777781</v>
      </nc>
      <ndxf>
        <numFmt numFmtId="164" formatCode="mm\-dd\-yyyy"/>
      </ndxf>
    </rcc>
    <rfmt sheetId="1" sqref="N622" start="0" length="0">
      <dxf>
        <fill>
          <patternFill patternType="solid">
            <bgColor theme="8" tint="0.39997558519241921"/>
          </patternFill>
        </fill>
      </dxf>
    </rfmt>
    <rcc rId="0" sId="1" dxf="1">
      <nc r="O622" t="inlineStr">
        <is>
          <t>P</t>
        </is>
      </nc>
      <ndxf>
        <fill>
          <patternFill patternType="solid">
            <bgColor theme="8" tint="0.39997558519241921"/>
          </patternFill>
        </fill>
      </ndxf>
    </rcc>
    <rfmt sheetId="1" sqref="P622" start="0" length="0">
      <dxf>
        <fill>
          <patternFill patternType="solid">
            <bgColor theme="8" tint="0.39997558519241921"/>
          </patternFill>
        </fill>
      </dxf>
    </rfmt>
    <rfmt sheetId="1" sqref="Q622" start="0" length="0">
      <dxf>
        <fill>
          <patternFill patternType="solid">
            <bgColor theme="8" tint="0.39997558519241921"/>
          </patternFill>
        </fill>
      </dxf>
    </rfmt>
    <rfmt sheetId="1" sqref="R622" start="0" length="0">
      <dxf>
        <fill>
          <patternFill patternType="solid">
            <bgColor theme="8" tint="0.39997558519241921"/>
          </patternFill>
        </fill>
      </dxf>
    </rfmt>
    <rfmt sheetId="1" sqref="S622" start="0" length="0">
      <dxf>
        <fill>
          <patternFill patternType="solid">
            <bgColor theme="8" tint="0.39997558519241921"/>
          </patternFill>
        </fill>
      </dxf>
    </rfmt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80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W1027640/1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46210.159722222219</v>
      </nc>
      <ndxf>
        <numFmt numFmtId="164" formatCode="mm\-dd\-yyyy"/>
      </ndxf>
    </rcc>
    <rcc rId="0" sId="1" dxf="1" numFmtId="19">
      <nc r="M622">
        <v>46211.3125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81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W1027641/1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46211.319444444445</v>
      </nc>
      <ndxf>
        <numFmt numFmtId="164" formatCode="mm\-dd\-yyyy"/>
      </ndxf>
    </rcc>
    <rcc rId="0" sId="1" dxf="1" numFmtId="19">
      <nc r="M622">
        <v>46212.472222222219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82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W1027642/1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46212.479166666664</v>
      </nc>
      <ndxf>
        <numFmt numFmtId="164" formatCode="mm\-dd\-yyyy"/>
      </ndxf>
    </rcc>
    <rcc rId="0" sId="1" dxf="1" numFmtId="19">
      <nc r="M622">
        <v>46213.631944444445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83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W1027643/1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46213.638888888891</v>
      </nc>
      <ndxf>
        <numFmt numFmtId="164" formatCode="mm\-dd\-yyyy"/>
      </ndxf>
    </rcc>
    <rcc rId="0" sId="1" dxf="1" numFmtId="19">
      <nc r="M622">
        <v>46216.222222222219</v>
      </nc>
      <ndxf>
        <numFmt numFmtId="164" formatCode="mm\-dd\-yyyy"/>
      </ndxf>
    </rcc>
    <rcc rId="0" sId="1">
      <nc r="O622" t="inlineStr">
        <is>
          <t>p</t>
        </is>
      </nc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84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W1027644/1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46216.229166666664</v>
      </nc>
      <ndxf>
        <numFmt numFmtId="164" formatCode="mm\-dd\-yyyy"/>
      </ndxf>
    </rcc>
    <rcc rId="0" sId="1" dxf="1" numFmtId="19">
      <nc r="M622">
        <v>46217.381944444445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85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W1027645/1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46217.388888888891</v>
      </nc>
      <ndxf>
        <numFmt numFmtId="164" formatCode="mm\-dd\-yyyy"/>
      </ndxf>
    </rcc>
    <rcc rId="0" sId="1" dxf="1" numFmtId="19">
      <nc r="M622">
        <v>46218.541666666664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86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W1027646/1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46218.548611111109</v>
      </nc>
      <ndxf>
        <numFmt numFmtId="164" formatCode="mm\-dd\-yyyy"/>
      </ndxf>
    </rcc>
    <rcc rId="0" sId="1" dxf="1" numFmtId="19">
      <nc r="M622">
        <v>46219.701388888891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87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W1027647/1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46219.708333333336</v>
      </nc>
      <ndxf>
        <numFmt numFmtId="164" formatCode="mm\-dd\-yyyy"/>
      </ndxf>
    </rcc>
    <rcc rId="0" sId="1" dxf="1" numFmtId="19">
      <nc r="M622">
        <v>46220.861111111109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88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W1027648/1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46220.868055555555</v>
      </nc>
      <ndxf>
        <numFmt numFmtId="164" formatCode="mm\-dd\-yyyy"/>
      </ndxf>
    </rcc>
    <rcc rId="0" sId="1" dxf="1" numFmtId="19">
      <nc r="M622">
        <v>46223.451388888891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89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W1027649/1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46223.458333333336</v>
      </nc>
      <ndxf>
        <numFmt numFmtId="164" formatCode="mm\-dd\-yyyy"/>
      </ndxf>
    </rcc>
    <rcc rId="0" sId="1" dxf="1" numFmtId="19">
      <nc r="M622">
        <v>46224.611111111109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90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W1027650/1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46224.618055555555</v>
      </nc>
      <ndxf>
        <numFmt numFmtId="164" formatCode="mm\-dd\-yyyy"/>
      </ndxf>
    </rcc>
    <rcc rId="0" sId="1" dxf="1" numFmtId="19">
      <nc r="M622">
        <v>46225.770833333336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91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W1027651/1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46225.777777777781</v>
      </nc>
      <ndxf>
        <numFmt numFmtId="164" formatCode="mm\-dd\-yyyy"/>
      </ndxf>
    </rcc>
    <rcc rId="0" sId="1" dxf="1" numFmtId="19">
      <nc r="M622">
        <v>46226.930555555555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92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W1027652/1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46226.9375</v>
      </nc>
      <ndxf>
        <numFmt numFmtId="164" formatCode="mm\-dd\-yyyy"/>
      </ndxf>
    </rcc>
    <rcc rId="0" sId="1" dxf="1" numFmtId="19">
      <nc r="M622">
        <v>46230.090277777781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93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W1027653/1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46230.097222222219</v>
      </nc>
      <ndxf>
        <numFmt numFmtId="164" formatCode="mm\-dd\-yyyy"/>
      </ndxf>
    </rcc>
    <rcc rId="0" sId="1" dxf="1" numFmtId="19">
      <nc r="M622">
        <v>46230.680555555555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94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S3</t>
        </is>
      </nc>
    </rcc>
    <rcc rId="0" sId="1">
      <nc r="C622">
        <v>5.5</v>
      </nc>
    </rcc>
    <rcc rId="0" sId="1">
      <nc r="D622" t="inlineStr">
        <is>
          <t>24-014</t>
        </is>
      </nc>
    </rcc>
    <rcc rId="0" sId="1">
      <nc r="E622" t="inlineStr">
        <is>
          <t>W1027654/1</t>
        </is>
      </nc>
    </rcc>
    <rcc rId="0" sId="1">
      <nc r="F622" t="inlineStr">
        <is>
          <t>VER1/0270-1083</t>
        </is>
      </nc>
    </rcc>
    <rcc rId="0" sId="1">
      <nc r="G622" t="inlineStr">
        <is>
          <t>Spectrum QC HA S3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46230.6875</v>
      </nc>
      <ndxf>
        <numFmt numFmtId="164" formatCode="mm\-dd\-yyyy"/>
      </ndxf>
    </rcc>
    <rcc rId="0" sId="1" dxf="1" numFmtId="19">
      <nc r="M622">
        <v>46231.840277777781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95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D622" t="inlineStr">
        <is>
          <t>24-015</t>
        </is>
      </nc>
    </rcc>
    <rcc rId="0" sId="1" dxf="1">
      <nc r="E622" t="inlineStr">
        <is>
          <t>W1029429/Cel</t>
        </is>
      </nc>
      <ndxf>
        <fill>
          <patternFill patternType="solid">
            <bgColor theme="4" tint="0.79998168889431442"/>
          </patternFill>
        </fill>
      </ndxf>
    </rcc>
    <rcc rId="0" sId="1">
      <nc r="F622" t="inlineStr">
        <is>
          <t>VER1/0270-1084</t>
        </is>
      </nc>
    </rcc>
    <rcc rId="0" sId="1">
      <nc r="G622" t="inlineStr">
        <is>
          <t>Spectrum QC HA S4</t>
        </is>
      </nc>
    </rcc>
    <rcc rId="0" sId="1">
      <nc r="H622">
        <v>2.5299999999999998</v>
      </nc>
    </rcc>
    <rcc rId="0" sId="1">
      <nc r="I622">
        <v>0.1</v>
      </nc>
    </rcc>
    <rcc rId="0" sId="1">
      <nc r="J622">
        <v>10.199999999999999</v>
      </nc>
    </rcc>
    <rcc rId="0" sId="1">
      <nc r="K622">
        <v>8</v>
      </nc>
    </rcc>
    <rcc rId="0" sId="1" dxf="1" numFmtId="19">
      <nc r="L622">
        <v>46208.958333333336</v>
      </nc>
      <ndxf>
        <numFmt numFmtId="164" formatCode="mm\-dd\-yyyy"/>
      </ndxf>
    </rcc>
    <rcc rId="0" sId="1" dxf="1" numFmtId="19">
      <nc r="M622">
        <v>46208.958333333336</v>
      </nc>
      <ndxf>
        <numFmt numFmtId="164" formatCode="mm\-dd\-yyyy"/>
      </ndxf>
    </rcc>
    <rfmt sheetId="1" sqref="N622" start="0" length="0">
      <dxf>
        <fill>
          <patternFill patternType="solid">
            <bgColor theme="4" tint="0.79998168889431442"/>
          </patternFill>
        </fill>
      </dxf>
    </rfmt>
    <rcc rId="0" sId="1" dxf="1">
      <nc r="O622" t="inlineStr">
        <is>
          <t>P</t>
        </is>
      </nc>
      <ndxf>
        <fill>
          <patternFill patternType="solid">
            <bgColor theme="4" tint="0.79998168889431442"/>
          </patternFill>
        </fill>
      </ndxf>
    </rcc>
    <rfmt sheetId="1" sqref="P622" start="0" length="0">
      <dxf>
        <fill>
          <patternFill patternType="solid">
            <bgColor theme="4" tint="0.79998168889431442"/>
          </patternFill>
        </fill>
      </dxf>
    </rfmt>
    <rfmt sheetId="1" sqref="Q622" start="0" length="0">
      <dxf>
        <fill>
          <patternFill patternType="solid">
            <bgColor theme="4" tint="0.79998168889431442"/>
          </patternFill>
        </fill>
      </dxf>
    </rfmt>
    <rfmt sheetId="1" sqref="R622" start="0" length="0">
      <dxf>
        <fill>
          <patternFill patternType="solid">
            <bgColor theme="4" tint="0.79998168889431442"/>
          </patternFill>
        </fill>
      </dxf>
    </rfmt>
    <rfmt sheetId="1" sqref="S622" start="0" length="0">
      <dxf>
        <fill>
          <patternFill patternType="solid">
            <bgColor theme="4" tint="0.79998168889431442"/>
          </patternFill>
        </fill>
      </dxf>
    </rfmt>
    <rcc rId="0" sId="1">
      <nc r="AA622" t="inlineStr">
        <is>
          <t>Cel</t>
        </is>
      </nc>
    </rcc>
    <rcc rId="0" sId="1">
      <nc r="AB622" t="inlineStr">
        <is>
          <t>0</t>
        </is>
      </nc>
    </rcc>
  </rrc>
  <rrc rId="7696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D622" t="inlineStr">
        <is>
          <t>24-015</t>
        </is>
      </nc>
    </rcc>
    <rcc rId="0" sId="1" dxf="1">
      <nc r="E622" t="inlineStr">
        <is>
          <t>W1029430/SMI</t>
        </is>
      </nc>
      <ndxf>
        <fill>
          <patternFill patternType="solid">
            <bgColor theme="4" tint="0.79998168889431442"/>
          </patternFill>
        </fill>
      </ndxf>
    </rcc>
    <rcc rId="0" sId="1">
      <nc r="F622" t="inlineStr">
        <is>
          <t>VER1/0270-1084</t>
        </is>
      </nc>
    </rcc>
    <rcc rId="0" sId="1">
      <nc r="G622" t="inlineStr">
        <is>
          <t>Spectrum QC HA S4</t>
        </is>
      </nc>
    </rcc>
    <rcc rId="0" sId="1">
      <nc r="H622">
        <v>2.5299999999999998</v>
      </nc>
    </rcc>
    <rcc rId="0" sId="1">
      <nc r="I622">
        <v>0.46</v>
      </nc>
    </rcc>
    <rcc rId="0" sId="1">
      <nc r="J622">
        <v>10.199999999999999</v>
      </nc>
    </rcc>
    <rcc rId="0" sId="1">
      <nc r="K622">
        <v>0</v>
      </nc>
    </rcc>
    <rcc rId="0" sId="1" dxf="1" numFmtId="19">
      <nc r="L622">
        <v>46208.965277777781</v>
      </nc>
      <ndxf>
        <numFmt numFmtId="164" formatCode="mm\-dd\-yyyy"/>
      </ndxf>
    </rcc>
    <rcc rId="0" sId="1" dxf="1" numFmtId="19">
      <nc r="M622">
        <v>46209</v>
      </nc>
      <ndxf>
        <numFmt numFmtId="164" formatCode="mm\-dd\-yyyy"/>
      </ndxf>
    </rcc>
    <rfmt sheetId="1" sqref="N622" start="0" length="0">
      <dxf>
        <fill>
          <patternFill patternType="solid">
            <bgColor theme="4" tint="0.79998168889431442"/>
          </patternFill>
        </fill>
      </dxf>
    </rfmt>
    <rcc rId="0" sId="1" dxf="1">
      <nc r="O622" t="inlineStr">
        <is>
          <t>P</t>
        </is>
      </nc>
      <ndxf>
        <fill>
          <patternFill patternType="solid">
            <bgColor theme="4" tint="0.79998168889431442"/>
          </patternFill>
        </fill>
      </ndxf>
    </rcc>
    <rfmt sheetId="1" sqref="P622" start="0" length="0">
      <dxf>
        <fill>
          <patternFill patternType="solid">
            <bgColor theme="4" tint="0.79998168889431442"/>
          </patternFill>
        </fill>
      </dxf>
    </rfmt>
    <rfmt sheetId="1" sqref="Q622" start="0" length="0">
      <dxf>
        <fill>
          <patternFill patternType="solid">
            <bgColor theme="4" tint="0.79998168889431442"/>
          </patternFill>
        </fill>
      </dxf>
    </rfmt>
    <rfmt sheetId="1" sqref="R622" start="0" length="0">
      <dxf>
        <fill>
          <patternFill patternType="solid">
            <bgColor theme="4" tint="0.79998168889431442"/>
          </patternFill>
        </fill>
      </dxf>
    </rfmt>
    <rfmt sheetId="1" sqref="S622" start="0" length="0">
      <dxf>
        <fill>
          <patternFill patternType="solid">
            <bgColor theme="4" tint="0.79998168889431442"/>
          </patternFill>
        </fill>
      </dxf>
    </rfmt>
    <rcc rId="0" sId="1">
      <nc r="AA622" t="inlineStr">
        <is>
          <t>SMI</t>
        </is>
      </nc>
    </rcc>
    <rcc rId="0" sId="1">
      <nc r="AB622" t="inlineStr">
        <is>
          <t>0</t>
        </is>
      </nc>
    </rcc>
  </rrc>
  <rrc rId="7697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D622" t="inlineStr">
        <is>
          <t>24-015</t>
        </is>
      </nc>
    </rcc>
    <rcc rId="0" sId="1">
      <nc r="E622" t="inlineStr">
        <is>
          <t>W1027566/1</t>
        </is>
      </nc>
    </rcc>
    <rcc rId="0" sId="1">
      <nc r="F622" t="inlineStr">
        <is>
          <t>VER1/0270-1146</t>
        </is>
      </nc>
    </rcc>
    <rcc rId="0" sId="1">
      <nc r="G622" t="inlineStr">
        <is>
          <t>QC ECO ,HA S4, NS, GS SPECTRUM BOX-10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46209.006944444445</v>
      </nc>
      <ndxf>
        <numFmt numFmtId="164" formatCode="mm\-dd\-yyyy"/>
      </ndxf>
    </rcc>
    <rcc rId="0" sId="1" dxf="1" numFmtId="19">
      <nc r="M622">
        <v>46209.590277777781</v>
      </nc>
      <ndxf>
        <numFmt numFmtId="164" formatCode="mm\-dd\-yyyy"/>
      </ndxf>
    </rcc>
    <rcc rId="0" sId="1">
      <nc r="O622" t="inlineStr">
        <is>
          <t>P</t>
        </is>
      </nc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98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E622" t="inlineStr">
        <is>
          <t>W1024226/1</t>
        </is>
      </nc>
    </rcc>
    <rcc rId="0" sId="1">
      <nc r="F622" t="inlineStr">
        <is>
          <t>VER1/0270-1145</t>
        </is>
      </nc>
    </rcc>
    <rcc rId="0" sId="1">
      <nc r="G622" t="inlineStr">
        <is>
          <t>QC ECO ,HA S3, NS, GS SPECTRUM BOX-10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46209.881944444445</v>
      </nc>
      <ndxf>
        <numFmt numFmtId="164" formatCode="mm\-dd\-yyyy"/>
      </ndxf>
    </rcc>
    <rcc rId="0" sId="1" dxf="1" numFmtId="19">
      <nc r="M622">
        <v>46210.465277777781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699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4</v>
      </nc>
    </rcc>
    <rcc rId="0" sId="1">
      <nc r="E622" t="inlineStr">
        <is>
          <t>W1027541/1</t>
        </is>
      </nc>
    </rcc>
    <rcc rId="0" sId="1">
      <nc r="F622" t="inlineStr">
        <is>
          <t>VER1/0270-1145</t>
        </is>
      </nc>
    </rcc>
    <rcc rId="0" sId="1">
      <nc r="G622" t="inlineStr">
        <is>
          <t>QC ECO ,HA S3, NS, GS SPECTRUM BOX-10</t>
        </is>
      </nc>
    </rcc>
    <rcc rId="0" sId="1">
      <nc r="H622">
        <v>133.32</v>
      </nc>
    </rcc>
    <rcc rId="0" sId="1">
      <nc r="I622">
        <v>33.33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46210.472222222219</v>
      </nc>
      <ndxf>
        <numFmt numFmtId="164" formatCode="mm\-dd\-yyyy"/>
      </ndxf>
    </rcc>
    <rcc rId="0" sId="1" dxf="1" numFmtId="19">
      <nc r="M622">
        <v>46211.875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00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D622" t="inlineStr">
        <is>
          <t>24-015</t>
        </is>
      </nc>
    </rcc>
    <rcc rId="0" sId="1" dxf="1">
      <nc r="E622" t="inlineStr">
        <is>
          <t>W1027552/1</t>
        </is>
      </nc>
      <ndxf>
        <fill>
          <patternFill patternType="solid">
            <bgColor theme="8" tint="0.39997558519241921"/>
          </patternFill>
        </fill>
      </ndxf>
    </rcc>
    <rcc rId="0" sId="1">
      <nc r="F622" t="inlineStr">
        <is>
          <t>VER1/0270-1084</t>
        </is>
      </nc>
    </rcc>
    <rcc rId="0" sId="1">
      <nc r="G622" t="inlineStr">
        <is>
          <t>Spectrum QC HA S4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46211.881944444445</v>
      </nc>
      <ndxf>
        <numFmt numFmtId="164" formatCode="mm\-dd\-yyyy"/>
      </ndxf>
    </rcc>
    <rcc rId="0" sId="1" dxf="1" numFmtId="19">
      <nc r="M622">
        <v>46213.034722222219</v>
      </nc>
      <ndxf>
        <numFmt numFmtId="164" formatCode="mm\-dd\-yyyy"/>
      </ndxf>
    </rcc>
    <rfmt sheetId="1" sqref="N622" start="0" length="0">
      <dxf>
        <fill>
          <patternFill patternType="solid">
            <bgColor theme="8" tint="0.39997558519241921"/>
          </patternFill>
        </fill>
      </dxf>
    </rfmt>
    <rcc rId="0" sId="1" dxf="1">
      <nc r="O622" t="inlineStr">
        <is>
          <t>P</t>
        </is>
      </nc>
      <ndxf>
        <fill>
          <patternFill patternType="solid">
            <bgColor theme="8" tint="0.39997558519241921"/>
          </patternFill>
        </fill>
      </ndxf>
    </rcc>
    <rfmt sheetId="1" sqref="P622" start="0" length="0">
      <dxf>
        <fill>
          <patternFill patternType="solid">
            <bgColor theme="8" tint="0.39997558519241921"/>
          </patternFill>
        </fill>
      </dxf>
    </rfmt>
    <rfmt sheetId="1" sqref="Q622" start="0" length="0">
      <dxf>
        <fill>
          <patternFill patternType="solid">
            <bgColor theme="8" tint="0.39997558519241921"/>
          </patternFill>
        </fill>
      </dxf>
    </rfmt>
    <rfmt sheetId="1" sqref="R622" start="0" length="0">
      <dxf>
        <fill>
          <patternFill patternType="solid">
            <bgColor theme="8" tint="0.39997558519241921"/>
          </patternFill>
        </fill>
      </dxf>
    </rfmt>
    <rfmt sheetId="1" sqref="S622" start="0" length="0">
      <dxf>
        <fill>
          <patternFill patternType="solid">
            <bgColor theme="8" tint="0.39997558519241921"/>
          </patternFill>
        </fill>
      </dxf>
    </rfmt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01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4</v>
      </nc>
    </rcc>
    <rcc rId="0" sId="1">
      <nc r="E622" t="inlineStr">
        <is>
          <t>W1029078/1</t>
        </is>
      </nc>
    </rcc>
    <rcc rId="0" sId="1">
      <nc r="F622" t="inlineStr">
        <is>
          <t>VER1/0270-1145</t>
        </is>
      </nc>
    </rcc>
    <rcc rId="0" sId="1">
      <nc r="G622" t="inlineStr">
        <is>
          <t>QC ECO ,HA S3, NS, GS SPECTRUM BOX-10</t>
        </is>
      </nc>
    </rcc>
    <rcc rId="0" sId="1">
      <nc r="H622">
        <v>133.32</v>
      </nc>
    </rcc>
    <rcc rId="0" sId="1">
      <nc r="I622">
        <v>33.33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46213.041666666664</v>
      </nc>
      <ndxf>
        <numFmt numFmtId="164" formatCode="mm\-dd\-yyyy"/>
      </ndxf>
    </rcc>
    <rcc rId="0" sId="1" dxf="1" numFmtId="19">
      <nc r="M622">
        <v>46216.444444444445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02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D622" t="inlineStr">
        <is>
          <t>24-015</t>
        </is>
      </nc>
    </rcc>
    <rcc rId="0" sId="1">
      <nc r="E622" t="inlineStr">
        <is>
          <t>W1029272/1</t>
        </is>
      </nc>
    </rcc>
    <rcc rId="0" sId="1">
      <nc r="F622" t="inlineStr">
        <is>
          <t>VER1/0270-1084</t>
        </is>
      </nc>
    </rcc>
    <rcc rId="0" sId="1">
      <nc r="G622" t="inlineStr">
        <is>
          <t>Spectrum QC HA S4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46216.451388888891</v>
      </nc>
      <ndxf>
        <numFmt numFmtId="164" formatCode="mm\-dd\-yyyy"/>
      </ndxf>
    </rcc>
    <rcc rId="0" sId="1" dxf="1" numFmtId="19">
      <nc r="M622">
        <v>46217.604166666664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03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D622" t="inlineStr">
        <is>
          <t>24-015</t>
        </is>
      </nc>
    </rcc>
    <rcc rId="0" sId="1">
      <nc r="E622" t="inlineStr">
        <is>
          <t>W1027554/1</t>
        </is>
      </nc>
    </rcc>
    <rcc rId="0" sId="1">
      <nc r="F622" t="inlineStr">
        <is>
          <t>VER1/0270-1084</t>
        </is>
      </nc>
    </rcc>
    <rcc rId="0" sId="1">
      <nc r="G622" t="inlineStr">
        <is>
          <t>Spectrum QC HA S4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46217.611111111109</v>
      </nc>
      <ndxf>
        <numFmt numFmtId="164" formatCode="mm\-dd\-yyyy"/>
      </ndxf>
    </rcc>
    <rcc rId="0" sId="1" dxf="1" numFmtId="19">
      <nc r="M622">
        <v>46218.763888888891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04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D622" t="inlineStr">
        <is>
          <t>24-015</t>
        </is>
      </nc>
    </rcc>
    <rcc rId="0" sId="1">
      <nc r="E622" t="inlineStr">
        <is>
          <t>W1027555/1</t>
        </is>
      </nc>
    </rcc>
    <rcc rId="0" sId="1">
      <nc r="F622" t="inlineStr">
        <is>
          <t>VER1/0270-1084</t>
        </is>
      </nc>
    </rcc>
    <rcc rId="0" sId="1">
      <nc r="G622" t="inlineStr">
        <is>
          <t>Spectrum QC HA S4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46218.770833333336</v>
      </nc>
      <ndxf>
        <numFmt numFmtId="164" formatCode="mm\-dd\-yyyy"/>
      </ndxf>
    </rcc>
    <rcc rId="0" sId="1" dxf="1" numFmtId="19">
      <nc r="M622">
        <v>46219.923611111109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05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D622" t="inlineStr">
        <is>
          <t>24-015</t>
        </is>
      </nc>
    </rcc>
    <rcc rId="0" sId="1">
      <nc r="E622" t="inlineStr">
        <is>
          <t>W1027558/1</t>
        </is>
      </nc>
    </rcc>
    <rcc rId="0" sId="1">
      <nc r="F622" t="inlineStr">
        <is>
          <t>VER1/0270-1084</t>
        </is>
      </nc>
    </rcc>
    <rcc rId="0" sId="1">
      <nc r="G622" t="inlineStr">
        <is>
          <t>Spectrum QC HA S4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46219.930555555555</v>
      </nc>
      <ndxf>
        <numFmt numFmtId="164" formatCode="mm\-dd\-yyyy"/>
      </ndxf>
    </rcc>
    <rcc rId="0" sId="1" dxf="1" numFmtId="19">
      <nc r="M622">
        <v>46220.513888888891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06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D622" t="inlineStr">
        <is>
          <t>24-015</t>
        </is>
      </nc>
    </rcc>
    <rcc rId="0" sId="1">
      <nc r="E622" t="inlineStr">
        <is>
          <t>W1027678/1</t>
        </is>
      </nc>
    </rcc>
    <rcc rId="0" sId="1">
      <nc r="F622" t="inlineStr">
        <is>
          <t>VER1/0270-1146</t>
        </is>
      </nc>
    </rcc>
    <rcc rId="0" sId="1">
      <nc r="G622" t="inlineStr">
        <is>
          <t>QC ECO ,HA S4, NS, GS SPECTRUM BOX-10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46220.520833333336</v>
      </nc>
      <ndxf>
        <numFmt numFmtId="164" formatCode="mm\-dd\-yyyy"/>
      </ndxf>
    </rcc>
    <rcc rId="0" sId="1" dxf="1" numFmtId="19">
      <nc r="M622">
        <v>46223.673611111109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07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D622" t="inlineStr">
        <is>
          <t>24-015</t>
        </is>
      </nc>
    </rcc>
    <rcc rId="0" sId="1">
      <nc r="E622" t="inlineStr">
        <is>
          <t>W1028664/1</t>
        </is>
      </nc>
    </rcc>
    <rcc rId="0" sId="1">
      <nc r="F622" t="inlineStr">
        <is>
          <t>VER1/0270-1146</t>
        </is>
      </nc>
    </rcc>
    <rcc rId="0" sId="1">
      <nc r="G622" t="inlineStr">
        <is>
          <t>QC ECO ,HA S4, NS, GS SPECTRUM BOX-10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46223.680555555555</v>
      </nc>
      <ndxf>
        <numFmt numFmtId="164" formatCode="mm\-dd\-yyyy"/>
      </ndxf>
    </rcc>
    <rcc rId="0" sId="1" dxf="1" numFmtId="19">
      <nc r="M622">
        <v>46224.833333333336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08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4</v>
      </nc>
    </rcc>
    <rcc rId="0" sId="1">
      <nc r="E622" t="inlineStr">
        <is>
          <t>W1027542/1</t>
        </is>
      </nc>
    </rcc>
    <rcc rId="0" sId="1">
      <nc r="F622" t="inlineStr">
        <is>
          <t>VER1/0270-1145</t>
        </is>
      </nc>
    </rcc>
    <rcc rId="0" sId="1">
      <nc r="G622" t="inlineStr">
        <is>
          <t>QC ECO ,HA S3, NS, GS SPECTRUM BOX-10</t>
        </is>
      </nc>
    </rcc>
    <rcc rId="0" sId="1">
      <nc r="H622">
        <v>133.32</v>
      </nc>
    </rcc>
    <rcc rId="0" sId="1">
      <nc r="I622">
        <v>33.33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46224.840277777781</v>
      </nc>
      <ndxf>
        <numFmt numFmtId="164" formatCode="mm\-dd\-yyyy"/>
      </ndxf>
    </rcc>
    <rcc rId="0" sId="1" dxf="1" numFmtId="19">
      <nc r="M622">
        <v>46226.243055555555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09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4</v>
      </nc>
    </rcc>
    <rcc rId="0" sId="1">
      <nc r="E622" t="inlineStr">
        <is>
          <t>W1027543/1</t>
        </is>
      </nc>
    </rcc>
    <rcc rId="0" sId="1">
      <nc r="F622" t="inlineStr">
        <is>
          <t>VER1/0270-1145</t>
        </is>
      </nc>
    </rcc>
    <rcc rId="0" sId="1">
      <nc r="G622" t="inlineStr">
        <is>
          <t>QC ECO ,HA S3, NS, GS SPECTRUM BOX-10</t>
        </is>
      </nc>
    </rcc>
    <rcc rId="0" sId="1">
      <nc r="H622">
        <v>133.32</v>
      </nc>
    </rcc>
    <rcc rId="0" sId="1">
      <nc r="I622">
        <v>33.33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46226.25</v>
      </nc>
      <ndxf>
        <numFmt numFmtId="164" formatCode="mm\-dd\-yyyy"/>
      </ndxf>
    </rcc>
    <rcc rId="0" sId="1" dxf="1" numFmtId="19">
      <nc r="M622">
        <v>46227.652777777781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10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4</v>
      </nc>
    </rcc>
    <rcc rId="0" sId="1">
      <nc r="E622" t="inlineStr">
        <is>
          <t>W1027544/1</t>
        </is>
      </nc>
    </rcc>
    <rcc rId="0" sId="1">
      <nc r="F622" t="inlineStr">
        <is>
          <t>VER1/0270-1145</t>
        </is>
      </nc>
    </rcc>
    <rcc rId="0" sId="1">
      <nc r="G622" t="inlineStr">
        <is>
          <t>QC ECO ,HA S3, NS, GS SPECTRUM BOX-10</t>
        </is>
      </nc>
    </rcc>
    <rcc rId="0" sId="1">
      <nc r="H622">
        <v>66.680000000000007</v>
      </nc>
    </rcc>
    <rcc rId="0" sId="1">
      <nc r="I622">
        <v>16.670000000000002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46227.659722222219</v>
      </nc>
      <ndxf>
        <numFmt numFmtId="164" formatCode="mm\-dd\-yyyy"/>
      </ndxf>
    </rcc>
    <rcc rId="0" sId="1" dxf="1" numFmtId="19">
      <nc r="M622">
        <v>46230.368055555555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11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QC S4</t>
        </is>
      </nc>
    </rcc>
    <rcc rId="0" sId="1">
      <nc r="C622">
        <v>5.5</v>
      </nc>
    </rcc>
    <rcc rId="0" sId="1">
      <nc r="D622" t="inlineStr">
        <is>
          <t>24-015</t>
        </is>
      </nc>
    </rcc>
    <rcc rId="0" sId="1">
      <nc r="E622" t="inlineStr">
        <is>
          <t>W1027556/1</t>
        </is>
      </nc>
    </rcc>
    <rcc rId="0" sId="1">
      <nc r="F622" t="inlineStr">
        <is>
          <t>VER1/0270-1084</t>
        </is>
      </nc>
    </rcc>
    <rcc rId="0" sId="1">
      <nc r="G622" t="inlineStr">
        <is>
          <t>Spectrum QC HA S4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46230.375</v>
      </nc>
      <ndxf>
        <numFmt numFmtId="164" formatCode="mm\-dd\-yyyy"/>
      </ndxf>
    </rcc>
    <rcc rId="0" sId="1" dxf="1" numFmtId="19">
      <nc r="M622">
        <v>46231.527777777781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12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 dxf="1">
      <nc r="E622" t="inlineStr">
        <is>
          <t>W1027599/1</t>
        </is>
      </nc>
      <ndxf>
        <fill>
          <patternFill patternType="solid">
            <bgColor rgb="FFFFFF00"/>
          </patternFill>
        </fill>
      </ndxf>
    </rcc>
    <rcc rId="0" sId="1">
      <nc r="F622" t="inlineStr">
        <is>
          <t>VER1/0270-0938</t>
        </is>
      </nc>
    </rcc>
    <rcc rId="0" sId="1">
      <nc r="G622" t="inlineStr">
        <is>
          <t>LoPro S3 Short Well</t>
        </is>
      </nc>
    </rcc>
    <rcc rId="0" sId="1">
      <nc r="H622">
        <v>149.98500000000001</v>
      </nc>
    </rcc>
    <rcc rId="0" sId="1">
      <nc r="I622">
        <v>13.64</v>
      </nc>
    </rcc>
    <rcc rId="0" sId="1">
      <nc r="J622">
        <v>600</v>
      </nc>
    </rcc>
    <rcc rId="0" sId="1">
      <nc r="K622">
        <v>300</v>
      </nc>
    </rcc>
    <rcc rId="0" sId="1" dxf="1" numFmtId="19">
      <nc r="L622">
        <v>46208.958333333336</v>
      </nc>
      <ndxf>
        <numFmt numFmtId="164" formatCode="mm\-dd\-yyyy"/>
      </ndxf>
    </rcc>
    <rcc rId="0" sId="1" dxf="1" numFmtId="19">
      <nc r="M622">
        <v>46209.520833333336</v>
      </nc>
      <ndxf>
        <numFmt numFmtId="164" formatCode="mm\-dd\-yyyy"/>
      </ndxf>
    </rcc>
    <rcc rId="0" sId="1" dxf="1">
      <nc r="O622" t="inlineStr">
        <is>
          <t>P</t>
        </is>
      </nc>
      <ndxf>
        <fill>
          <patternFill patternType="solid">
            <bgColor rgb="FF00B050"/>
          </patternFill>
        </fill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13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W1025513/1</t>
        </is>
      </nc>
    </rcc>
    <rcc rId="0" sId="1">
      <nc r="F622" t="inlineStr">
        <is>
          <t>VER1/0270-1078</t>
        </is>
      </nc>
    </rcc>
    <rcc rId="0" sId="1">
      <nc r="G622" t="inlineStr">
        <is>
          <t>Non Sterile LoPro S3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46209</v>
      </nc>
      <ndxf>
        <numFmt numFmtId="164" formatCode="mm\-dd\-yyyy"/>
      </ndxf>
    </rcc>
    <rcc rId="0" sId="1" dxf="1" numFmtId="19">
      <nc r="M622">
        <v>46209.583333333336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14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W1027600/1</t>
        </is>
      </nc>
    </rcc>
    <rcc rId="0" sId="1">
      <nc r="F622" t="inlineStr">
        <is>
          <t>VER1/0270-0938</t>
        </is>
      </nc>
    </rcc>
    <rcc rId="0" sId="1">
      <nc r="G622" t="inlineStr">
        <is>
          <t>LoPro S3 Short Well</t>
        </is>
      </nc>
    </rcc>
    <rcc rId="0" sId="1">
      <nc r="H622">
        <v>112.47499999999999</v>
      </nc>
    </rcc>
    <rcc rId="0" sId="1">
      <nc r="I622">
        <v>20.45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46209.527777777781</v>
      </nc>
      <ndxf>
        <numFmt numFmtId="164" formatCode="mm\-dd\-yyyy"/>
      </ndxf>
    </rcc>
    <rcc rId="0" sId="1" dxf="1" numFmtId="19">
      <nc r="M622">
        <v>46210.395833333336</v>
      </nc>
      <ndxf>
        <numFmt numFmtId="164" formatCode="mm\-dd\-yyyy"/>
      </ndxf>
    </rcc>
    <rcc rId="0" sId="1">
      <nc r="O622" t="inlineStr">
        <is>
          <t>P</t>
        </is>
      </nc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15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 dxf="1">
      <nc r="E622" t="inlineStr">
        <is>
          <t>W1027601/1</t>
        </is>
      </nc>
      <ndxf>
        <fill>
          <patternFill patternType="solid">
            <bgColor theme="8" tint="0.39997558519241921"/>
          </patternFill>
        </fill>
      </ndxf>
    </rcc>
    <rcc rId="0" sId="1">
      <nc r="F622" t="inlineStr">
        <is>
          <t>VER1/0270-0938</t>
        </is>
      </nc>
    </rcc>
    <rcc rId="0" sId="1">
      <nc r="G622" t="inlineStr">
        <is>
          <t>LoPro S3 Short Well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46209.590277777781</v>
      </nc>
      <ndxf>
        <numFmt numFmtId="164" formatCode="mm\-dd\-yyyy"/>
      </ndxf>
    </rcc>
    <rcc rId="0" sId="1" dxf="1" numFmtId="19">
      <nc r="M622">
        <v>46210.743055555555</v>
      </nc>
      <ndxf>
        <numFmt numFmtId="164" formatCode="mm\-dd\-yyyy"/>
      </ndxf>
    </rcc>
    <rfmt sheetId="1" sqref="N622" start="0" length="0">
      <dxf>
        <fill>
          <patternFill patternType="solid">
            <bgColor theme="8" tint="0.39997558519241921"/>
          </patternFill>
        </fill>
      </dxf>
    </rfmt>
    <rcc rId="0" sId="1" dxf="1">
      <nc r="O622" t="inlineStr">
        <is>
          <t>P</t>
        </is>
      </nc>
      <ndxf>
        <fill>
          <patternFill patternType="solid">
            <bgColor theme="8" tint="0.39997558519241921"/>
          </patternFill>
        </fill>
      </ndxf>
    </rcc>
    <rfmt sheetId="1" sqref="P622" start="0" length="0">
      <dxf>
        <fill>
          <patternFill patternType="solid">
            <bgColor theme="8" tint="0.39997558519241921"/>
          </patternFill>
        </fill>
      </dxf>
    </rfmt>
    <rfmt sheetId="1" sqref="Q622" start="0" length="0">
      <dxf>
        <fill>
          <patternFill patternType="solid">
            <bgColor theme="8" tint="0.39997558519241921"/>
          </patternFill>
        </fill>
      </dxf>
    </rfmt>
    <rfmt sheetId="1" sqref="R622" start="0" length="0">
      <dxf>
        <fill>
          <patternFill patternType="solid">
            <bgColor theme="8" tint="0.39997558519241921"/>
          </patternFill>
        </fill>
      </dxf>
    </rfmt>
    <rfmt sheetId="1" sqref="S622" start="0" length="0">
      <dxf>
        <fill>
          <patternFill patternType="solid">
            <bgColor theme="8" tint="0.39997558519241921"/>
          </patternFill>
        </fill>
      </dxf>
    </rfmt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16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W1029658/1</t>
        </is>
      </nc>
    </rcc>
    <rcc rId="0" sId="1">
      <nc r="F622" t="inlineStr">
        <is>
          <t>VER1/0270-0938</t>
        </is>
      </nc>
    </rcc>
    <rcc rId="0" sId="1">
      <nc r="G622" t="inlineStr">
        <is>
          <t>LoPro S3 Short Well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46210.402777777781</v>
      </nc>
      <ndxf>
        <numFmt numFmtId="164" formatCode="mm\-dd\-yyyy"/>
      </ndxf>
    </rcc>
    <rcc rId="0" sId="1" dxf="1" numFmtId="19">
      <nc r="M622">
        <v>46210.986111111109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17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W1027602/1</t>
        </is>
      </nc>
    </rcc>
    <rcc rId="0" sId="1">
      <nc r="F622" t="inlineStr">
        <is>
          <t>VER1/0270-0938</t>
        </is>
      </nc>
    </rcc>
    <rcc rId="0" sId="1">
      <nc r="G622" t="inlineStr">
        <is>
          <t>LoPro S3 Short Well</t>
        </is>
      </nc>
    </rcc>
    <rcc rId="0" sId="1">
      <nc r="H622">
        <v>112.47499999999999</v>
      </nc>
    </rcc>
    <rcc rId="0" sId="1">
      <nc r="I622">
        <v>20.45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46216</v>
      </nc>
      <ndxf>
        <numFmt numFmtId="164" formatCode="mm\-dd\-yyyy"/>
      </ndxf>
    </rcc>
    <rcc rId="0" sId="1" dxf="1" numFmtId="19">
      <nc r="M622">
        <v>46216.868055555555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18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W1027603/1</t>
        </is>
      </nc>
    </rcc>
    <rcc rId="0" sId="1">
      <nc r="F622" t="inlineStr">
        <is>
          <t>VER1/0270-0938</t>
        </is>
      </nc>
    </rcc>
    <rcc rId="0" sId="1">
      <nc r="G622" t="inlineStr">
        <is>
          <t>LoPro S3 Short Well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46216</v>
      </nc>
      <ndxf>
        <numFmt numFmtId="164" formatCode="mm\-dd\-yyyy"/>
      </ndxf>
    </rcc>
    <rcc rId="0" sId="1" dxf="1" numFmtId="19">
      <nc r="M622">
        <v>46217.152777777781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19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W1027609/1</t>
        </is>
      </nc>
    </rcc>
    <rcc rId="0" sId="1">
      <nc r="F622" t="inlineStr">
        <is>
          <t>VER1/0270-1078</t>
        </is>
      </nc>
    </rcc>
    <rcc rId="0" sId="1">
      <nc r="G622" t="inlineStr">
        <is>
          <t>Non Sterile LoPro S3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46216.875</v>
      </nc>
      <ndxf>
        <numFmt numFmtId="164" formatCode="mm\-dd\-yyyy"/>
      </ndxf>
    </rcc>
    <rcc rId="0" sId="1" dxf="1" numFmtId="19">
      <nc r="M622">
        <v>46217.458333333336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20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W1027604/1</t>
        </is>
      </nc>
    </rcc>
    <rcc rId="0" sId="1">
      <nc r="F622" t="inlineStr">
        <is>
          <t>VER1/0270-0938</t>
        </is>
      </nc>
    </rcc>
    <rcc rId="0" sId="1">
      <nc r="G622" t="inlineStr">
        <is>
          <t>LoPro S3 Short Well</t>
        </is>
      </nc>
    </rcc>
    <rcc rId="0" sId="1">
      <nc r="H622">
        <v>112.47499999999999</v>
      </nc>
    </rcc>
    <rcc rId="0" sId="1">
      <nc r="I622">
        <v>20.45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46223</v>
      </nc>
      <ndxf>
        <numFmt numFmtId="164" formatCode="mm\-dd\-yyyy"/>
      </ndxf>
    </rcc>
    <rcc rId="0" sId="1" dxf="1" numFmtId="19">
      <nc r="M622">
        <v>46223.868055555555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21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W1027605/1</t>
        </is>
      </nc>
    </rcc>
    <rcc rId="0" sId="1">
      <nc r="F622" t="inlineStr">
        <is>
          <t>VER1/0270-0938</t>
        </is>
      </nc>
    </rcc>
    <rcc rId="0" sId="1">
      <nc r="G622" t="inlineStr">
        <is>
          <t>LoPro S3 Short Well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46223</v>
      </nc>
      <ndxf>
        <numFmt numFmtId="164" formatCode="mm\-dd\-yyyy"/>
      </ndxf>
    </rcc>
    <rcc rId="0" sId="1" dxf="1" numFmtId="19">
      <nc r="M622">
        <v>46224.152777777781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22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W1027610/1</t>
        </is>
      </nc>
    </rcc>
    <rcc rId="0" sId="1">
      <nc r="F622" t="inlineStr">
        <is>
          <t>VER1/0270-1078</t>
        </is>
      </nc>
    </rcc>
    <rcc rId="0" sId="1">
      <nc r="G622" t="inlineStr">
        <is>
          <t>Non Sterile LoPro S3</t>
        </is>
      </nc>
    </rcc>
    <rcc rId="0" sId="1">
      <nc r="H622">
        <v>37.51</v>
      </nc>
    </rcc>
    <rcc rId="0" sId="1">
      <nc r="I622">
        <v>6.82</v>
      </nc>
    </rcc>
    <rcc rId="0" sId="1">
      <nc r="J622">
        <v>150</v>
      </nc>
    </rcc>
    <rcc rId="0" sId="1">
      <nc r="K622">
        <v>0</v>
      </nc>
    </rcc>
    <rcc rId="0" sId="1" dxf="1" numFmtId="19">
      <nc r="L622">
        <v>46223.875</v>
      </nc>
      <ndxf>
        <numFmt numFmtId="164" formatCode="mm\-dd\-yyyy"/>
      </ndxf>
    </rcc>
    <rcc rId="0" sId="1" dxf="1" numFmtId="19">
      <nc r="M622">
        <v>46224.173611111109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23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W1027606/1</t>
        </is>
      </nc>
    </rcc>
    <rcc rId="0" sId="1">
      <nc r="F622" t="inlineStr">
        <is>
          <t>VER1/0270-0938</t>
        </is>
      </nc>
    </rcc>
    <rcc rId="0" sId="1">
      <nc r="G622" t="inlineStr">
        <is>
          <t>LoPro S3 Short Well</t>
        </is>
      </nc>
    </rcc>
    <rcc rId="0" sId="1">
      <nc r="H622">
        <v>112.47499999999999</v>
      </nc>
    </rcc>
    <rcc rId="0" sId="1">
      <nc r="I622">
        <v>20.45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46230</v>
      </nc>
      <ndxf>
        <numFmt numFmtId="164" formatCode="mm\-dd\-yyyy"/>
      </ndxf>
    </rcc>
    <rcc rId="0" sId="1" dxf="1" numFmtId="19">
      <nc r="M622">
        <v>46230.868055555555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24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W1027607/1</t>
        </is>
      </nc>
    </rcc>
    <rcc rId="0" sId="1">
      <nc r="F622" t="inlineStr">
        <is>
          <t>VER1/0270-0938</t>
        </is>
      </nc>
    </rcc>
    <rcc rId="0" sId="1">
      <nc r="G622" t="inlineStr">
        <is>
          <t>LoPro S3 Short Well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46230</v>
      </nc>
      <ndxf>
        <numFmt numFmtId="164" formatCode="mm\-dd\-yyyy"/>
      </ndxf>
    </rcc>
    <rcc rId="0" sId="1" dxf="1" numFmtId="19">
      <nc r="M622">
        <v>46231.152777777781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25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S3 HDMI</t>
        </is>
      </nc>
    </rcc>
    <rcc rId="0" sId="1">
      <nc r="C622">
        <v>5.5</v>
      </nc>
    </rcc>
    <rcc rId="0" sId="1">
      <nc r="D622" t="inlineStr">
        <is>
          <t>25-002</t>
        </is>
      </nc>
    </rcc>
    <rcc rId="0" sId="1">
      <nc r="E622" t="inlineStr">
        <is>
          <t>W1028613/1</t>
        </is>
      </nc>
    </rcc>
    <rcc rId="0" sId="1">
      <nc r="F622" t="inlineStr">
        <is>
          <t>VER1/0270-1078</t>
        </is>
      </nc>
    </rcc>
    <rcc rId="0" sId="1">
      <nc r="G622" t="inlineStr">
        <is>
          <t>Non Sterile LoPro S3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46230.875</v>
      </nc>
      <ndxf>
        <numFmt numFmtId="164" formatCode="mm\-dd\-yyyy"/>
      </ndxf>
    </rcc>
    <rcc rId="0" sId="1" dxf="1" numFmtId="19">
      <nc r="M622">
        <v>46231.458333333336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26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W1026790/1</t>
        </is>
      </nc>
    </rcc>
    <rcc rId="0" sId="1">
      <nc r="F622" t="inlineStr">
        <is>
          <t>VER1/0270-1079</t>
        </is>
      </nc>
    </rcc>
    <rcc rId="0" sId="1">
      <nc r="G622" t="inlineStr">
        <is>
          <t>Non Sterile LoPro S4</t>
        </is>
      </nc>
    </rcc>
    <rcc rId="0" sId="1">
      <nc r="H622">
        <v>37.51</v>
      </nc>
    </rcc>
    <rcc rId="0" sId="1">
      <nc r="I622">
        <v>6.82</v>
      </nc>
    </rcc>
    <rcc rId="0" sId="1">
      <nc r="J622">
        <v>150</v>
      </nc>
    </rcc>
    <rcc rId="0" sId="1">
      <nc r="K622">
        <v>0</v>
      </nc>
    </rcc>
    <rcc rId="0" sId="1" dxf="1" numFmtId="19">
      <nc r="L622">
        <v>46208.958333333336</v>
      </nc>
      <ndxf>
        <numFmt numFmtId="164" formatCode="mm\-dd\-yyyy"/>
      </ndxf>
    </rcc>
    <rcc rId="0" sId="1" dxf="1" numFmtId="19">
      <nc r="M622">
        <v>46209.256944444445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27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W1027677/1</t>
        </is>
      </nc>
    </rcc>
    <rcc rId="0" sId="1">
      <nc r="F622" t="inlineStr">
        <is>
          <t>VER1/0270-1079</t>
        </is>
      </nc>
    </rcc>
    <rcc rId="0" sId="1">
      <nc r="G622" t="inlineStr">
        <is>
          <t>Non Sterile LoPro S4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46208.958333333336</v>
      </nc>
      <ndxf>
        <numFmt numFmtId="164" formatCode="mm\-dd\-yyyy"/>
      </ndxf>
    </rcc>
    <rcc rId="0" sId="1" dxf="1" numFmtId="19">
      <nc r="M622">
        <v>46209.541666666664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28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4</v>
      </nc>
    </rcc>
    <rcc rId="0" sId="1" dxf="1">
      <nc r="E622" t="inlineStr">
        <is>
          <t>W1023960/1</t>
        </is>
      </nc>
      <ndxf>
        <fill>
          <patternFill patternType="solid">
            <bgColor theme="8" tint="0.39997558519241921"/>
          </patternFill>
        </fill>
        <border outline="0">
          <bottom style="medium">
            <color indexed="64"/>
          </bottom>
        </border>
      </ndxf>
    </rcc>
    <rcc rId="0" sId="1">
      <nc r="F622" t="inlineStr">
        <is>
          <t>VER1/0270-1140</t>
        </is>
      </nc>
    </rcc>
    <rcc rId="0" sId="1">
      <nc r="G622" t="inlineStr">
        <is>
          <t>Spectrum QC Mac S1</t>
        </is>
      </nc>
    </rcc>
    <rcc rId="0" sId="1">
      <nc r="H622">
        <v>150</v>
      </nc>
    </rcc>
    <rcc rId="0" sId="1">
      <nc r="I622">
        <v>37.5</v>
      </nc>
    </rcc>
    <rcc rId="0" sId="1">
      <nc r="J622">
        <v>450</v>
      </nc>
    </rcc>
    <rcc rId="0" sId="1">
      <nc r="K622">
        <v>0</v>
      </nc>
    </rcc>
    <rcc rId="0" sId="1" dxf="1" numFmtId="19">
      <nc r="L622">
        <v>46209.263888888891</v>
      </nc>
      <ndxf>
        <numFmt numFmtId="164" formatCode="mm\-dd\-yyyy"/>
      </ndxf>
    </rcc>
    <rcc rId="0" sId="1" dxf="1" numFmtId="19">
      <nc r="M622">
        <v>46210.840277777781</v>
      </nc>
      <ndxf>
        <numFmt numFmtId="164" formatCode="mm\-dd\-yyyy"/>
      </ndxf>
    </rcc>
    <rfmt sheetId="1" sqref="N622" start="0" length="0">
      <dxf>
        <fill>
          <patternFill patternType="solid">
            <bgColor theme="8" tint="0.39997558519241921"/>
          </patternFill>
        </fill>
        <border outline="0">
          <bottom style="medium">
            <color indexed="64"/>
          </bottom>
        </border>
      </dxf>
    </rfmt>
    <rcc rId="0" sId="1" dxf="1">
      <nc r="O622" t="inlineStr">
        <is>
          <t>P</t>
        </is>
      </nc>
      <ndxf>
        <fill>
          <patternFill patternType="solid">
            <bgColor theme="8" tint="0.39997558519241921"/>
          </patternFill>
        </fill>
        <border outline="0">
          <bottom style="medium">
            <color indexed="64"/>
          </bottom>
        </border>
      </ndxf>
    </rcc>
    <rfmt sheetId="1" sqref="P622" start="0" length="0">
      <dxf>
        <fill>
          <patternFill patternType="solid">
            <bgColor theme="8" tint="0.39997558519241921"/>
          </patternFill>
        </fill>
        <border outline="0">
          <bottom style="medium">
            <color indexed="64"/>
          </bottom>
        </border>
      </dxf>
    </rfmt>
    <rfmt sheetId="1" sqref="Q622" start="0" length="0">
      <dxf>
        <fill>
          <patternFill patternType="solid">
            <bgColor theme="8" tint="0.39997558519241921"/>
          </patternFill>
        </fill>
        <border outline="0">
          <bottom style="medium">
            <color indexed="64"/>
          </bottom>
        </border>
      </dxf>
    </rfmt>
    <rfmt sheetId="1" sqref="R622" start="0" length="0">
      <dxf>
        <fill>
          <patternFill patternType="solid">
            <bgColor theme="8" tint="0.39997558519241921"/>
          </patternFill>
        </fill>
        <border outline="0">
          <bottom style="medium">
            <color indexed="64"/>
          </bottom>
        </border>
      </dxf>
    </rfmt>
    <rfmt sheetId="1" sqref="S622" start="0" length="0">
      <dxf>
        <fill>
          <patternFill patternType="solid">
            <bgColor theme="8" tint="0.39997558519241921"/>
          </patternFill>
        </fill>
        <border outline="0">
          <bottom style="medium">
            <color indexed="64"/>
          </bottom>
        </border>
      </dxf>
    </rfmt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29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4</v>
      </nc>
    </rcc>
    <rcc rId="0" sId="1">
      <nc r="E622" t="inlineStr">
        <is>
          <t>W1026793/1</t>
        </is>
      </nc>
    </rcc>
    <rcc rId="0" sId="1">
      <nc r="F622" t="inlineStr">
        <is>
          <t>VER1/0270-1152</t>
        </is>
      </nc>
    </rcc>
    <rcc rId="0" sId="1">
      <nc r="G622" t="inlineStr">
        <is>
          <t>QC ECO, MAC S2, NS, GS SPECTRUM BOX-10</t>
        </is>
      </nc>
    </rcc>
    <rcc rId="0" sId="1">
      <nc r="H622">
        <v>100</v>
      </nc>
    </rcc>
    <rcc rId="0" sId="1">
      <nc r="I622">
        <v>25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46209.548611111109</v>
      </nc>
      <ndxf>
        <numFmt numFmtId="164" formatCode="mm\-dd\-yyyy"/>
      </ndxf>
    </rcc>
    <rcc rId="0" sId="1" dxf="1" numFmtId="19">
      <nc r="M622">
        <v>46210.604166666664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30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W1026867/1</t>
        </is>
      </nc>
    </rcc>
    <rcc rId="0" sId="1">
      <nc r="F622" t="inlineStr">
        <is>
          <t>VER1/0270-1079</t>
        </is>
      </nc>
    </rcc>
    <rcc rId="0" sId="1">
      <nc r="G622" t="inlineStr">
        <is>
          <t>Non Sterile LoPro S4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46210.611111111109</v>
      </nc>
      <ndxf>
        <numFmt numFmtId="164" formatCode="mm\-dd\-yyyy"/>
      </ndxf>
    </rcc>
    <rcc rId="0" sId="1" dxf="1" numFmtId="19">
      <nc r="M622">
        <v>46211.194444444445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31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W1027664/1</t>
        </is>
      </nc>
    </rcc>
    <rcc rId="0" sId="1">
      <nc r="F622" t="inlineStr">
        <is>
          <t>VER1/0270-0939</t>
        </is>
      </nc>
    </rcc>
    <rcc rId="0" sId="1">
      <nc r="G622" t="inlineStr">
        <is>
          <t>LoPro S4 Short Well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46210.847222222219</v>
      </nc>
      <ndxf>
        <numFmt numFmtId="164" formatCode="mm\-dd\-yyyy"/>
      </ndxf>
    </rcc>
    <rcc rId="0" sId="1" dxf="1" numFmtId="19">
      <nc r="M622">
        <v>46212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32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W1027663/1</t>
        </is>
      </nc>
    </rcc>
    <rcc rId="0" sId="1">
      <nc r="F622" t="inlineStr">
        <is>
          <t>VER1/0270-0939</t>
        </is>
      </nc>
    </rcc>
    <rcc rId="0" sId="1">
      <nc r="G622" t="inlineStr">
        <is>
          <t>LoPro S4 Short Well</t>
        </is>
      </nc>
    </rcc>
    <rcc rId="0" sId="1">
      <nc r="H622">
        <v>37.51</v>
      </nc>
    </rcc>
    <rcc rId="0" sId="1">
      <nc r="I622">
        <v>6.82</v>
      </nc>
    </rcc>
    <rcc rId="0" sId="1">
      <nc r="J622">
        <v>150</v>
      </nc>
    </rcc>
    <rcc rId="0" sId="1">
      <nc r="K622">
        <v>0</v>
      </nc>
    </rcc>
    <rcc rId="0" sId="1" dxf="1" numFmtId="19">
      <nc r="L622">
        <v>46216</v>
      </nc>
      <ndxf>
        <numFmt numFmtId="164" formatCode="mm\-dd\-yyyy"/>
      </ndxf>
    </rcc>
    <rcc rId="0" sId="1" dxf="1" numFmtId="19">
      <nc r="M622">
        <v>46216.298611111109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33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W1027224/1</t>
        </is>
      </nc>
    </rcc>
    <rcc rId="0" sId="1">
      <nc r="F622" t="inlineStr">
        <is>
          <t>VER1/0270-1079</t>
        </is>
      </nc>
    </rcc>
    <rcc rId="0" sId="1">
      <nc r="G622" t="inlineStr">
        <is>
          <t>Non Sterile LoPro S4</t>
        </is>
      </nc>
    </rcc>
    <rcc rId="0" sId="1">
      <nc r="H622">
        <v>37.51</v>
      </nc>
    </rcc>
    <rcc rId="0" sId="1">
      <nc r="I622">
        <v>6.82</v>
      </nc>
    </rcc>
    <rcc rId="0" sId="1">
      <nc r="J622">
        <v>150</v>
      </nc>
    </rcc>
    <rcc rId="0" sId="1">
      <nc r="K622">
        <v>0</v>
      </nc>
    </rcc>
    <rcc rId="0" sId="1" dxf="1" numFmtId="19">
      <nc r="L622">
        <v>46216</v>
      </nc>
      <ndxf>
        <numFmt numFmtId="164" formatCode="mm\-dd\-yyyy"/>
      </ndxf>
    </rcc>
    <rcc rId="0" sId="1" dxf="1" numFmtId="19">
      <nc r="M622">
        <v>46216.298611111109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34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W1027665/1</t>
        </is>
      </nc>
    </rcc>
    <rcc rId="0" sId="1">
      <nc r="F622" t="inlineStr">
        <is>
          <t>VER1/0270-0939</t>
        </is>
      </nc>
    </rcc>
    <rcc rId="0" sId="1">
      <nc r="G622" t="inlineStr">
        <is>
          <t>LoPro S4 Short Well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46216.305555555555</v>
      </nc>
      <ndxf>
        <numFmt numFmtId="164" formatCode="mm\-dd\-yyyy"/>
      </ndxf>
    </rcc>
    <rcc rId="0" sId="1" dxf="1" numFmtId="19">
      <nc r="M622">
        <v>46217.458333333336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35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W1027667/1</t>
        </is>
      </nc>
    </rcc>
    <rcc rId="0" sId="1">
      <nc r="F622" t="inlineStr">
        <is>
          <t>VER1/0270-0939</t>
        </is>
      </nc>
    </rcc>
    <rcc rId="0" sId="1">
      <nc r="G622" t="inlineStr">
        <is>
          <t>LoPro S4 Short Well</t>
        </is>
      </nc>
    </rcc>
    <rcc rId="0" sId="1">
      <nc r="H622">
        <v>37.51</v>
      </nc>
    </rcc>
    <rcc rId="0" sId="1">
      <nc r="I622">
        <v>6.82</v>
      </nc>
    </rcc>
    <rcc rId="0" sId="1">
      <nc r="J622">
        <v>150</v>
      </nc>
    </rcc>
    <rcc rId="0" sId="1">
      <nc r="K622">
        <v>0</v>
      </nc>
    </rcc>
    <rcc rId="0" sId="1" dxf="1" numFmtId="19">
      <nc r="L622">
        <v>46223</v>
      </nc>
      <ndxf>
        <numFmt numFmtId="164" formatCode="mm\-dd\-yyyy"/>
      </ndxf>
    </rcc>
    <rcc rId="0" sId="1" dxf="1" numFmtId="19">
      <nc r="M622">
        <v>46223.298611111109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36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W1027666/1</t>
        </is>
      </nc>
    </rcc>
    <rcc rId="0" sId="1">
      <nc r="F622" t="inlineStr">
        <is>
          <t>VER1/0270-0939</t>
        </is>
      </nc>
    </rcc>
    <rcc rId="0" sId="1">
      <nc r="G622" t="inlineStr">
        <is>
          <t>LoPro S4 Short Well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46223</v>
      </nc>
      <ndxf>
        <numFmt numFmtId="164" formatCode="mm\-dd\-yyyy"/>
      </ndxf>
    </rcc>
    <rcc rId="0" sId="1" dxf="1" numFmtId="19">
      <nc r="M622">
        <v>46224.152777777781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37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W1027674/1</t>
        </is>
      </nc>
    </rcc>
    <rcc rId="0" sId="1">
      <nc r="F622" t="inlineStr">
        <is>
          <t>VER1/0270-1079</t>
        </is>
      </nc>
    </rcc>
    <rcc rId="0" sId="1">
      <nc r="G622" t="inlineStr">
        <is>
          <t>Non Sterile LoPro S4</t>
        </is>
      </nc>
    </rcc>
    <rcc rId="0" sId="1">
      <nc r="H622">
        <v>37.51</v>
      </nc>
    </rcc>
    <rcc rId="0" sId="1">
      <nc r="I622">
        <v>6.82</v>
      </nc>
    </rcc>
    <rcc rId="0" sId="1">
      <nc r="J622">
        <v>150</v>
      </nc>
    </rcc>
    <rcc rId="0" sId="1">
      <nc r="K622">
        <v>0</v>
      </nc>
    </rcc>
    <rcc rId="0" sId="1" dxf="1" numFmtId="19">
      <nc r="L622">
        <v>46223.305555555555</v>
      </nc>
      <ndxf>
        <numFmt numFmtId="164" formatCode="mm\-dd\-yyyy"/>
      </ndxf>
    </rcc>
    <rcc rId="0" sId="1" dxf="1" numFmtId="19">
      <nc r="M622">
        <v>46223.604166666664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38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W1027675/1</t>
        </is>
      </nc>
    </rcc>
    <rcc rId="0" sId="1">
      <nc r="F622" t="inlineStr">
        <is>
          <t>VER1/0270-1079</t>
        </is>
      </nc>
    </rcc>
    <rcc rId="0" sId="1">
      <nc r="G622" t="inlineStr">
        <is>
          <t>Non Sterile LoPro S4</t>
        </is>
      </nc>
    </rcc>
    <rcc rId="0" sId="1">
      <nc r="H622">
        <v>75.02</v>
      </nc>
    </rcc>
    <rcc rId="0" sId="1">
      <nc r="I622">
        <v>13.64</v>
      </nc>
    </rcc>
    <rcc rId="0" sId="1">
      <nc r="J622">
        <v>300</v>
      </nc>
    </rcc>
    <rcc rId="0" sId="1">
      <nc r="K622">
        <v>0</v>
      </nc>
    </rcc>
    <rcc rId="0" sId="1" dxf="1" numFmtId="19">
      <nc r="L622">
        <v>46230</v>
      </nc>
      <ndxf>
        <numFmt numFmtId="164" formatCode="mm\-dd\-yyyy"/>
      </ndxf>
    </rcc>
    <rcc rId="0" sId="1" dxf="1" numFmtId="19">
      <nc r="M622">
        <v>46230.583333333336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39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LoPro S4 HDMI</t>
        </is>
      </nc>
    </rcc>
    <rcc rId="0" sId="1">
      <nc r="C622">
        <v>5.5</v>
      </nc>
    </rcc>
    <rcc rId="0" sId="1">
      <nc r="D622" t="inlineStr">
        <is>
          <t>25-001</t>
        </is>
      </nc>
    </rcc>
    <rcc rId="0" sId="1">
      <nc r="E622" t="inlineStr">
        <is>
          <t>W1027668/1</t>
        </is>
      </nc>
    </rcc>
    <rcc rId="0" sId="1">
      <nc r="F622" t="inlineStr">
        <is>
          <t>VER1/0270-0939</t>
        </is>
      </nc>
    </rcc>
    <rcc rId="0" sId="1">
      <nc r="G622" t="inlineStr">
        <is>
          <t>LoPro S4 Short Well</t>
        </is>
      </nc>
    </rcc>
    <rcc rId="0" sId="1">
      <nc r="H622">
        <v>149.98500000000001</v>
      </nc>
    </rcc>
    <rcc rId="0" sId="1">
      <nc r="I622">
        <v>27.27</v>
      </nc>
    </rcc>
    <rcc rId="0" sId="1">
      <nc r="J622">
        <v>600</v>
      </nc>
    </rcc>
    <rcc rId="0" sId="1">
      <nc r="K622">
        <v>0</v>
      </nc>
    </rcc>
    <rcc rId="0" sId="1" dxf="1" numFmtId="19">
      <nc r="L622">
        <v>46230</v>
      </nc>
      <ndxf>
        <numFmt numFmtId="164" formatCode="mm\-dd\-yyyy"/>
      </ndxf>
    </rcc>
    <rcc rId="0" sId="1" dxf="1" numFmtId="19">
      <nc r="M622">
        <v>46231.152777777781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40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Mold Man 2</t>
        </is>
      </nc>
    </rcc>
    <rcc rId="0" sId="1">
      <nc r="C622">
        <v>3.5</v>
      </nc>
    </rcc>
    <rcc rId="0" sId="1">
      <nc r="D622" t="inlineStr">
        <is>
          <t>21-005</t>
        </is>
      </nc>
    </rcc>
    <rcc rId="0" sId="1" dxf="1">
      <nc r="E622" t="inlineStr">
        <is>
          <t>W1029965/1</t>
        </is>
      </nc>
      <ndxf>
        <font>
          <b/>
          <sz val="11"/>
          <color theme="1"/>
          <name val="Aptos Narrow"/>
          <family val="2"/>
          <scheme val="minor"/>
        </font>
      </ndxf>
    </rcc>
    <rcc rId="0" sId="1">
      <nc r="F622" t="inlineStr">
        <is>
          <t>VER3/0142-0967</t>
        </is>
      </nc>
    </rcc>
    <rcc rId="0" sId="1">
      <nc r="G622" t="inlineStr">
        <is>
          <t>Encapsulated Quick Connect PCB</t>
        </is>
      </nc>
    </rcc>
    <rcc rId="0" sId="1">
      <nc r="H622">
        <v>157.255</v>
      </nc>
    </rcc>
    <rcc rId="0" sId="1">
      <nc r="I622">
        <v>1.86</v>
      </nc>
    </rcc>
    <rcc rId="0" sId="1">
      <nc r="J622">
        <v>31000</v>
      </nc>
    </rcc>
    <rcc rId="0" sId="1">
      <nc r="K622">
        <v>29717</v>
      </nc>
    </rcc>
    <rcc rId="0" sId="1" dxf="1" numFmtId="19">
      <nc r="L622">
        <v>46208.958333333336</v>
      </nc>
      <ndxf>
        <numFmt numFmtId="164" formatCode="mm\-dd\-yyyy"/>
      </ndxf>
    </rcc>
    <rcc rId="0" sId="1" dxf="1" numFmtId="19">
      <nc r="M622">
        <v>46209.034722222219</v>
      </nc>
      <ndxf>
        <numFmt numFmtId="164" formatCode="mm\-dd\-yyyy"/>
      </ndxf>
    </rcc>
    <rfmt sheetId="1" sqref="N622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O622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P622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Q622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R622" start="0" length="0">
      <dxf>
        <font>
          <b/>
          <sz val="11"/>
          <color theme="1"/>
          <name val="Aptos Narrow"/>
          <family val="2"/>
          <scheme val="minor"/>
        </font>
      </dxf>
    </rfmt>
    <rfmt sheetId="1" sqref="S622" start="0" length="0">
      <dxf>
        <font>
          <b/>
          <sz val="11"/>
          <color theme="1"/>
          <name val="Aptos Narrow"/>
          <family val="2"/>
          <scheme val="minor"/>
        </font>
      </dxf>
    </rfmt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41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Mold Man 2</t>
        </is>
      </nc>
    </rcc>
    <rcc rId="0" sId="1">
      <nc r="C622">
        <v>2</v>
      </nc>
    </rcc>
    <rcc rId="0" sId="1">
      <nc r="D622" t="inlineStr">
        <is>
          <t>21-003</t>
        </is>
      </nc>
    </rcc>
    <rcc rId="0" sId="1">
      <nc r="E622" t="inlineStr">
        <is>
          <t>W1029992/1</t>
        </is>
      </nc>
    </rcc>
    <rcc rId="0" sId="1">
      <nc r="F622" t="inlineStr">
        <is>
          <t>VER3/0142-0972</t>
        </is>
      </nc>
    </rcc>
    <rcc rId="0" sId="1">
      <nc r="G622" t="inlineStr">
        <is>
          <t>Encapsulated Miller Quick Connect PCB</t>
        </is>
      </nc>
    </rcc>
    <rcc rId="0" sId="1">
      <nc r="H622">
        <v>58.34</v>
      </nc>
    </rcc>
    <rcc rId="0" sId="1">
      <nc r="I622">
        <v>29.17</v>
      </nc>
    </rcc>
    <rcc rId="0" sId="1">
      <nc r="J622">
        <v>14000</v>
      </nc>
    </rcc>
    <rcc rId="0" sId="1">
      <nc r="K622">
        <v>0</v>
      </nc>
    </rcc>
    <rcc rId="0" sId="1" dxf="1" numFmtId="19">
      <nc r="L622">
        <v>46209.041666666664</v>
      </nc>
      <ndxf>
        <numFmt numFmtId="164" formatCode="mm\-dd\-yyyy"/>
      </ndxf>
    </rcc>
    <rcc rId="0" sId="1" dxf="1" numFmtId="19">
      <nc r="M622">
        <v>46210.270833333336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42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Mold Man 2</t>
        </is>
      </nc>
    </rcc>
    <rcc rId="0" sId="1">
      <nc r="C622">
        <v>2</v>
      </nc>
    </rcc>
    <rcc rId="0" sId="1">
      <nc r="D622" t="inlineStr">
        <is>
          <t>21-003</t>
        </is>
      </nc>
    </rcc>
    <rcc rId="0" sId="1" dxf="1">
      <nc r="E622" t="inlineStr">
        <is>
          <t>W1029993/1</t>
        </is>
      </nc>
      <ndxf>
        <border outline="0">
          <bottom style="thin">
            <color indexed="64"/>
          </bottom>
        </border>
      </ndxf>
    </rcc>
    <rcc rId="0" sId="1">
      <nc r="F622" t="inlineStr">
        <is>
          <t>VER3/0142-0972</t>
        </is>
      </nc>
    </rcc>
    <rcc rId="0" sId="1">
      <nc r="G622" t="inlineStr">
        <is>
          <t>Encapsulated Miller Quick Connect PCB</t>
        </is>
      </nc>
    </rcc>
    <rcc rId="0" sId="1">
      <nc r="H622">
        <v>25</v>
      </nc>
    </rcc>
    <rcc rId="0" sId="1">
      <nc r="I622">
        <v>12.5</v>
      </nc>
    </rcc>
    <rcc rId="0" sId="1">
      <nc r="J622">
        <v>6000</v>
      </nc>
    </rcc>
    <rcc rId="0" sId="1">
      <nc r="K622">
        <v>0</v>
      </nc>
    </rcc>
    <rcc rId="0" sId="1" dxf="1" numFmtId="19">
      <nc r="L622">
        <v>46210.277777777781</v>
      </nc>
      <ndxf>
        <numFmt numFmtId="164" formatCode="mm\-dd\-yyyy"/>
      </ndxf>
    </rcc>
    <rcc rId="0" sId="1" dxf="1" numFmtId="19">
      <nc r="M622">
        <v>46210.8125</v>
      </nc>
      <ndxf>
        <numFmt numFmtId="164" formatCode="mm\-dd\-yyyy"/>
      </ndxf>
    </rcc>
    <rfmt sheetId="1" sqref="N622" start="0" length="0">
      <dxf>
        <border outline="0">
          <bottom style="thin">
            <color indexed="64"/>
          </bottom>
        </border>
      </dxf>
    </rfmt>
    <rfmt sheetId="1" sqref="O622" start="0" length="0">
      <dxf>
        <border outline="0">
          <bottom style="thin">
            <color indexed="64"/>
          </bottom>
        </border>
      </dxf>
    </rfmt>
    <rfmt sheetId="1" sqref="P622" start="0" length="0">
      <dxf>
        <border outline="0">
          <bottom style="thin">
            <color indexed="64"/>
          </bottom>
        </border>
      </dxf>
    </rfmt>
    <rfmt sheetId="1" sqref="Q622" start="0" length="0">
      <dxf>
        <border outline="0">
          <bottom style="thin">
            <color indexed="64"/>
          </bottom>
        </border>
      </dxf>
    </rfmt>
    <rfmt sheetId="1" sqref="R622" start="0" length="0">
      <dxf>
        <border outline="0">
          <bottom style="thin">
            <color indexed="64"/>
          </bottom>
        </border>
      </dxf>
    </rfmt>
    <rfmt sheetId="1" sqref="S622" start="0" length="0">
      <dxf>
        <border outline="0">
          <bottom style="thin">
            <color indexed="64"/>
          </bottom>
        </border>
      </dxf>
    </rfmt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43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Mold Man 2</t>
        </is>
      </nc>
    </rcc>
    <rcc rId="0" sId="1">
      <nc r="C622">
        <v>2</v>
      </nc>
    </rcc>
    <rcc rId="0" sId="1">
      <nc r="D622" t="inlineStr">
        <is>
          <t>21-003</t>
        </is>
      </nc>
    </rcc>
    <rcc rId="0" sId="1">
      <nc r="E622" t="inlineStr">
        <is>
          <t>W1029994/1</t>
        </is>
      </nc>
    </rcc>
    <rcc rId="0" sId="1">
      <nc r="F622" t="inlineStr">
        <is>
          <t>VER3/0142-0972</t>
        </is>
      </nc>
    </rcc>
    <rcc rId="0" sId="1">
      <nc r="G622" t="inlineStr">
        <is>
          <t>Encapsulated Miller Quick Connect PCB</t>
        </is>
      </nc>
    </rcc>
    <rcc rId="0" sId="1">
      <nc r="H622">
        <v>25</v>
      </nc>
    </rcc>
    <rcc rId="0" sId="1">
      <nc r="I622">
        <v>12.5</v>
      </nc>
    </rcc>
    <rcc rId="0" sId="1">
      <nc r="J622">
        <v>6000</v>
      </nc>
    </rcc>
    <rcc rId="0" sId="1">
      <nc r="K622">
        <v>0</v>
      </nc>
    </rcc>
    <rcc rId="0" sId="1" dxf="1" numFmtId="19">
      <nc r="L622">
        <v>46210.819444444445</v>
      </nc>
      <ndxf>
        <numFmt numFmtId="164" formatCode="mm\-dd\-yyyy"/>
      </ndxf>
    </rcc>
    <rcc rId="0" sId="1" dxf="1" numFmtId="19">
      <nc r="M622">
        <v>46211.354166666664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44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Mold Man 2</t>
        </is>
      </nc>
    </rcc>
    <rcc rId="0" sId="1">
      <nc r="C622">
        <v>3.5</v>
      </nc>
    </rcc>
    <rcc rId="0" sId="1">
      <nc r="D622" t="inlineStr">
        <is>
          <t>21-005</t>
        </is>
      </nc>
    </rcc>
    <rcc rId="0" sId="1">
      <nc r="E622" t="inlineStr">
        <is>
          <t>W1030073/1</t>
        </is>
      </nc>
    </rcc>
    <rcc rId="0" sId="1">
      <nc r="F622" t="inlineStr">
        <is>
          <t>VER3/0142-0967</t>
        </is>
      </nc>
    </rcc>
    <rcc rId="0" sId="1">
      <nc r="G622" t="inlineStr">
        <is>
          <t>Encapsulated Quick Connect PCB</t>
        </is>
      </nc>
    </rcc>
    <rcc rId="0" sId="1">
      <nc r="H622">
        <v>4.0599999999999996</v>
      </nc>
    </rcc>
    <rcc rId="0" sId="1">
      <nc r="I622">
        <v>1.1599999999999999</v>
      </nc>
    </rcc>
    <rcc rId="0" sId="1">
      <nc r="J622">
        <v>800</v>
      </nc>
    </rcc>
    <rcc rId="0" sId="1">
      <nc r="K622">
        <v>0</v>
      </nc>
    </rcc>
    <rcc rId="0" sId="1" dxf="1" numFmtId="19">
      <nc r="L622">
        <v>46211.361111111109</v>
      </nc>
      <ndxf>
        <numFmt numFmtId="164" formatCode="mm\-dd\-yyyy"/>
      </ndxf>
    </rcc>
    <rcc rId="0" sId="1" dxf="1" numFmtId="19">
      <nc r="M622">
        <v>46211.423611111109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45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Mold Man 2</t>
        </is>
      </nc>
    </rcc>
    <rcc rId="0" sId="1">
      <nc r="C622">
        <v>3.5</v>
      </nc>
    </rcc>
    <rcc rId="0" sId="1">
      <nc r="D622" t="inlineStr">
        <is>
          <t>21-005</t>
        </is>
      </nc>
    </rcc>
    <rcc rId="0" sId="1">
      <nc r="E622" t="inlineStr">
        <is>
          <t>W1030164/1</t>
        </is>
      </nc>
    </rcc>
    <rcc rId="0" sId="1">
      <nc r="F622" t="inlineStr">
        <is>
          <t>VER3/0142-0967</t>
        </is>
      </nc>
    </rcc>
    <rcc rId="0" sId="1">
      <nc r="G622" t="inlineStr">
        <is>
          <t>Encapsulated Quick Connect PCB</t>
        </is>
      </nc>
    </rcc>
    <rcc rId="0" sId="1">
      <nc r="H622">
        <v>253.61</v>
      </nc>
    </rcc>
    <rcc rId="0" sId="1">
      <nc r="I622">
        <v>72.459999999999994</v>
      </nc>
    </rcc>
    <rcc rId="0" sId="1">
      <nc r="J622">
        <v>50000</v>
      </nc>
    </rcc>
    <rcc rId="0" sId="1">
      <nc r="K622">
        <v>0</v>
      </nc>
    </rcc>
    <rcc rId="0" sId="1" dxf="1" numFmtId="19">
      <nc r="L622">
        <v>46211.430555555555</v>
      </nc>
      <ndxf>
        <numFmt numFmtId="164" formatCode="mm\-dd\-yyyy"/>
      </ndxf>
    </rcc>
    <rcc rId="0" sId="1" dxf="1" numFmtId="19">
      <nc r="M622">
        <v>46216.465277777781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46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Mold Man 2</t>
        </is>
      </nc>
    </rcc>
    <rcc rId="0" sId="1">
      <nc r="C622">
        <v>3.5</v>
      </nc>
    </rcc>
    <rcc rId="0" sId="1">
      <nc r="D622" t="inlineStr">
        <is>
          <t>21-005</t>
        </is>
      </nc>
    </rcc>
    <rcc rId="0" sId="1">
      <nc r="E622" t="inlineStr">
        <is>
          <t>W1030165/1</t>
        </is>
      </nc>
    </rcc>
    <rcc rId="0" sId="1">
      <nc r="F622" t="inlineStr">
        <is>
          <t>VER3/0142-0967</t>
        </is>
      </nc>
    </rcc>
    <rcc rId="0" sId="1">
      <nc r="G622" t="inlineStr">
        <is>
          <t>Encapsulated Quick Connect PCB</t>
        </is>
      </nc>
    </rcc>
    <rcc rId="0" sId="1">
      <nc r="H622">
        <v>253.61</v>
      </nc>
    </rcc>
    <rcc rId="0" sId="1">
      <nc r="I622">
        <v>72.459999999999994</v>
      </nc>
    </rcc>
    <rcc rId="0" sId="1">
      <nc r="J622">
        <v>50000</v>
      </nc>
    </rcc>
    <rcc rId="0" sId="1">
      <nc r="K622">
        <v>0</v>
      </nc>
    </rcc>
    <rcc rId="0" sId="1" dxf="1" numFmtId="19">
      <nc r="L622">
        <v>46216.472222222219</v>
      </nc>
      <ndxf>
        <numFmt numFmtId="164" formatCode="mm\-dd\-yyyy"/>
      </ndxf>
    </rcc>
    <rcc rId="0" sId="1" dxf="1" numFmtId="19">
      <nc r="M622">
        <v>46219.506944444445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47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Mold Man 2</t>
        </is>
      </nc>
    </rcc>
    <rcc rId="0" sId="1">
      <nc r="C622">
        <v>3.5</v>
      </nc>
    </rcc>
    <rcc rId="0" sId="1">
      <nc r="D622" t="inlineStr">
        <is>
          <t>21-005</t>
        </is>
      </nc>
    </rcc>
    <rcc rId="0" sId="1">
      <nc r="E622" t="inlineStr">
        <is>
          <t>W1030166/1</t>
        </is>
      </nc>
    </rcc>
    <rcc rId="0" sId="1">
      <nc r="F622" t="inlineStr">
        <is>
          <t>VER3/0142-0967</t>
        </is>
      </nc>
    </rcc>
    <rcc rId="0" sId="1">
      <nc r="G622" t="inlineStr">
        <is>
          <t>Encapsulated Quick Connect PCB</t>
        </is>
      </nc>
    </rcc>
    <rcc rId="0" sId="1">
      <nc r="H622">
        <v>253.61</v>
      </nc>
    </rcc>
    <rcc rId="0" sId="1">
      <nc r="I622">
        <v>72.459999999999994</v>
      </nc>
    </rcc>
    <rcc rId="0" sId="1">
      <nc r="J622">
        <v>50000</v>
      </nc>
    </rcc>
    <rcc rId="0" sId="1">
      <nc r="K622">
        <v>0</v>
      </nc>
    </rcc>
    <rcc rId="0" sId="1" dxf="1" numFmtId="19">
      <nc r="L622">
        <v>46219.513888888891</v>
      </nc>
      <ndxf>
        <numFmt numFmtId="164" formatCode="mm\-dd\-yyyy"/>
      </ndxf>
    </rcc>
    <rcc rId="0" sId="1" dxf="1" numFmtId="19">
      <nc r="M622">
        <v>46224.548611111109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48" sId="1" ref="A622:XFD622" action="deleteRow">
    <rfmt sheetId="1" xfDxf="1" sqref="A622:XFD622" start="0" length="0"/>
    <rcc rId="0" sId="1">
      <nc r="A622" t="inlineStr">
        <is>
          <t>Zone 3</t>
        </is>
      </nc>
    </rcc>
    <rcc rId="0" sId="1">
      <nc r="B622" t="inlineStr">
        <is>
          <t>Mold Man 2</t>
        </is>
      </nc>
    </rcc>
    <rcc rId="0" sId="1">
      <nc r="C622">
        <v>3.5</v>
      </nc>
    </rcc>
    <rcc rId="0" sId="1">
      <nc r="D622" t="inlineStr">
        <is>
          <t>21-005</t>
        </is>
      </nc>
    </rcc>
    <rcc rId="0" sId="1">
      <nc r="E622" t="inlineStr">
        <is>
          <t>W1030167/1</t>
        </is>
      </nc>
    </rcc>
    <rcc rId="0" sId="1">
      <nc r="F622" t="inlineStr">
        <is>
          <t>VER3/0142-0967</t>
        </is>
      </nc>
    </rcc>
    <rcc rId="0" sId="1">
      <nc r="G622" t="inlineStr">
        <is>
          <t>Encapsulated Quick Connect PCB</t>
        </is>
      </nc>
    </rcc>
    <rcc rId="0" sId="1">
      <nc r="H622">
        <v>253.61</v>
      </nc>
    </rcc>
    <rcc rId="0" sId="1">
      <nc r="I622">
        <v>72.459999999999994</v>
      </nc>
    </rcc>
    <rcc rId="0" sId="1">
      <nc r="J622">
        <v>50000</v>
      </nc>
    </rcc>
    <rcc rId="0" sId="1">
      <nc r="K622">
        <v>0</v>
      </nc>
    </rcc>
    <rcc rId="0" sId="1" dxf="1" numFmtId="19">
      <nc r="L622">
        <v>46224.555555555555</v>
      </nc>
      <ndxf>
        <numFmt numFmtId="164" formatCode="mm\-dd\-yyyy"/>
      </ndxf>
    </rcc>
    <rcc rId="0" sId="1" dxf="1" numFmtId="19">
      <nc r="M622">
        <v>46227.590277777781</v>
      </nc>
      <ndxf>
        <numFmt numFmtId="164" formatCode="mm\-dd\-yyyy"/>
      </ndxf>
    </rcc>
    <rcc rId="0" sId="1">
      <nc r="AA622" t="inlineStr">
        <is>
          <t>1</t>
        </is>
      </nc>
    </rcc>
    <rcc rId="0" sId="1">
      <nc r="AB622" t="inlineStr">
        <is>
          <t>0</t>
        </is>
      </nc>
    </rcc>
  </rrc>
  <rrc rId="7749" sId="1" ref="A919:XFD925" action="insertRow"/>
  <rcc rId="7750" sId="1" odxf="1" dxf="1">
    <nc r="A919" t="inlineStr">
      <is>
        <t>Zone 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51" sId="1" odxf="1" dxf="1">
    <nc r="B919" t="inlineStr">
      <is>
        <t>Mold Man 2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52" sId="1" odxf="1" dxf="1">
    <nc r="C919">
      <v>2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53" sId="1" odxf="1" dxf="1">
    <nc r="D919" t="inlineStr">
      <is>
        <t>21-003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54" sId="1" odxf="1" dxf="1">
    <nc r="E919" t="inlineStr">
      <is>
        <t>W1029992/1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55" sId="1" odxf="1" dxf="1">
    <nc r="F919" t="inlineStr">
      <is>
        <t>VER3/0142-0972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56" sId="1" odxf="1" dxf="1">
    <nc r="G919" t="inlineStr">
      <is>
        <t>Encapsulated Miller Quick Connect PCB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57" sId="1" odxf="1" dxf="1">
    <nc r="H919">
      <v>58.34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58" sId="1" odxf="1" dxf="1">
    <nc r="I919">
      <v>29.17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59" sId="1" odxf="1" dxf="1">
    <nc r="J919">
      <v>14000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60" sId="1" odxf="1" dxf="1">
    <nc r="K919">
      <v>0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61" sId="1" odxf="1" dxf="1" numFmtId="19">
    <nc r="L919">
      <v>46209.041666666664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62" sId="1" odxf="1" dxf="1" numFmtId="19">
    <nc r="M919">
      <v>46210.270833333336</v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N919" start="0" length="0">
    <dxf>
      <fill>
        <patternFill patternType="solid">
          <bgColor theme="8" tint="0.39997558519241921"/>
        </patternFill>
      </fill>
    </dxf>
  </rfmt>
  <rfmt sheetId="1" sqref="O919" start="0" length="0">
    <dxf>
      <fill>
        <patternFill patternType="solid">
          <bgColor theme="8" tint="0.39997558519241921"/>
        </patternFill>
      </fill>
    </dxf>
  </rfmt>
  <rfmt sheetId="1" sqref="P919" start="0" length="0">
    <dxf>
      <fill>
        <patternFill patternType="solid">
          <bgColor theme="8" tint="0.39997558519241921"/>
        </patternFill>
      </fill>
    </dxf>
  </rfmt>
  <rfmt sheetId="1" sqref="Q919" start="0" length="0">
    <dxf>
      <fill>
        <patternFill patternType="solid">
          <bgColor theme="8" tint="0.39997558519241921"/>
        </patternFill>
      </fill>
    </dxf>
  </rfmt>
  <rfmt sheetId="1" sqref="R919" start="0" length="0">
    <dxf>
      <fill>
        <patternFill patternType="solid">
          <bgColor theme="8" tint="0.39997558519241921"/>
        </patternFill>
      </fill>
    </dxf>
  </rfmt>
  <rfmt sheetId="1" sqref="S919" start="0" length="0">
    <dxf>
      <fill>
        <patternFill patternType="solid">
          <bgColor theme="8" tint="0.39997558519241921"/>
        </patternFill>
      </fill>
    </dxf>
  </rfmt>
  <rfmt sheetId="1" sqref="T919" start="0" length="0">
    <dxf>
      <fill>
        <patternFill patternType="solid">
          <bgColor theme="8" tint="0.39997558519241921"/>
        </patternFill>
      </fill>
    </dxf>
  </rfmt>
  <rfmt sheetId="1" sqref="U919" start="0" length="0">
    <dxf>
      <fill>
        <patternFill patternType="solid">
          <bgColor theme="8" tint="0.39997558519241921"/>
        </patternFill>
      </fill>
    </dxf>
  </rfmt>
  <rfmt sheetId="1" sqref="V919" start="0" length="0">
    <dxf>
      <fill>
        <patternFill patternType="solid">
          <bgColor theme="8" tint="0.39997558519241921"/>
        </patternFill>
      </fill>
    </dxf>
  </rfmt>
  <rfmt sheetId="1" sqref="W919" start="0" length="0">
    <dxf>
      <fill>
        <patternFill patternType="solid">
          <bgColor theme="8" tint="0.39997558519241921"/>
        </patternFill>
      </fill>
    </dxf>
  </rfmt>
  <rfmt sheetId="1" sqref="X919" start="0" length="0">
    <dxf>
      <fill>
        <patternFill patternType="solid">
          <bgColor theme="8" tint="0.39997558519241921"/>
        </patternFill>
      </fill>
    </dxf>
  </rfmt>
  <rfmt sheetId="1" sqref="Y919" start="0" length="0">
    <dxf>
      <fill>
        <patternFill patternType="solid">
          <bgColor theme="8" tint="0.39997558519241921"/>
        </patternFill>
      </fill>
    </dxf>
  </rfmt>
  <rfmt sheetId="1" sqref="Z919" start="0" length="0">
    <dxf>
      <fill>
        <patternFill patternType="solid">
          <bgColor theme="8" tint="0.39997558519241921"/>
        </patternFill>
      </fill>
    </dxf>
  </rfmt>
  <rcc rId="7763" sId="1" odxf="1" dxf="1">
    <nc r="AA919" t="inlineStr">
      <is>
        <t>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7764" sId="1" odxf="1" dxf="1">
    <nc r="AB919" t="inlineStr">
      <is>
        <t>0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A919:XFD919" start="0" length="0">
    <dxf>
      <fill>
        <patternFill patternType="solid">
          <bgColor theme="8" tint="0.39997558519241921"/>
        </patternFill>
      </fill>
    </dxf>
  </rfmt>
  <rcc rId="7765" sId="1">
    <nc r="A920" t="inlineStr">
      <is>
        <t>Zone 3</t>
      </is>
    </nc>
  </rcc>
  <rcc rId="7766" sId="1">
    <nc r="B920" t="inlineStr">
      <is>
        <t>Mold Man 2</t>
      </is>
    </nc>
  </rcc>
  <rcc rId="7767" sId="1">
    <nc r="C920">
      <v>3.5</v>
    </nc>
  </rcc>
  <rcc rId="7768" sId="1">
    <nc r="D920" t="inlineStr">
      <is>
        <t>21-005</t>
      </is>
    </nc>
  </rcc>
  <rcc rId="7769" sId="1">
    <nc r="E920" t="inlineStr">
      <is>
        <t>W1030164/1</t>
      </is>
    </nc>
  </rcc>
  <rcc rId="7770" sId="1">
    <nc r="F920" t="inlineStr">
      <is>
        <t>VER3/0142-0967</t>
      </is>
    </nc>
  </rcc>
  <rcc rId="7771" sId="1">
    <nc r="G920" t="inlineStr">
      <is>
        <r>
          <t xml:space="preserve">Encapsulated Quick Connect PCB - </t>
        </r>
        <r>
          <rPr>
            <b/>
            <sz val="11"/>
            <color rgb="FFFF0000"/>
            <rFont val="Aptos Narrow"/>
            <family val="2"/>
          </rPr>
          <t>PFC MIPI Cameras</t>
        </r>
      </is>
    </nc>
  </rcc>
  <rcc rId="7772" sId="1">
    <nc r="H920">
      <v>253.61</v>
    </nc>
  </rcc>
  <rcc rId="7773" sId="1">
    <nc r="I920">
      <v>72.459999999999994</v>
    </nc>
  </rcc>
  <rcc rId="7774" sId="1">
    <nc r="J920">
      <v>50000</v>
    </nc>
  </rcc>
  <rcc rId="7775" sId="1">
    <nc r="K920">
      <v>0</v>
    </nc>
  </rcc>
  <rcc rId="7776" sId="1" numFmtId="19">
    <nc r="L920">
      <v>46211.430555555555</v>
    </nc>
  </rcc>
  <rcc rId="7777" sId="1" numFmtId="19">
    <nc r="M920">
      <v>46216.465277777781</v>
    </nc>
  </rcc>
  <rcc rId="7778" sId="1">
    <nc r="AA920" t="inlineStr">
      <is>
        <t>1</t>
      </is>
    </nc>
  </rcc>
  <rcc rId="7779" sId="1">
    <nc r="AB920" t="inlineStr">
      <is>
        <t>0</t>
      </is>
    </nc>
  </rcc>
  <rcc rId="7780" sId="1">
    <nc r="A921" t="inlineStr">
      <is>
        <t>Zone 3</t>
      </is>
    </nc>
  </rcc>
  <rcc rId="7781" sId="1">
    <nc r="B921" t="inlineStr">
      <is>
        <t>Mold Man 2</t>
      </is>
    </nc>
  </rcc>
  <rcc rId="7782" sId="1">
    <nc r="C921">
      <v>3.5</v>
    </nc>
  </rcc>
  <rcc rId="7783" sId="1">
    <nc r="D921" t="inlineStr">
      <is>
        <t>21-005</t>
      </is>
    </nc>
  </rcc>
  <rcc rId="7784" sId="1">
    <nc r="E921" t="inlineStr">
      <is>
        <t>W1030165/1</t>
      </is>
    </nc>
  </rcc>
  <rcc rId="7785" sId="1">
    <nc r="F921" t="inlineStr">
      <is>
        <t>VER3/0142-0967</t>
      </is>
    </nc>
  </rcc>
  <rcc rId="7786" sId="1">
    <nc r="G921" t="inlineStr">
      <is>
        <r>
          <t xml:space="preserve">Encapsulated Quick Connect PCB-  </t>
        </r>
        <r>
          <rPr>
            <b/>
            <sz val="11"/>
            <color rgb="FFFF0000"/>
            <rFont val="Aptos Narrow"/>
            <family val="2"/>
          </rPr>
          <t>PFC MIPI Cameras</t>
        </r>
      </is>
    </nc>
  </rcc>
  <rcc rId="7787" sId="1">
    <nc r="H921">
      <v>253.61</v>
    </nc>
  </rcc>
  <rcc rId="7788" sId="1">
    <nc r="I921">
      <v>72.459999999999994</v>
    </nc>
  </rcc>
  <rcc rId="7789" sId="1">
    <nc r="J921">
      <v>50000</v>
    </nc>
  </rcc>
  <rcc rId="7790" sId="1">
    <nc r="K921">
      <v>0</v>
    </nc>
  </rcc>
  <rcc rId="7791" sId="1" numFmtId="19">
    <nc r="L921">
      <v>46216.472222222219</v>
    </nc>
  </rcc>
  <rcc rId="7792" sId="1" numFmtId="19">
    <nc r="M921">
      <v>46219.506944444445</v>
    </nc>
  </rcc>
  <rcc rId="7793" sId="1">
    <nc r="AA921" t="inlineStr">
      <is>
        <t>1</t>
      </is>
    </nc>
  </rcc>
  <rcc rId="7794" sId="1">
    <nc r="AB921" t="inlineStr">
      <is>
        <t>0</t>
      </is>
    </nc>
  </rcc>
  <rcc rId="7795" sId="1">
    <nc r="A922" t="inlineStr">
      <is>
        <t>Zone 3</t>
      </is>
    </nc>
  </rcc>
  <rcc rId="7796" sId="1">
    <nc r="B922" t="inlineStr">
      <is>
        <t>Mold Man 2</t>
      </is>
    </nc>
  </rcc>
  <rcc rId="7797" sId="1">
    <nc r="C922">
      <v>3.5</v>
    </nc>
  </rcc>
  <rcc rId="7798" sId="1">
    <nc r="D922" t="inlineStr">
      <is>
        <t>21-005</t>
      </is>
    </nc>
  </rcc>
  <rcc rId="7799" sId="1">
    <nc r="E922" t="inlineStr">
      <is>
        <t>W1030166/1</t>
      </is>
    </nc>
  </rcc>
  <rcc rId="7800" sId="1">
    <nc r="F922" t="inlineStr">
      <is>
        <t>VER3/0142-0967</t>
      </is>
    </nc>
  </rcc>
  <rcc rId="7801" sId="1">
    <nc r="G922" t="inlineStr">
      <is>
        <r>
          <t xml:space="preserve">Encapsulated Quick Connect PCB - </t>
        </r>
        <r>
          <rPr>
            <b/>
            <sz val="11"/>
            <color theme="3" tint="0.499984740745262"/>
            <rFont val="Aptos Narrow"/>
            <family val="2"/>
          </rPr>
          <t>Celestica MIPI Cameras</t>
        </r>
      </is>
    </nc>
  </rcc>
  <rcc rId="7802" sId="1">
    <nc r="H922">
      <v>253.61</v>
    </nc>
  </rcc>
  <rcc rId="7803" sId="1">
    <nc r="I922">
      <v>72.459999999999994</v>
    </nc>
  </rcc>
  <rcc rId="7804" sId="1">
    <nc r="J922">
      <v>50000</v>
    </nc>
  </rcc>
  <rcc rId="7805" sId="1">
    <nc r="K922">
      <v>0</v>
    </nc>
  </rcc>
  <rcc rId="7806" sId="1" numFmtId="19">
    <nc r="L922">
      <v>46219.513888888891</v>
    </nc>
  </rcc>
  <rcc rId="7807" sId="1" numFmtId="19">
    <nc r="M922">
      <v>46224.548611111109</v>
    </nc>
  </rcc>
  <rcc rId="7808" sId="1">
    <nc r="AA922" t="inlineStr">
      <is>
        <t>1</t>
      </is>
    </nc>
  </rcc>
  <rcc rId="7809" sId="1">
    <nc r="AB922" t="inlineStr">
      <is>
        <t>0</t>
      </is>
    </nc>
  </rcc>
  <rcc rId="7810" sId="1">
    <nc r="A923" t="inlineStr">
      <is>
        <t>Zone 3</t>
      </is>
    </nc>
  </rcc>
  <rcc rId="7811" sId="1">
    <nc r="B923" t="inlineStr">
      <is>
        <t>Mold Man 2</t>
      </is>
    </nc>
  </rcc>
  <rcc rId="7812" sId="1">
    <nc r="C923">
      <v>3.5</v>
    </nc>
  </rcc>
  <rcc rId="7813" sId="1">
    <nc r="D923" t="inlineStr">
      <is>
        <t>21-005</t>
      </is>
    </nc>
  </rcc>
  <rcc rId="7814" sId="1">
    <nc r="E923" t="inlineStr">
      <is>
        <t>W1030167/1</t>
      </is>
    </nc>
  </rcc>
  <rcc rId="7815" sId="1">
    <nc r="F923" t="inlineStr">
      <is>
        <t>VER3/0142-0967</t>
      </is>
    </nc>
  </rcc>
  <rcc rId="7816" sId="1">
    <nc r="G923" t="inlineStr">
      <is>
        <r>
          <t xml:space="preserve">Encapsulated Quick Connect PCB - </t>
        </r>
        <r>
          <rPr>
            <b/>
            <sz val="11"/>
            <color theme="3" tint="0.499984740745262"/>
            <rFont val="Aptos Narrow"/>
            <family val="2"/>
          </rPr>
          <t>Celestica MIPI Cameras</t>
        </r>
      </is>
    </nc>
  </rcc>
  <rcc rId="7817" sId="1">
    <nc r="H923">
      <v>253.61</v>
    </nc>
  </rcc>
  <rcc rId="7818" sId="1">
    <nc r="I923">
      <v>72.459999999999994</v>
    </nc>
  </rcc>
  <rcc rId="7819" sId="1">
    <nc r="J923">
      <v>50000</v>
    </nc>
  </rcc>
  <rcc rId="7820" sId="1">
    <nc r="K923">
      <v>0</v>
    </nc>
  </rcc>
  <rcc rId="7821" sId="1" numFmtId="19">
    <nc r="L923">
      <v>46224.555555555555</v>
    </nc>
  </rcc>
  <rcc rId="7822" sId="1" numFmtId="19">
    <nc r="M923">
      <v>46227.590277777781</v>
    </nc>
  </rcc>
  <rcc rId="7823" sId="1">
    <nc r="AA923" t="inlineStr">
      <is>
        <t>1</t>
      </is>
    </nc>
  </rcc>
  <rcc rId="7824" sId="1">
    <nc r="AB923" t="inlineStr">
      <is>
        <t>0</t>
      </is>
    </nc>
  </rcc>
  <rcc rId="7825" sId="1">
    <nc r="A924" t="inlineStr">
      <is>
        <t>Zone 3</t>
      </is>
    </nc>
  </rcc>
  <rcc rId="7826" sId="1">
    <nc r="B924" t="inlineStr">
      <is>
        <t>Mold Man 2</t>
      </is>
    </nc>
  </rcc>
  <rcc rId="7827" sId="1">
    <nc r="C924">
      <v>2</v>
    </nc>
  </rcc>
  <rcc rId="7828" sId="1">
    <nc r="D924" t="inlineStr">
      <is>
        <t>21-003</t>
      </is>
    </nc>
  </rcc>
  <rcc rId="7829" sId="1" odxf="1" dxf="1">
    <nc r="E924" t="inlineStr">
      <is>
        <t>W1029993/1</t>
      </is>
    </nc>
    <odxf>
      <border outline="0">
        <bottom/>
      </border>
    </odxf>
    <ndxf>
      <border outline="0">
        <bottom style="thin">
          <color indexed="64"/>
        </bottom>
      </border>
    </ndxf>
  </rcc>
  <rcc rId="7830" sId="1">
    <nc r="F924" t="inlineStr">
      <is>
        <t>VER3/0142-0972</t>
      </is>
    </nc>
  </rcc>
  <rcc rId="7831" sId="1">
    <nc r="G924" t="inlineStr">
      <is>
        <t>Encapsulated Miller Quick Connect PCB</t>
      </is>
    </nc>
  </rcc>
  <rcc rId="7832" sId="1">
    <nc r="H924">
      <v>25</v>
    </nc>
  </rcc>
  <rcc rId="7833" sId="1">
    <nc r="I924">
      <v>12.5</v>
    </nc>
  </rcc>
  <rcc rId="7834" sId="1">
    <nc r="J924">
      <v>6000</v>
    </nc>
  </rcc>
  <rcc rId="7835" sId="1">
    <nc r="K924">
      <v>0</v>
    </nc>
  </rcc>
  <rcc rId="7836" sId="1" numFmtId="19">
    <nc r="L924">
      <v>46210.277777777781</v>
    </nc>
  </rcc>
  <rcc rId="7837" sId="1" numFmtId="19">
    <nc r="M924">
      <v>46210.8125</v>
    </nc>
  </rcc>
  <rfmt sheetId="1" sqref="N924" start="0" length="0">
    <dxf>
      <border outline="0">
        <bottom style="thin">
          <color indexed="64"/>
        </bottom>
      </border>
    </dxf>
  </rfmt>
  <rfmt sheetId="1" sqref="O924" start="0" length="0">
    <dxf>
      <border outline="0">
        <bottom style="thin">
          <color indexed="64"/>
        </bottom>
      </border>
    </dxf>
  </rfmt>
  <rfmt sheetId="1" sqref="P924" start="0" length="0">
    <dxf>
      <border outline="0">
        <bottom style="thin">
          <color indexed="64"/>
        </bottom>
      </border>
    </dxf>
  </rfmt>
  <rfmt sheetId="1" sqref="Q924" start="0" length="0">
    <dxf>
      <border outline="0">
        <bottom style="thin">
          <color indexed="64"/>
        </bottom>
      </border>
    </dxf>
  </rfmt>
  <rfmt sheetId="1" sqref="R924" start="0" length="0">
    <dxf>
      <border outline="0">
        <bottom style="thin">
          <color indexed="64"/>
        </bottom>
      </border>
    </dxf>
  </rfmt>
  <rfmt sheetId="1" sqref="S924" start="0" length="0">
    <dxf>
      <border outline="0">
        <bottom style="thin">
          <color indexed="64"/>
        </bottom>
      </border>
    </dxf>
  </rfmt>
  <rcc rId="7838" sId="1">
    <nc r="AA924" t="inlineStr">
      <is>
        <t>1</t>
      </is>
    </nc>
  </rcc>
  <rcc rId="7839" sId="1">
    <nc r="AB924" t="inlineStr">
      <is>
        <t>0</t>
      </is>
    </nc>
  </rcc>
  <rcc rId="7840" sId="1" odxf="1" dxf="1">
    <nc r="A925" t="inlineStr">
      <is>
        <t>Zone 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841" sId="1" odxf="1" dxf="1">
    <nc r="B925" t="inlineStr">
      <is>
        <t>Mold Man 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842" sId="1" odxf="1" dxf="1">
    <nc r="C925">
      <v>2</v>
    </nc>
    <odxf>
      <border outline="0">
        <bottom/>
      </border>
    </odxf>
    <ndxf>
      <border outline="0">
        <bottom style="medium">
          <color indexed="64"/>
        </bottom>
      </border>
    </ndxf>
  </rcc>
  <rcc rId="7843" sId="1" odxf="1" dxf="1">
    <nc r="D925" t="inlineStr">
      <is>
        <t>21-003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844" sId="1" odxf="1" dxf="1">
    <nc r="E925" t="inlineStr">
      <is>
        <t>W1029994/1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845" sId="1" odxf="1" dxf="1">
    <nc r="F925" t="inlineStr">
      <is>
        <t>VER3/0142-0972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846" sId="1" odxf="1" dxf="1">
    <nc r="G925" t="inlineStr">
      <is>
        <t>Encapsulated Miller Quick Connect PCB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847" sId="1" odxf="1" dxf="1">
    <nc r="H925">
      <v>25</v>
    </nc>
    <odxf>
      <border outline="0">
        <bottom/>
      </border>
    </odxf>
    <ndxf>
      <border outline="0">
        <bottom style="medium">
          <color indexed="64"/>
        </bottom>
      </border>
    </ndxf>
  </rcc>
  <rcc rId="7848" sId="1" odxf="1" dxf="1">
    <nc r="I925">
      <v>12.5</v>
    </nc>
    <odxf>
      <border outline="0">
        <bottom/>
      </border>
    </odxf>
    <ndxf>
      <border outline="0">
        <bottom style="medium">
          <color indexed="64"/>
        </bottom>
      </border>
    </ndxf>
  </rcc>
  <rcc rId="7849" sId="1" odxf="1" dxf="1">
    <nc r="J925">
      <v>6000</v>
    </nc>
    <odxf>
      <border outline="0">
        <bottom/>
      </border>
    </odxf>
    <ndxf>
      <border outline="0">
        <bottom style="medium">
          <color indexed="64"/>
        </bottom>
      </border>
    </ndxf>
  </rcc>
  <rcc rId="7850" sId="1" odxf="1" dxf="1">
    <nc r="K925">
      <v>0</v>
    </nc>
    <odxf>
      <border outline="0">
        <bottom/>
      </border>
    </odxf>
    <ndxf>
      <border outline="0">
        <bottom style="medium">
          <color indexed="64"/>
        </bottom>
      </border>
    </ndxf>
  </rcc>
  <rcc rId="7851" sId="1" odxf="1" dxf="1" numFmtId="19">
    <nc r="L925">
      <v>46210.819444444445</v>
    </nc>
    <odxf>
      <border outline="0">
        <bottom/>
      </border>
    </odxf>
    <ndxf>
      <border outline="0">
        <bottom style="medium">
          <color indexed="64"/>
        </bottom>
      </border>
    </ndxf>
  </rcc>
  <rcc rId="7852" sId="1" odxf="1" dxf="1" numFmtId="19">
    <nc r="M925">
      <v>46211.354166666664</v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N925" start="0" length="0">
    <dxf>
      <border outline="0">
        <bottom style="medium">
          <color indexed="64"/>
        </bottom>
      </border>
    </dxf>
  </rfmt>
  <rfmt sheetId="1" sqref="O925" start="0" length="0">
    <dxf>
      <border outline="0">
        <bottom style="medium">
          <color indexed="64"/>
        </bottom>
      </border>
    </dxf>
  </rfmt>
  <rfmt sheetId="1" sqref="P925" start="0" length="0">
    <dxf>
      <border outline="0">
        <bottom style="medium">
          <color indexed="64"/>
        </bottom>
      </border>
    </dxf>
  </rfmt>
  <rfmt sheetId="1" sqref="Q925" start="0" length="0">
    <dxf>
      <border outline="0">
        <bottom style="medium">
          <color indexed="64"/>
        </bottom>
      </border>
    </dxf>
  </rfmt>
  <rfmt sheetId="1" sqref="R925" start="0" length="0">
    <dxf>
      <border outline="0">
        <bottom style="medium">
          <color indexed="64"/>
        </bottom>
      </border>
    </dxf>
  </rfmt>
  <rfmt sheetId="1" sqref="S925" start="0" length="0">
    <dxf>
      <border outline="0">
        <bottom style="medium">
          <color indexed="64"/>
        </bottom>
      </border>
    </dxf>
  </rfmt>
  <rfmt sheetId="1" sqref="T925" start="0" length="0">
    <dxf>
      <border outline="0">
        <bottom style="medium">
          <color indexed="64"/>
        </bottom>
      </border>
    </dxf>
  </rfmt>
  <rfmt sheetId="1" sqref="U925" start="0" length="0">
    <dxf>
      <border outline="0">
        <bottom style="medium">
          <color indexed="64"/>
        </bottom>
      </border>
    </dxf>
  </rfmt>
  <rfmt sheetId="1" sqref="V925" start="0" length="0">
    <dxf>
      <border outline="0">
        <bottom style="medium">
          <color indexed="64"/>
        </bottom>
      </border>
    </dxf>
  </rfmt>
  <rfmt sheetId="1" sqref="W925" start="0" length="0">
    <dxf>
      <border outline="0">
        <bottom style="medium">
          <color indexed="64"/>
        </bottom>
      </border>
    </dxf>
  </rfmt>
  <rfmt sheetId="1" sqref="X925" start="0" length="0">
    <dxf>
      <border outline="0">
        <bottom style="medium">
          <color indexed="64"/>
        </bottom>
      </border>
    </dxf>
  </rfmt>
  <rfmt sheetId="1" sqref="Y925" start="0" length="0">
    <dxf>
      <border outline="0">
        <bottom style="medium">
          <color indexed="64"/>
        </bottom>
      </border>
    </dxf>
  </rfmt>
  <rfmt sheetId="1" sqref="Z925" start="0" length="0">
    <dxf>
      <border outline="0">
        <bottom style="medium">
          <color indexed="64"/>
        </bottom>
      </border>
    </dxf>
  </rfmt>
  <rcc rId="7853" sId="1" odxf="1" dxf="1">
    <nc r="AA925" t="inlineStr">
      <is>
        <t>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7854" sId="1" odxf="1" dxf="1">
    <nc r="AB925" t="inlineStr">
      <is>
        <t>0</t>
      </is>
    </nc>
    <odxf>
      <border outline="0">
        <bottom/>
      </border>
    </odxf>
    <ndxf>
      <border outline="0">
        <bottom style="medium">
          <color indexed="64"/>
        </bottom>
      </border>
    </ndxf>
  </rcc>
  <rfmt sheetId="1" sqref="A925:XFD925" start="0" length="0">
    <dxf>
      <border outline="0">
        <bottom style="medium">
          <color indexed="64"/>
        </bottom>
      </border>
    </dxf>
  </rfmt>
  <rfmt sheetId="1" sqref="A924:XFD924" start="0" length="0">
    <dxf>
      <border>
        <bottom/>
      </border>
    </dxf>
  </rfmt>
  <rfmt sheetId="1" sqref="A918:XFD918" start="0" length="0">
    <dxf>
      <border>
        <bottom style="medium">
          <color indexed="64"/>
        </bottom>
      </border>
    </dxf>
  </rfmt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855" sId="1" ref="A622:XFD645" action="insertRow"/>
  <rcc rId="7856" sId="1" xfDxf="1" dxf="1">
    <nc r="A780" t="inlineStr">
      <is>
        <t>Zone 4</t>
      </is>
    </nc>
  </rcc>
  <rcc rId="7857" sId="1" xfDxf="1" dxf="1">
    <nc r="B780">
      <v>17</v>
    </nc>
  </rcc>
  <rcc rId="7858" sId="1" xfDxf="1" dxf="1">
    <nc r="C780">
      <v>2</v>
    </nc>
  </rcc>
  <rcc rId="7859" sId="1" xfDxf="1" dxf="1">
    <nc r="D780" t="inlineStr">
      <is>
        <t>25-031</t>
      </is>
    </nc>
  </rcc>
  <rcc rId="7860" sId="1" xfDxf="1" dxf="1">
    <nc r="E780" t="inlineStr">
      <is>
        <t>W1027349/1</t>
      </is>
    </nc>
  </rcc>
  <rcc rId="7861" sId="1" xfDxf="1" dxf="1">
    <nc r="F780" t="inlineStr">
      <is>
        <t>VER1/0143-0008</t>
      </is>
    </nc>
  </rcc>
  <rcc rId="7862" sId="1" xfDxf="1" dxf="1">
    <nc r="G780" t="inlineStr">
      <is>
        <t>Right Handle Shell, BFlex 2</t>
      </is>
    </nc>
  </rcc>
  <rcc rId="7863" sId="1" xfDxf="1" dxf="1">
    <nc r="H780">
      <v>125.72</v>
    </nc>
  </rcc>
  <rcc rId="7864" sId="1" xfDxf="1" dxf="1">
    <nc r="I780">
      <v>62.86</v>
    </nc>
  </rcc>
  <rcc rId="7865" sId="1" xfDxf="1" dxf="1">
    <nc r="J780">
      <v>11000</v>
    </nc>
  </rcc>
  <rcc rId="7866" sId="1" xfDxf="1" dxf="1">
    <nc r="K780">
      <v>0</v>
    </nc>
  </rcc>
  <rcc rId="7867" sId="1" xfDxf="1" dxf="1" numFmtId="19">
    <nc r="L780">
      <v>46218.729166666664</v>
    </nc>
    <ndxf>
      <numFmt numFmtId="164" formatCode="mm\-dd\-yyyy"/>
    </ndxf>
  </rcc>
  <rcc rId="7868" sId="1" xfDxf="1" dxf="1" numFmtId="19">
    <nc r="M780">
      <v>46223.347222222219</v>
    </nc>
    <ndxf>
      <numFmt numFmtId="164" formatCode="mm\-dd\-yyyy"/>
    </ndxf>
  </rcc>
  <rfmt sheetId="1" xfDxf="1" sqref="N780" start="0" length="0"/>
  <rfmt sheetId="1" xfDxf="1" sqref="O780" start="0" length="0"/>
  <rfmt sheetId="1" xfDxf="1" sqref="P780" start="0" length="0"/>
  <rfmt sheetId="1" xfDxf="1" sqref="Q780" start="0" length="0"/>
  <rfmt sheetId="1" xfDxf="1" sqref="R780" start="0" length="0"/>
  <rfmt sheetId="1" xfDxf="1" sqref="S780" start="0" length="0"/>
  <rfmt sheetId="1" xfDxf="1" sqref="T780" start="0" length="0"/>
  <rfmt sheetId="1" xfDxf="1" sqref="U780" start="0" length="0"/>
  <rfmt sheetId="1" xfDxf="1" sqref="V780" start="0" length="0"/>
  <rfmt sheetId="1" xfDxf="1" sqref="W780" start="0" length="0"/>
  <rfmt sheetId="1" xfDxf="1" sqref="X780" start="0" length="0"/>
  <rfmt sheetId="1" xfDxf="1" sqref="Y780" start="0" length="0"/>
  <rfmt sheetId="1" xfDxf="1" sqref="Z780" start="0" length="0"/>
  <rcc rId="7869" sId="1" xfDxf="1" dxf="1">
    <nc r="AA780" t="inlineStr">
      <is>
        <t>1</t>
      </is>
    </nc>
  </rcc>
  <rcc rId="7870" sId="1" xfDxf="1" dxf="1">
    <nc r="AB780" t="inlineStr">
      <is>
        <t>0</t>
      </is>
    </nc>
  </rcc>
  <rcc rId="7871" sId="1" xfDxf="1" dxf="1">
    <nc r="A781" t="inlineStr">
      <is>
        <t>Zone 4</t>
      </is>
    </nc>
  </rcc>
  <rcc rId="7872" sId="1" xfDxf="1" dxf="1">
    <nc r="B781">
      <v>17</v>
    </nc>
  </rcc>
  <rcc rId="7873" sId="1" xfDxf="1" dxf="1">
    <nc r="C781">
      <v>2</v>
    </nc>
  </rcc>
  <rcc rId="7874" sId="1" xfDxf="1" dxf="1">
    <nc r="D781" t="inlineStr">
      <is>
        <t>25-031</t>
      </is>
    </nc>
  </rcc>
  <rcc rId="7875" sId="1" xfDxf="1" dxf="1">
    <nc r="E781" t="inlineStr">
      <is>
        <t>W1027350/1</t>
      </is>
    </nc>
  </rcc>
  <rcc rId="7876" sId="1" xfDxf="1" dxf="1">
    <nc r="F781" t="inlineStr">
      <is>
        <t>VER1/0143-0008</t>
      </is>
    </nc>
  </rcc>
  <rcc rId="7877" sId="1" xfDxf="1" dxf="1">
    <nc r="G781" t="inlineStr">
      <is>
        <t>Right Handle Shell, BFlex 2</t>
      </is>
    </nc>
  </rcc>
  <rcc rId="7878" sId="1" xfDxf="1" dxf="1">
    <nc r="H781">
      <v>125.72</v>
    </nc>
  </rcc>
  <rcc rId="7879" sId="1" xfDxf="1" dxf="1">
    <nc r="I781">
      <v>62.86</v>
    </nc>
  </rcc>
  <rcc rId="7880" sId="1" xfDxf="1" dxf="1">
    <nc r="J781">
      <v>11000</v>
    </nc>
  </rcc>
  <rcc rId="7881" sId="1" xfDxf="1" dxf="1">
    <nc r="K781">
      <v>0</v>
    </nc>
  </rcc>
  <rcc rId="7882" sId="1" xfDxf="1" dxf="1" numFmtId="19">
    <nc r="L781">
      <v>46223.354166666664</v>
    </nc>
    <ndxf>
      <numFmt numFmtId="164" formatCode="mm\-dd\-yyyy"/>
    </ndxf>
  </rcc>
  <rcc rId="7883" sId="1" xfDxf="1" dxf="1" numFmtId="19">
    <nc r="M781">
      <v>46225.972222222219</v>
    </nc>
    <ndxf>
      <numFmt numFmtId="164" formatCode="mm\-dd\-yyyy"/>
    </ndxf>
  </rcc>
  <rfmt sheetId="1" xfDxf="1" sqref="N781" start="0" length="0"/>
  <rfmt sheetId="1" xfDxf="1" sqref="O781" start="0" length="0"/>
  <rfmt sheetId="1" xfDxf="1" sqref="P781" start="0" length="0"/>
  <rfmt sheetId="1" xfDxf="1" sqref="Q781" start="0" length="0"/>
  <rfmt sheetId="1" xfDxf="1" sqref="R781" start="0" length="0"/>
  <rfmt sheetId="1" xfDxf="1" sqref="S781" start="0" length="0"/>
  <rfmt sheetId="1" xfDxf="1" sqref="T781" start="0" length="0"/>
  <rfmt sheetId="1" xfDxf="1" sqref="U781" start="0" length="0"/>
  <rfmt sheetId="1" xfDxf="1" sqref="V781" start="0" length="0"/>
  <rfmt sheetId="1" xfDxf="1" sqref="W781" start="0" length="0"/>
  <rfmt sheetId="1" xfDxf="1" sqref="X781" start="0" length="0"/>
  <rfmt sheetId="1" xfDxf="1" sqref="Y781" start="0" length="0"/>
  <rfmt sheetId="1" xfDxf="1" sqref="Z781" start="0" length="0"/>
  <rcc rId="7884" sId="1" xfDxf="1" dxf="1">
    <nc r="AA781" t="inlineStr">
      <is>
        <t>1</t>
      </is>
    </nc>
  </rcc>
  <rcc rId="7885" sId="1" xfDxf="1" dxf="1">
    <nc r="AB781" t="inlineStr">
      <is>
        <t>0</t>
      </is>
    </nc>
  </rcc>
  <rcc rId="7886" sId="1" xfDxf="1" dxf="1">
    <nc r="A782" t="inlineStr">
      <is>
        <t>Zone 4</t>
      </is>
    </nc>
  </rcc>
  <rcc rId="7887" sId="1" xfDxf="1" dxf="1">
    <nc r="B782">
      <v>17</v>
    </nc>
  </rcc>
  <rcc rId="7888" sId="1" xfDxf="1" dxf="1">
    <nc r="C782">
      <v>2</v>
    </nc>
  </rcc>
  <rcc rId="7889" sId="1" xfDxf="1" dxf="1">
    <nc r="D782" t="inlineStr">
      <is>
        <t>25-031</t>
      </is>
    </nc>
  </rcc>
  <rcc rId="7890" sId="1" xfDxf="1" dxf="1">
    <nc r="E782" t="inlineStr">
      <is>
        <t>W1027351/1</t>
      </is>
    </nc>
  </rcc>
  <rcc rId="7891" sId="1" xfDxf="1" dxf="1">
    <nc r="F782" t="inlineStr">
      <is>
        <t>VER1/0143-0008</t>
      </is>
    </nc>
  </rcc>
  <rcc rId="7892" sId="1" xfDxf="1" dxf="1">
    <nc r="G782" t="inlineStr">
      <is>
        <t>Right Handle Shell, BFlex 2</t>
      </is>
    </nc>
  </rcc>
  <rcc rId="7893" sId="1" xfDxf="1" dxf="1">
    <nc r="H782">
      <v>125.72</v>
    </nc>
  </rcc>
  <rcc rId="7894" sId="1" xfDxf="1" dxf="1">
    <nc r="I782">
      <v>62.86</v>
    </nc>
  </rcc>
  <rcc rId="7895" sId="1" xfDxf="1" dxf="1">
    <nc r="J782">
      <v>11000</v>
    </nc>
  </rcc>
  <rcc rId="7896" sId="1" xfDxf="1" dxf="1">
    <nc r="K782">
      <v>0</v>
    </nc>
  </rcc>
  <rcc rId="7897" sId="1" xfDxf="1" dxf="1" numFmtId="19">
    <nc r="L782">
      <v>46225.979166666664</v>
    </nc>
    <ndxf>
      <numFmt numFmtId="164" formatCode="mm\-dd\-yyyy"/>
    </ndxf>
  </rcc>
  <rcc rId="7898" sId="1" xfDxf="1" dxf="1" numFmtId="19">
    <nc r="M782">
      <v>46230.597222222219</v>
    </nc>
    <ndxf>
      <numFmt numFmtId="164" formatCode="mm\-dd\-yyyy"/>
    </ndxf>
  </rcc>
  <rfmt sheetId="1" xfDxf="1" sqref="N782" start="0" length="0"/>
  <rfmt sheetId="1" xfDxf="1" sqref="O782" start="0" length="0"/>
  <rfmt sheetId="1" xfDxf="1" sqref="P782" start="0" length="0"/>
  <rfmt sheetId="1" xfDxf="1" sqref="Q782" start="0" length="0"/>
  <rfmt sheetId="1" xfDxf="1" sqref="R782" start="0" length="0"/>
  <rfmt sheetId="1" xfDxf="1" sqref="S782" start="0" length="0"/>
  <rfmt sheetId="1" xfDxf="1" sqref="T782" start="0" length="0"/>
  <rfmt sheetId="1" xfDxf="1" sqref="U782" start="0" length="0"/>
  <rfmt sheetId="1" xfDxf="1" sqref="V782" start="0" length="0"/>
  <rfmt sheetId="1" xfDxf="1" sqref="W782" start="0" length="0"/>
  <rfmt sheetId="1" xfDxf="1" sqref="X782" start="0" length="0"/>
  <rfmt sheetId="1" xfDxf="1" sqref="Y782" start="0" length="0"/>
  <rfmt sheetId="1" xfDxf="1" sqref="Z782" start="0" length="0"/>
  <rcc rId="7899" sId="1" xfDxf="1" dxf="1">
    <nc r="AA782" t="inlineStr">
      <is>
        <t>1</t>
      </is>
    </nc>
  </rcc>
  <rcc rId="7900" sId="1" xfDxf="1" dxf="1">
    <nc r="AB782" t="inlineStr">
      <is>
        <t>0</t>
      </is>
    </nc>
  </rcc>
  <rcc rId="7901" sId="1" xfDxf="1" dxf="1">
    <nc r="A783" t="inlineStr">
      <is>
        <t>Zone 4</t>
      </is>
    </nc>
    <ndxf>
      <border outline="0">
        <bottom style="thin">
          <color indexed="64"/>
        </bottom>
      </border>
    </ndxf>
  </rcc>
  <rcc rId="7902" sId="1" xfDxf="1" dxf="1">
    <nc r="B783">
      <v>17</v>
    </nc>
    <ndxf>
      <border outline="0">
        <bottom style="thin">
          <color indexed="64"/>
        </bottom>
      </border>
    </ndxf>
  </rcc>
  <rcc rId="7903" sId="1" xfDxf="1" dxf="1">
    <nc r="C783">
      <v>2</v>
    </nc>
    <ndxf>
      <border outline="0">
        <bottom style="thin">
          <color indexed="64"/>
        </bottom>
      </border>
    </ndxf>
  </rcc>
  <rcc rId="7904" sId="1" xfDxf="1" dxf="1">
    <nc r="D783" t="inlineStr">
      <is>
        <t>25-031</t>
      </is>
    </nc>
    <ndxf>
      <border outline="0">
        <bottom style="thin">
          <color indexed="64"/>
        </bottom>
      </border>
    </ndxf>
  </rcc>
  <rcc rId="7905" sId="1" xfDxf="1" dxf="1">
    <nc r="E783" t="inlineStr">
      <is>
        <t>W1027352/1</t>
      </is>
    </nc>
    <ndxf>
      <border outline="0">
        <bottom style="thin">
          <color indexed="64"/>
        </bottom>
      </border>
    </ndxf>
  </rcc>
  <rcc rId="7906" sId="1" xfDxf="1" dxf="1">
    <nc r="F783" t="inlineStr">
      <is>
        <t>VER1/0143-0008</t>
      </is>
    </nc>
    <ndxf>
      <border outline="0">
        <bottom style="thin">
          <color indexed="64"/>
        </bottom>
      </border>
    </ndxf>
  </rcc>
  <rcc rId="7907" sId="1" xfDxf="1" dxf="1">
    <nc r="G783" t="inlineStr">
      <is>
        <t>Right Handle Shell, BFlex 2</t>
      </is>
    </nc>
    <ndxf>
      <border outline="0">
        <bottom style="thin">
          <color indexed="64"/>
        </bottom>
      </border>
    </ndxf>
  </rcc>
  <rcc rId="7908" sId="1" xfDxf="1" dxf="1">
    <nc r="H783">
      <v>125.72</v>
    </nc>
    <ndxf>
      <border outline="0">
        <bottom style="thin">
          <color indexed="64"/>
        </bottom>
      </border>
    </ndxf>
  </rcc>
  <rcc rId="7909" sId="1" xfDxf="1" dxf="1">
    <nc r="I783">
      <v>62.86</v>
    </nc>
    <ndxf>
      <border outline="0">
        <bottom style="thin">
          <color indexed="64"/>
        </bottom>
      </border>
    </ndxf>
  </rcc>
  <rcc rId="7910" sId="1" xfDxf="1" dxf="1">
    <nc r="J783">
      <v>11000</v>
    </nc>
    <ndxf>
      <border outline="0">
        <bottom style="thin">
          <color indexed="64"/>
        </bottom>
      </border>
    </ndxf>
  </rcc>
  <rcc rId="7911" sId="1" xfDxf="1" dxf="1">
    <nc r="K783">
      <v>0</v>
    </nc>
    <ndxf>
      <border outline="0">
        <bottom style="thin">
          <color indexed="64"/>
        </bottom>
      </border>
    </ndxf>
  </rcc>
  <rcc rId="7912" sId="1" xfDxf="1" dxf="1" numFmtId="19">
    <nc r="L783">
      <v>46230.604166666664</v>
    </nc>
    <ndxf>
      <numFmt numFmtId="164" formatCode="mm\-dd\-yyyy"/>
      <border outline="0">
        <bottom style="thin">
          <color indexed="64"/>
        </bottom>
      </border>
    </ndxf>
  </rcc>
  <rcc rId="7913" sId="1" xfDxf="1" dxf="1" numFmtId="19">
    <nc r="M783">
      <v>46233.222222222219</v>
    </nc>
    <ndxf>
      <numFmt numFmtId="164" formatCode="mm\-dd\-yyyy"/>
      <border outline="0">
        <bottom style="thin">
          <color indexed="64"/>
        </bottom>
      </border>
    </ndxf>
  </rcc>
  <rfmt sheetId="1" xfDxf="1" sqref="N783" start="0" length="0">
    <dxf>
      <border outline="0">
        <bottom style="thin">
          <color indexed="64"/>
        </bottom>
      </border>
    </dxf>
  </rfmt>
  <rfmt sheetId="1" xfDxf="1" sqref="O783" start="0" length="0">
    <dxf>
      <border outline="0">
        <bottom style="thin">
          <color indexed="64"/>
        </bottom>
      </border>
    </dxf>
  </rfmt>
  <rfmt sheetId="1" xfDxf="1" sqref="P783" start="0" length="0">
    <dxf>
      <border outline="0">
        <bottom style="thin">
          <color indexed="64"/>
        </bottom>
      </border>
    </dxf>
  </rfmt>
  <rfmt sheetId="1" xfDxf="1" sqref="Q783" start="0" length="0">
    <dxf>
      <border outline="0">
        <bottom style="thin">
          <color indexed="64"/>
        </bottom>
      </border>
    </dxf>
  </rfmt>
  <rfmt sheetId="1" xfDxf="1" sqref="R783" start="0" length="0">
    <dxf>
      <border outline="0">
        <bottom style="thin">
          <color indexed="64"/>
        </bottom>
      </border>
    </dxf>
  </rfmt>
  <rfmt sheetId="1" xfDxf="1" sqref="S783" start="0" length="0">
    <dxf>
      <border outline="0">
        <bottom style="thin">
          <color indexed="64"/>
        </bottom>
      </border>
    </dxf>
  </rfmt>
  <rfmt sheetId="1" xfDxf="1" sqref="T783" start="0" length="0">
    <dxf>
      <border outline="0">
        <bottom style="thin">
          <color indexed="64"/>
        </bottom>
      </border>
    </dxf>
  </rfmt>
  <rfmt sheetId="1" xfDxf="1" sqref="U783" start="0" length="0">
    <dxf>
      <border outline="0">
        <bottom style="thin">
          <color indexed="64"/>
        </bottom>
      </border>
    </dxf>
  </rfmt>
  <rfmt sheetId="1" xfDxf="1" sqref="V783" start="0" length="0">
    <dxf>
      <border outline="0">
        <bottom style="thin">
          <color indexed="64"/>
        </bottom>
      </border>
    </dxf>
  </rfmt>
  <rfmt sheetId="1" xfDxf="1" sqref="W783" start="0" length="0">
    <dxf>
      <border outline="0">
        <bottom style="thin">
          <color indexed="64"/>
        </bottom>
      </border>
    </dxf>
  </rfmt>
  <rfmt sheetId="1" xfDxf="1" sqref="X783" start="0" length="0">
    <dxf>
      <border outline="0">
        <bottom style="thin">
          <color indexed="64"/>
        </bottom>
      </border>
    </dxf>
  </rfmt>
  <rfmt sheetId="1" xfDxf="1" sqref="Y783" start="0" length="0">
    <dxf>
      <border outline="0">
        <bottom style="thin">
          <color indexed="64"/>
        </bottom>
      </border>
    </dxf>
  </rfmt>
  <rfmt sheetId="1" xfDxf="1" sqref="Z783" start="0" length="0">
    <dxf>
      <border outline="0">
        <bottom style="thin">
          <color indexed="64"/>
        </bottom>
      </border>
    </dxf>
  </rfmt>
  <rcc rId="7914" sId="1" xfDxf="1" dxf="1">
    <nc r="AA783" t="inlineStr">
      <is>
        <t>1</t>
      </is>
    </nc>
    <ndxf>
      <border outline="0">
        <bottom style="thin">
          <color indexed="64"/>
        </bottom>
      </border>
    </ndxf>
  </rcc>
  <rcc rId="7915" sId="1" xfDxf="1" dxf="1">
    <nc r="AB783" t="inlineStr">
      <is>
        <t>0</t>
      </is>
    </nc>
    <ndxf>
      <border outline="0">
        <bottom style="thin">
          <color indexed="64"/>
        </bottom>
      </border>
    </ndxf>
  </rcc>
  <rcc rId="7916" sId="1" xfDxf="1" dxf="1">
    <nc r="A784" t="inlineStr">
      <is>
        <t>Zone 4</t>
      </is>
    </nc>
    <ndxf>
      <fill>
        <patternFill patternType="solid">
          <bgColor theme="8" tint="0.39997558519241921"/>
        </patternFill>
      </fill>
    </ndxf>
  </rcc>
  <rcc rId="7917" sId="1" xfDxf="1" dxf="1">
    <nc r="B784">
      <v>18</v>
    </nc>
    <ndxf>
      <fill>
        <patternFill patternType="solid">
          <bgColor theme="8" tint="0.39997558519241921"/>
        </patternFill>
      </fill>
    </ndxf>
  </rcc>
  <rcc rId="7918" sId="1" xfDxf="1" dxf="1">
    <nc r="C784">
      <v>0.33</v>
    </nc>
    <ndxf>
      <fill>
        <patternFill patternType="solid">
          <bgColor theme="8" tint="0.39997558519241921"/>
        </patternFill>
      </fill>
    </ndxf>
  </rcc>
  <rcc rId="7919" sId="1" xfDxf="1" dxf="1">
    <nc r="D784" t="inlineStr">
      <is>
        <t>14-014</t>
      </is>
    </nc>
    <ndxf>
      <fill>
        <patternFill patternType="solid">
          <bgColor theme="8" tint="0.39997558519241921"/>
        </patternFill>
      </fill>
    </ndxf>
  </rcc>
  <rcc rId="7920" sId="1" xfDxf="1" dxf="1">
    <nc r="E784" t="inlineStr">
      <is>
        <t>W1023150/1</t>
      </is>
    </nc>
    <ndxf>
      <fill>
        <patternFill patternType="solid">
          <bgColor theme="8" tint="0.39997558519241921"/>
        </patternFill>
      </fill>
    </ndxf>
  </rcc>
  <rcc rId="7921" sId="1" xfDxf="1" dxf="1">
    <nc r="F784" t="inlineStr">
      <is>
        <t>CRH3/2255-PT-04</t>
      </is>
    </nc>
    <ndxf>
      <fill>
        <patternFill patternType="solid">
          <bgColor theme="8" tint="0.39997558519241921"/>
        </patternFill>
      </fill>
    </ndxf>
  </rcc>
  <rcc rId="7922" sId="1" xfDxf="1" dxf="1">
    <nc r="G784" t="inlineStr">
      <is>
        <t>Main Body</t>
      </is>
    </nc>
    <ndxf>
      <fill>
        <patternFill patternType="solid">
          <bgColor theme="8" tint="0.39997558519241921"/>
        </patternFill>
      </fill>
    </ndxf>
  </rcc>
  <rcc rId="7923" sId="1" xfDxf="1" dxf="1">
    <nc r="H784">
      <v>22.175999999999998</v>
    </nc>
    <ndxf>
      <fill>
        <patternFill patternType="solid">
          <bgColor theme="8" tint="0.39997558519241921"/>
        </patternFill>
      </fill>
    </ndxf>
  </rcc>
  <rcc rId="7924" sId="1" xfDxf="1" dxf="1">
    <nc r="I784">
      <v>67.2</v>
    </nc>
    <ndxf>
      <fill>
        <patternFill patternType="solid">
          <bgColor theme="8" tint="0.39997558519241921"/>
        </patternFill>
      </fill>
    </ndxf>
  </rcc>
  <rcc rId="7925" sId="1" xfDxf="1" dxf="1">
    <nc r="J784">
      <v>16800</v>
    </nc>
    <ndxf>
      <fill>
        <patternFill patternType="solid">
          <bgColor theme="8" tint="0.39997558519241921"/>
        </patternFill>
      </fill>
    </ndxf>
  </rcc>
  <rcc rId="7926" sId="1" xfDxf="1" dxf="1">
    <nc r="K784">
      <v>0</v>
    </nc>
    <ndxf>
      <fill>
        <patternFill patternType="solid">
          <bgColor theme="8" tint="0.39997558519241921"/>
        </patternFill>
      </fill>
    </ndxf>
  </rcc>
  <rcc rId="7927" sId="1" xfDxf="1" dxf="1" numFmtId="19">
    <nc r="L784">
      <v>46208.958333333336</v>
    </nc>
    <ndxf>
      <numFmt numFmtId="164" formatCode="mm\-dd\-yyyy"/>
      <fill>
        <patternFill patternType="solid">
          <bgColor theme="8" tint="0.39997558519241921"/>
        </patternFill>
      </fill>
    </ndxf>
  </rcc>
  <rcc rId="7928" sId="1" xfDxf="1" dxf="1" numFmtId="19">
    <nc r="M784">
      <v>46211.756944444445</v>
    </nc>
    <ndxf>
      <numFmt numFmtId="164" formatCode="mm\-dd\-yyyy"/>
      <fill>
        <patternFill patternType="solid">
          <bgColor theme="8" tint="0.39997558519241921"/>
        </patternFill>
      </fill>
    </ndxf>
  </rcc>
  <rfmt sheetId="1" xfDxf="1" sqref="N784" start="0" length="0">
    <dxf>
      <fill>
        <patternFill patternType="solid">
          <bgColor theme="8" tint="0.39997558519241921"/>
        </patternFill>
      </fill>
    </dxf>
  </rfmt>
  <rfmt sheetId="1" xfDxf="1" sqref="O784" start="0" length="0">
    <dxf>
      <fill>
        <patternFill patternType="solid">
          <bgColor theme="8" tint="0.39997558519241921"/>
        </patternFill>
      </fill>
    </dxf>
  </rfmt>
  <rfmt sheetId="1" xfDxf="1" sqref="P784" start="0" length="0">
    <dxf>
      <fill>
        <patternFill patternType="solid">
          <bgColor theme="8" tint="0.39997558519241921"/>
        </patternFill>
      </fill>
    </dxf>
  </rfmt>
  <rfmt sheetId="1" xfDxf="1" sqref="Q784" start="0" length="0">
    <dxf>
      <fill>
        <patternFill patternType="solid">
          <bgColor theme="8" tint="0.39997558519241921"/>
        </patternFill>
      </fill>
    </dxf>
  </rfmt>
  <rfmt sheetId="1" xfDxf="1" sqref="R784" start="0" length="0">
    <dxf>
      <fill>
        <patternFill patternType="solid">
          <bgColor theme="8" tint="0.39997558519241921"/>
        </patternFill>
      </fill>
    </dxf>
  </rfmt>
  <rfmt sheetId="1" xfDxf="1" sqref="S784" start="0" length="0">
    <dxf>
      <fill>
        <patternFill patternType="solid">
          <bgColor theme="8" tint="0.39997558519241921"/>
        </patternFill>
      </fill>
    </dxf>
  </rfmt>
  <rfmt sheetId="1" xfDxf="1" sqref="T784" start="0" length="0">
    <dxf>
      <fill>
        <patternFill patternType="solid">
          <bgColor theme="8" tint="0.39997558519241921"/>
        </patternFill>
      </fill>
    </dxf>
  </rfmt>
  <rfmt sheetId="1" xfDxf="1" sqref="U784" start="0" length="0">
    <dxf>
      <fill>
        <patternFill patternType="solid">
          <bgColor theme="8" tint="0.39997558519241921"/>
        </patternFill>
      </fill>
    </dxf>
  </rfmt>
  <rfmt sheetId="1" xfDxf="1" sqref="V784" start="0" length="0">
    <dxf>
      <fill>
        <patternFill patternType="solid">
          <bgColor theme="8" tint="0.39997558519241921"/>
        </patternFill>
      </fill>
    </dxf>
  </rfmt>
  <rfmt sheetId="1" xfDxf="1" sqref="W784" start="0" length="0">
    <dxf>
      <fill>
        <patternFill patternType="solid">
          <bgColor theme="8" tint="0.39997558519241921"/>
        </patternFill>
      </fill>
    </dxf>
  </rfmt>
  <rfmt sheetId="1" xfDxf="1" sqref="X784" start="0" length="0">
    <dxf>
      <fill>
        <patternFill patternType="solid">
          <bgColor theme="8" tint="0.39997558519241921"/>
        </patternFill>
      </fill>
    </dxf>
  </rfmt>
  <rfmt sheetId="1" xfDxf="1" sqref="Y784" start="0" length="0">
    <dxf>
      <fill>
        <patternFill patternType="solid">
          <bgColor theme="8" tint="0.39997558519241921"/>
        </patternFill>
      </fill>
    </dxf>
  </rfmt>
  <rfmt sheetId="1" xfDxf="1" sqref="Z784" start="0" length="0">
    <dxf>
      <fill>
        <patternFill patternType="solid">
          <bgColor theme="8" tint="0.39997558519241921"/>
        </patternFill>
      </fill>
    </dxf>
  </rfmt>
  <rcc rId="7929" sId="1" xfDxf="1" dxf="1">
    <nc r="AA784" t="inlineStr">
      <is>
        <t>1</t>
      </is>
    </nc>
    <ndxf>
      <fill>
        <patternFill patternType="solid">
          <bgColor theme="8" tint="0.39997558519241921"/>
        </patternFill>
      </fill>
    </ndxf>
  </rcc>
  <rcc rId="7930" sId="1" xfDxf="1" dxf="1">
    <nc r="AB784" t="inlineStr">
      <is>
        <t>0</t>
      </is>
    </nc>
    <ndxf>
      <fill>
        <patternFill patternType="solid">
          <bgColor theme="8" tint="0.39997558519241921"/>
        </patternFill>
      </fill>
    </ndxf>
  </rcc>
  <rcc rId="7931" sId="1" xfDxf="1" dxf="1">
    <nc r="A785" t="inlineStr">
      <is>
        <t>Zone 4</t>
      </is>
    </nc>
  </rcc>
  <rcc rId="7932" sId="1" xfDxf="1" dxf="1">
    <nc r="B785">
      <v>18</v>
    </nc>
  </rcc>
  <rcc rId="7933" sId="1" xfDxf="1" dxf="1">
    <nc r="C785">
      <v>0.33</v>
    </nc>
  </rcc>
  <rcc rId="7934" sId="1" xfDxf="1" dxf="1">
    <nc r="D785" t="inlineStr">
      <is>
        <t>14-014</t>
      </is>
    </nc>
  </rcc>
  <rcc rId="7935" sId="1" xfDxf="1" dxf="1">
    <nc r="E785" t="inlineStr">
      <is>
        <t>W1023151/1</t>
      </is>
    </nc>
  </rcc>
  <rcc rId="7936" sId="1" xfDxf="1" dxf="1">
    <nc r="F785" t="inlineStr">
      <is>
        <t>CRH3/2255-PT-04</t>
      </is>
    </nc>
  </rcc>
  <rcc rId="7937" sId="1" xfDxf="1" dxf="1">
    <nc r="G785" t="inlineStr">
      <is>
        <t>Main Body</t>
      </is>
    </nc>
  </rcc>
  <rcc rId="7938" sId="1" xfDxf="1" dxf="1">
    <nc r="H785">
      <v>22.175999999999998</v>
    </nc>
  </rcc>
  <rcc rId="7939" sId="1" xfDxf="1" dxf="1">
    <nc r="I785">
      <v>67.2</v>
    </nc>
  </rcc>
  <rcc rId="7940" sId="1" xfDxf="1" dxf="1">
    <nc r="J785">
      <v>16800</v>
    </nc>
  </rcc>
  <rcc rId="7941" sId="1" xfDxf="1" dxf="1">
    <nc r="K785">
      <v>0</v>
    </nc>
  </rcc>
  <rcc rId="7942" sId="1" xfDxf="1" dxf="1" numFmtId="19">
    <nc r="L785">
      <v>46211.763888888891</v>
    </nc>
    <ndxf>
      <numFmt numFmtId="164" formatCode="mm\-dd\-yyyy"/>
    </ndxf>
  </rcc>
  <rcc rId="7943" sId="1" xfDxf="1" dxf="1" numFmtId="19">
    <nc r="M785">
      <v>46216.5625</v>
    </nc>
    <ndxf>
      <numFmt numFmtId="164" formatCode="mm\-dd\-yyyy"/>
    </ndxf>
  </rcc>
  <rfmt sheetId="1" xfDxf="1" sqref="N785" start="0" length="0"/>
  <rfmt sheetId="1" xfDxf="1" sqref="O785" start="0" length="0"/>
  <rfmt sheetId="1" xfDxf="1" sqref="P785" start="0" length="0"/>
  <rfmt sheetId="1" xfDxf="1" sqref="Q785" start="0" length="0"/>
  <rfmt sheetId="1" xfDxf="1" sqref="R785" start="0" length="0"/>
  <rfmt sheetId="1" xfDxf="1" sqref="S785" start="0" length="0"/>
  <rfmt sheetId="1" xfDxf="1" sqref="T785" start="0" length="0"/>
  <rfmt sheetId="1" xfDxf="1" sqref="U785" start="0" length="0"/>
  <rfmt sheetId="1" xfDxf="1" sqref="V785" start="0" length="0"/>
  <rfmt sheetId="1" xfDxf="1" sqref="W785" start="0" length="0"/>
  <rfmt sheetId="1" xfDxf="1" sqref="X785" start="0" length="0"/>
  <rfmt sheetId="1" xfDxf="1" sqref="Y785" start="0" length="0"/>
  <rfmt sheetId="1" xfDxf="1" sqref="Z785" start="0" length="0"/>
  <rcc rId="7944" sId="1" xfDxf="1" dxf="1">
    <nc r="AA785" t="inlineStr">
      <is>
        <t>1</t>
      </is>
    </nc>
  </rcc>
  <rcc rId="7945" sId="1" xfDxf="1" dxf="1">
    <nc r="AB785" t="inlineStr">
      <is>
        <t>0</t>
      </is>
    </nc>
  </rcc>
  <rcc rId="7946" sId="1" xfDxf="1" dxf="1">
    <nc r="A786" t="inlineStr">
      <is>
        <t>Zone 4</t>
      </is>
    </nc>
  </rcc>
  <rcc rId="7947" sId="1" xfDxf="1" dxf="1">
    <nc r="B786">
      <v>18</v>
    </nc>
  </rcc>
  <rcc rId="7948" sId="1" xfDxf="1" dxf="1">
    <nc r="C786">
      <v>0.33</v>
    </nc>
  </rcc>
  <rcc rId="7949" sId="1" xfDxf="1" dxf="1">
    <nc r="D786" t="inlineStr">
      <is>
        <t>14-014</t>
      </is>
    </nc>
  </rcc>
  <rcc rId="7950" sId="1" xfDxf="1" dxf="1">
    <nc r="E786" t="inlineStr">
      <is>
        <t>W1023152/1</t>
      </is>
    </nc>
  </rcc>
  <rcc rId="7951" sId="1" xfDxf="1" dxf="1">
    <nc r="F786" t="inlineStr">
      <is>
        <t>CRH3/2255-PT-04</t>
      </is>
    </nc>
  </rcc>
  <rcc rId="7952" sId="1" xfDxf="1" dxf="1">
    <nc r="G786" t="inlineStr">
      <is>
        <t>Main Body</t>
      </is>
    </nc>
  </rcc>
  <rcc rId="7953" sId="1" xfDxf="1" dxf="1">
    <nc r="H786">
      <v>22.175999999999998</v>
    </nc>
  </rcc>
  <rcc rId="7954" sId="1" xfDxf="1" dxf="1">
    <nc r="I786">
      <v>67.2</v>
    </nc>
  </rcc>
  <rcc rId="7955" sId="1" xfDxf="1" dxf="1">
    <nc r="J786">
      <v>16800</v>
    </nc>
  </rcc>
  <rcc rId="7956" sId="1" xfDxf="1" dxf="1">
    <nc r="K786">
      <v>0</v>
    </nc>
  </rcc>
  <rcc rId="7957" sId="1" xfDxf="1" dxf="1" numFmtId="19">
    <nc r="L786">
      <v>46216.569444444445</v>
    </nc>
    <ndxf>
      <numFmt numFmtId="164" formatCode="mm\-dd\-yyyy"/>
    </ndxf>
  </rcc>
  <rcc rId="7958" sId="1" xfDxf="1" dxf="1" numFmtId="19">
    <nc r="M786">
      <v>46219.368055555555</v>
    </nc>
    <ndxf>
      <numFmt numFmtId="164" formatCode="mm\-dd\-yyyy"/>
    </ndxf>
  </rcc>
  <rfmt sheetId="1" xfDxf="1" sqref="N786" start="0" length="0"/>
  <rfmt sheetId="1" xfDxf="1" sqref="O786" start="0" length="0"/>
  <rfmt sheetId="1" xfDxf="1" sqref="P786" start="0" length="0"/>
  <rfmt sheetId="1" xfDxf="1" sqref="Q786" start="0" length="0"/>
  <rfmt sheetId="1" xfDxf="1" sqref="R786" start="0" length="0"/>
  <rfmt sheetId="1" xfDxf="1" sqref="S786" start="0" length="0"/>
  <rfmt sheetId="1" xfDxf="1" sqref="T786" start="0" length="0"/>
  <rfmt sheetId="1" xfDxf="1" sqref="U786" start="0" length="0"/>
  <rfmt sheetId="1" xfDxf="1" sqref="V786" start="0" length="0"/>
  <rfmt sheetId="1" xfDxf="1" sqref="W786" start="0" length="0"/>
  <rfmt sheetId="1" xfDxf="1" sqref="X786" start="0" length="0"/>
  <rfmt sheetId="1" xfDxf="1" sqref="Y786" start="0" length="0"/>
  <rfmt sheetId="1" xfDxf="1" sqref="Z786" start="0" length="0"/>
  <rcc rId="7959" sId="1" xfDxf="1" dxf="1">
    <nc r="AA786" t="inlineStr">
      <is>
        <t>1</t>
      </is>
    </nc>
  </rcc>
  <rcc rId="7960" sId="1" xfDxf="1" dxf="1">
    <nc r="AB786" t="inlineStr">
      <is>
        <t>0</t>
      </is>
    </nc>
  </rcc>
  <rcc rId="7961" sId="1" xfDxf="1" dxf="1">
    <nc r="A787" t="inlineStr">
      <is>
        <t>Zone 4</t>
      </is>
    </nc>
    <ndxf>
      <border outline="0">
        <bottom style="thin">
          <color indexed="64"/>
        </bottom>
      </border>
    </ndxf>
  </rcc>
  <rcc rId="7962" sId="1" xfDxf="1" dxf="1">
    <nc r="B787">
      <v>18</v>
    </nc>
    <ndxf>
      <border outline="0">
        <bottom style="thin">
          <color indexed="64"/>
        </bottom>
      </border>
    </ndxf>
  </rcc>
  <rcc rId="7963" sId="1" xfDxf="1" dxf="1">
    <nc r="C787">
      <v>1</v>
    </nc>
    <ndxf>
      <border outline="0">
        <bottom style="thin">
          <color indexed="64"/>
        </bottom>
      </border>
    </ndxf>
  </rcc>
  <rcc rId="7964" sId="1" xfDxf="1" dxf="1">
    <nc r="D787" t="inlineStr">
      <is>
        <t>07-017</t>
      </is>
    </nc>
    <ndxf>
      <border outline="0">
        <bottom style="thin">
          <color indexed="64"/>
        </bottom>
      </border>
    </ndxf>
  </rcc>
  <rcc rId="7965" sId="1" xfDxf="1" dxf="1">
    <nc r="E787" t="inlineStr">
      <is>
        <t>W1029330/1</t>
      </is>
    </nc>
    <ndxf>
      <border outline="0">
        <bottom style="thin">
          <color indexed="64"/>
        </bottom>
      </border>
    </ndxf>
  </rcc>
  <rcc rId="7966" sId="1" xfDxf="1" dxf="1">
    <nc r="F787" t="inlineStr">
      <is>
        <t>SMI3/2132-PT-06</t>
      </is>
    </nc>
    <ndxf>
      <border outline="0">
        <bottom style="thin">
          <color indexed="64"/>
        </bottom>
      </border>
    </ndxf>
  </rcc>
  <rcc rId="7967" sId="1" xfDxf="1" dxf="1">
    <nc r="G787" t="inlineStr">
      <is>
        <t>OxyMask Aerosol Mask</t>
      </is>
    </nc>
    <ndxf>
      <border outline="0">
        <bottom style="thin">
          <color indexed="64"/>
        </bottom>
      </border>
    </ndxf>
  </rcc>
  <rcc rId="7968" sId="1" xfDxf="1" dxf="1">
    <nc r="H787">
      <v>85.37</v>
    </nc>
    <ndxf>
      <border outline="0">
        <bottom style="thin">
          <color indexed="64"/>
        </bottom>
      </border>
    </ndxf>
  </rcc>
  <rcc rId="7969" sId="1" xfDxf="1" dxf="1">
    <nc r="I787">
      <v>85.37</v>
    </nc>
    <ndxf>
      <border outline="0">
        <bottom style="thin">
          <color indexed="64"/>
        </bottom>
      </border>
    </ndxf>
  </rcc>
  <rcc rId="7970" sId="1" xfDxf="1" dxf="1">
    <nc r="J787">
      <v>14000</v>
    </nc>
    <ndxf>
      <border outline="0">
        <bottom style="thin">
          <color indexed="64"/>
        </bottom>
      </border>
    </ndxf>
  </rcc>
  <rcc rId="7971" sId="1" xfDxf="1" dxf="1">
    <nc r="K787">
      <v>0</v>
    </nc>
    <ndxf>
      <border outline="0">
        <bottom style="thin">
          <color indexed="64"/>
        </bottom>
      </border>
    </ndxf>
  </rcc>
  <rcc rId="7972" sId="1" xfDxf="1" dxf="1" numFmtId="19">
    <nc r="L787">
      <v>46223.5</v>
    </nc>
    <ndxf>
      <numFmt numFmtId="164" formatCode="mm\-dd\-yyyy"/>
      <border outline="0">
        <bottom style="thin">
          <color indexed="64"/>
        </bottom>
      </border>
    </ndxf>
  </rcc>
  <rcc rId="7973" sId="1" xfDxf="1" dxf="1" numFmtId="19">
    <nc r="M787">
      <v>46227.388888888891</v>
    </nc>
    <ndxf>
      <numFmt numFmtId="164" formatCode="mm\-dd\-yyyy"/>
      <border outline="0">
        <bottom style="thin">
          <color indexed="64"/>
        </bottom>
      </border>
    </ndxf>
  </rcc>
  <rfmt sheetId="1" xfDxf="1" sqref="N787" start="0" length="0">
    <dxf>
      <border outline="0">
        <bottom style="thin">
          <color indexed="64"/>
        </bottom>
      </border>
    </dxf>
  </rfmt>
  <rfmt sheetId="1" xfDxf="1" sqref="O787" start="0" length="0">
    <dxf>
      <border outline="0">
        <bottom style="thin">
          <color indexed="64"/>
        </bottom>
      </border>
    </dxf>
  </rfmt>
  <rfmt sheetId="1" xfDxf="1" sqref="P787" start="0" length="0">
    <dxf>
      <border outline="0">
        <bottom style="thin">
          <color indexed="64"/>
        </bottom>
      </border>
    </dxf>
  </rfmt>
  <rfmt sheetId="1" xfDxf="1" sqref="Q787" start="0" length="0">
    <dxf>
      <border outline="0">
        <bottom style="thin">
          <color indexed="64"/>
        </bottom>
      </border>
    </dxf>
  </rfmt>
  <rfmt sheetId="1" xfDxf="1" sqref="R787" start="0" length="0">
    <dxf>
      <border outline="0">
        <bottom style="thin">
          <color indexed="64"/>
        </bottom>
      </border>
    </dxf>
  </rfmt>
  <rfmt sheetId="1" xfDxf="1" sqref="S787" start="0" length="0">
    <dxf>
      <border outline="0">
        <bottom style="thin">
          <color indexed="64"/>
        </bottom>
      </border>
    </dxf>
  </rfmt>
  <rfmt sheetId="1" xfDxf="1" sqref="T787" start="0" length="0">
    <dxf>
      <border outline="0">
        <bottom style="thin">
          <color indexed="64"/>
        </bottom>
      </border>
    </dxf>
  </rfmt>
  <rfmt sheetId="1" xfDxf="1" sqref="U787" start="0" length="0">
    <dxf>
      <border outline="0">
        <bottom style="thin">
          <color indexed="64"/>
        </bottom>
      </border>
    </dxf>
  </rfmt>
  <rfmt sheetId="1" xfDxf="1" sqref="V787" start="0" length="0">
    <dxf>
      <border outline="0">
        <bottom style="thin">
          <color indexed="64"/>
        </bottom>
      </border>
    </dxf>
  </rfmt>
  <rfmt sheetId="1" xfDxf="1" sqref="W787" start="0" length="0">
    <dxf>
      <border outline="0">
        <bottom style="thin">
          <color indexed="64"/>
        </bottom>
      </border>
    </dxf>
  </rfmt>
  <rfmt sheetId="1" xfDxf="1" sqref="X787" start="0" length="0">
    <dxf>
      <border outline="0">
        <bottom style="thin">
          <color indexed="64"/>
        </bottom>
      </border>
    </dxf>
  </rfmt>
  <rfmt sheetId="1" xfDxf="1" sqref="Y787" start="0" length="0">
    <dxf>
      <border outline="0">
        <bottom style="thin">
          <color indexed="64"/>
        </bottom>
      </border>
    </dxf>
  </rfmt>
  <rfmt sheetId="1" xfDxf="1" sqref="Z787" start="0" length="0">
    <dxf>
      <border outline="0">
        <bottom style="thin">
          <color indexed="64"/>
        </bottom>
      </border>
    </dxf>
  </rfmt>
  <rcc rId="7974" sId="1" xfDxf="1" dxf="1">
    <nc r="AA787" t="inlineStr">
      <is>
        <t>1</t>
      </is>
    </nc>
    <ndxf>
      <border outline="0">
        <bottom style="thin">
          <color indexed="64"/>
        </bottom>
      </border>
    </ndxf>
  </rcc>
  <rcc rId="7975" sId="1" xfDxf="1" dxf="1">
    <nc r="AB787" t="inlineStr">
      <is>
        <t>0</t>
      </is>
    </nc>
    <ndxf>
      <border outline="0">
        <bottom style="thin">
          <color indexed="64"/>
        </bottom>
      </border>
    </ndxf>
  </rcc>
  <rcc rId="7976" sId="1" xfDxf="1" dxf="1">
    <nc r="A788" t="inlineStr">
      <is>
        <t>Zone 4</t>
      </is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77" sId="1" xfDxf="1" dxf="1">
    <nc r="B788">
      <v>19</v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78" sId="1" xfDxf="1" dxf="1">
    <nc r="C788">
      <v>1</v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79" sId="1" xfDxf="1" dxf="1">
    <nc r="D788" t="inlineStr">
      <is>
        <t>01-0097</t>
      </is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80" sId="1" xfDxf="1" dxf="1">
    <nc r="E788" t="inlineStr">
      <is>
        <t>W1025423/1</t>
      </is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81" sId="1" xfDxf="1" dxf="1">
    <nc r="F788" t="inlineStr">
      <is>
        <t>SMI3/030826-1-1</t>
      </is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82" sId="1" xfDxf="1" dxf="1">
    <nc r="G788" t="inlineStr">
      <is>
        <t>molded ophthalmic capnoxygen mask</t>
      </is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83" sId="1" xfDxf="1" dxf="1">
    <nc r="H788">
      <v>120.48</v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84" sId="1" xfDxf="1" dxf="1">
    <nc r="I788">
      <v>120.48</v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85" sId="1" xfDxf="1" dxf="1">
    <nc r="J788">
      <v>15000</v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86" sId="1" xfDxf="1" dxf="1">
    <nc r="K788">
      <v>0</v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87" sId="1" xfDxf="1" dxf="1" numFmtId="19">
    <nc r="L788">
      <v>46208.958333333336</v>
    </nc>
    <ndxf>
      <numFmt numFmtId="164" formatCode="mm\-dd\-yyyy"/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88" sId="1" xfDxf="1" dxf="1" numFmtId="19">
    <nc r="M788">
      <v>46216.305555555555</v>
    </nc>
    <ndxf>
      <numFmt numFmtId="164" formatCode="mm\-dd\-yyyy"/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fmt sheetId="1" xfDxf="1" sqref="N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O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P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Q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R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S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T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U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V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W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X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Y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fmt sheetId="1" xfDxf="1" sqref="Z788" start="0" length="0">
    <dxf>
      <fill>
        <patternFill patternType="solid">
          <bgColor theme="8" tint="0.39997558519241921"/>
        </patternFill>
      </fill>
      <border outline="0">
        <top style="thin">
          <color indexed="64"/>
        </top>
      </border>
    </dxf>
  </rfmt>
  <rcc rId="7989" sId="1" xfDxf="1" dxf="1">
    <nc r="AA788" t="inlineStr">
      <is>
        <t>1</t>
      </is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90" sId="1" xfDxf="1" dxf="1">
    <nc r="AB788" t="inlineStr">
      <is>
        <t>0</t>
      </is>
    </nc>
    <ndxf>
      <fill>
        <patternFill patternType="solid">
          <bgColor theme="8" tint="0.39997558519241921"/>
        </patternFill>
      </fill>
      <border outline="0">
        <top style="thin">
          <color indexed="64"/>
        </top>
      </border>
    </ndxf>
  </rcc>
  <rcc rId="7991" sId="1" xfDxf="1" dxf="1">
    <nc r="A789" t="inlineStr">
      <is>
        <t>Zone 4</t>
      </is>
    </nc>
  </rcc>
  <rcc rId="7992" sId="1" xfDxf="1" dxf="1">
    <nc r="B789">
      <v>19</v>
    </nc>
  </rcc>
  <rcc rId="7993" sId="1" xfDxf="1" dxf="1">
    <nc r="C789">
      <v>3</v>
    </nc>
  </rcc>
  <rcc rId="7994" sId="1" xfDxf="1" dxf="1">
    <nc r="D789" t="inlineStr">
      <is>
        <t>20-007</t>
      </is>
    </nc>
  </rcc>
  <rcc rId="7995" sId="1" xfDxf="1" dxf="1">
    <nc r="E789" t="inlineStr">
      <is>
        <t>W1028696/1</t>
      </is>
    </nc>
  </rcc>
  <rcc rId="7996" sId="1" xfDxf="1" dxf="1">
    <nc r="F789" t="inlineStr">
      <is>
        <t>SMI3/2319-PT-02</t>
      </is>
    </nc>
  </rcc>
  <rcc rId="7997" sId="1" xfDxf="1" dxf="1">
    <nc r="G789" t="inlineStr">
      <is>
        <t>Adjustable Strap</t>
      </is>
    </nc>
  </rcc>
  <rcc rId="7998" sId="1" xfDxf="1" dxf="1">
    <nc r="H789">
      <v>6.51</v>
    </nc>
  </rcc>
  <rcc rId="7999" sId="1" xfDxf="1" dxf="1">
    <nc r="I789">
      <v>2.17</v>
    </nc>
  </rcc>
  <rcc rId="8000" sId="1" xfDxf="1" dxf="1">
    <nc r="J789">
      <v>5000</v>
    </nc>
  </rcc>
  <rcc rId="8001" sId="1" xfDxf="1" dxf="1">
    <nc r="K789">
      <v>0</v>
    </nc>
  </rcc>
  <rcc rId="8002" sId="1" xfDxf="1" dxf="1" numFmtId="19">
    <nc r="L789">
      <v>46216.3125</v>
    </nc>
    <ndxf>
      <numFmt numFmtId="164" formatCode="mm\-dd\-yyyy"/>
    </ndxf>
  </rcc>
  <rcc rId="8003" sId="1" xfDxf="1" dxf="1" numFmtId="19">
    <nc r="M789">
      <v>46216.395833333336</v>
    </nc>
    <ndxf>
      <numFmt numFmtId="164" formatCode="mm\-dd\-yyyy"/>
    </ndxf>
  </rcc>
  <rfmt sheetId="1" xfDxf="1" sqref="N789" start="0" length="0"/>
  <rfmt sheetId="1" xfDxf="1" sqref="O789" start="0" length="0"/>
  <rfmt sheetId="1" xfDxf="1" sqref="P789" start="0" length="0"/>
  <rfmt sheetId="1" xfDxf="1" sqref="Q789" start="0" length="0"/>
  <rfmt sheetId="1" xfDxf="1" sqref="R789" start="0" length="0"/>
  <rfmt sheetId="1" xfDxf="1" sqref="S789" start="0" length="0"/>
  <rfmt sheetId="1" xfDxf="1" sqref="T789" start="0" length="0"/>
  <rfmt sheetId="1" xfDxf="1" sqref="U789" start="0" length="0"/>
  <rfmt sheetId="1" xfDxf="1" sqref="V789" start="0" length="0"/>
  <rfmt sheetId="1" xfDxf="1" sqref="W789" start="0" length="0"/>
  <rfmt sheetId="1" xfDxf="1" sqref="X789" start="0" length="0"/>
  <rfmt sheetId="1" xfDxf="1" sqref="Y789" start="0" length="0"/>
  <rfmt sheetId="1" xfDxf="1" sqref="Z789" start="0" length="0"/>
  <rcc rId="8004" sId="1" xfDxf="1" dxf="1">
    <nc r="AA789" t="inlineStr">
      <is>
        <t>1</t>
      </is>
    </nc>
  </rcc>
  <rcc rId="8005" sId="1" xfDxf="1" dxf="1">
    <nc r="AB789" t="inlineStr">
      <is>
        <t>0</t>
      </is>
    </nc>
  </rcc>
  <rcc rId="8006" sId="1" xfDxf="1" dxf="1">
    <nc r="A790" t="inlineStr">
      <is>
        <t>Zone 4</t>
      </is>
    </nc>
  </rcc>
  <rcc rId="8007" sId="1" xfDxf="1" dxf="1">
    <nc r="B790">
      <v>19</v>
    </nc>
  </rcc>
  <rcc rId="8008" sId="1" xfDxf="1" dxf="1">
    <nc r="C790">
      <v>1</v>
    </nc>
  </rcc>
  <rcc rId="8009" sId="1" xfDxf="1" dxf="1">
    <nc r="D790" t="inlineStr">
      <is>
        <t>09-014</t>
      </is>
    </nc>
  </rcc>
  <rcc rId="8010" sId="1" xfDxf="1" dxf="1">
    <nc r="E790" t="inlineStr">
      <is>
        <t>W1024864/1</t>
      </is>
    </nc>
  </rcc>
  <rcc rId="8011" sId="1" xfDxf="1" dxf="1">
    <nc r="F790" t="inlineStr">
      <is>
        <t>SMI3/2208-PT-01</t>
      </is>
    </nc>
  </rcc>
  <rcc rId="8012" sId="1" xfDxf="1" dxf="1">
    <nc r="G790" t="inlineStr">
      <is>
        <t>OXYMASK HIGH HUMIDITY (PVC)</t>
      </is>
    </nc>
  </rcc>
  <rcc rId="8013" sId="1" xfDxf="1" dxf="1">
    <nc r="H790">
      <v>100</v>
    </nc>
  </rcc>
  <rcc rId="8014" sId="1" xfDxf="1" dxf="1">
    <nc r="I790">
      <v>100</v>
    </nc>
  </rcc>
  <rcc rId="8015" sId="1" xfDxf="1" dxf="1">
    <nc r="J790">
      <v>15000</v>
    </nc>
  </rcc>
  <rcc rId="8016" sId="1" xfDxf="1" dxf="1">
    <nc r="K790">
      <v>0</v>
    </nc>
  </rcc>
  <rcc rId="8017" sId="1" xfDxf="1" dxf="1" numFmtId="19">
    <nc r="L790">
      <v>46216.402777777781</v>
    </nc>
    <ndxf>
      <numFmt numFmtId="164" formatCode="mm\-dd\-yyyy"/>
    </ndxf>
  </rcc>
  <rcc rId="8018" sId="1" xfDxf="1" dxf="1" numFmtId="19">
    <nc r="M790">
      <v>46220.895833333336</v>
    </nc>
    <ndxf>
      <numFmt numFmtId="164" formatCode="mm\-dd\-yyyy"/>
    </ndxf>
  </rcc>
  <rfmt sheetId="1" xfDxf="1" sqref="N790" start="0" length="0"/>
  <rfmt sheetId="1" xfDxf="1" sqref="O790" start="0" length="0"/>
  <rfmt sheetId="1" xfDxf="1" sqref="P790" start="0" length="0"/>
  <rfmt sheetId="1" xfDxf="1" sqref="Q790" start="0" length="0"/>
  <rfmt sheetId="1" xfDxf="1" sqref="R790" start="0" length="0"/>
  <rfmt sheetId="1" xfDxf="1" sqref="S790" start="0" length="0"/>
  <rfmt sheetId="1" xfDxf="1" sqref="T790" start="0" length="0"/>
  <rfmt sheetId="1" xfDxf="1" sqref="U790" start="0" length="0"/>
  <rfmt sheetId="1" xfDxf="1" sqref="V790" start="0" length="0"/>
  <rfmt sheetId="1" xfDxf="1" sqref="W790" start="0" length="0"/>
  <rfmt sheetId="1" xfDxf="1" sqref="X790" start="0" length="0"/>
  <rfmt sheetId="1" xfDxf="1" sqref="Y790" start="0" length="0"/>
  <rfmt sheetId="1" xfDxf="1" sqref="Z790" start="0" length="0"/>
  <rcc rId="8019" sId="1" xfDxf="1" dxf="1">
    <nc r="AA790" t="inlineStr">
      <is>
        <t>1</t>
      </is>
    </nc>
  </rcc>
  <rcc rId="8020" sId="1" xfDxf="1" dxf="1">
    <nc r="AB790" t="inlineStr">
      <is>
        <t>0</t>
      </is>
    </nc>
  </rcc>
  <rcc rId="8021" sId="1" xfDxf="1" dxf="1">
    <nc r="A791" t="inlineStr">
      <is>
        <t>Zone 4</t>
      </is>
    </nc>
  </rcc>
  <rcc rId="8022" sId="1" xfDxf="1" dxf="1">
    <nc r="B791">
      <v>19</v>
    </nc>
  </rcc>
  <rcc rId="8023" sId="1" xfDxf="1" dxf="1">
    <nc r="C791">
      <v>1</v>
    </nc>
  </rcc>
  <rcc rId="8024" sId="1" xfDxf="1" dxf="1">
    <nc r="D791" t="inlineStr">
      <is>
        <t>09-014</t>
      </is>
    </nc>
  </rcc>
  <rcc rId="8025" sId="1" xfDxf="1" dxf="1">
    <nc r="E791" t="inlineStr">
      <is>
        <t>W1030150/1</t>
      </is>
    </nc>
  </rcc>
  <rcc rId="8026" sId="1" xfDxf="1" dxf="1">
    <nc r="F791" t="inlineStr">
      <is>
        <t>SMI3/2208-PT-01</t>
      </is>
    </nc>
  </rcc>
  <rcc rId="8027" sId="1" xfDxf="1" dxf="1">
    <nc r="G791" t="inlineStr">
      <is>
        <t>OXYMASK HIGH HUMIDITY (PVC)</t>
      </is>
    </nc>
  </rcc>
  <rcc rId="8028" sId="1" xfDxf="1" dxf="1">
    <nc r="H791">
      <v>100</v>
    </nc>
  </rcc>
  <rcc rId="8029" sId="1" xfDxf="1" dxf="1">
    <nc r="I791">
      <v>100</v>
    </nc>
  </rcc>
  <rcc rId="8030" sId="1" xfDxf="1" dxf="1">
    <nc r="J791">
      <v>15000</v>
    </nc>
  </rcc>
  <rcc rId="8031" sId="1" xfDxf="1" dxf="1">
    <nc r="K791">
      <v>0</v>
    </nc>
  </rcc>
  <rcc rId="8032" sId="1" xfDxf="1" dxf="1" numFmtId="19">
    <nc r="L791">
      <v>46220.902777777781</v>
    </nc>
    <ndxf>
      <numFmt numFmtId="164" formatCode="mm\-dd\-yyyy"/>
    </ndxf>
  </rcc>
  <rcc rId="8033" sId="1" xfDxf="1" dxf="1" numFmtId="19">
    <nc r="M791">
      <v>46227.395833333336</v>
    </nc>
    <ndxf>
      <numFmt numFmtId="164" formatCode="mm\-dd\-yyyy"/>
    </ndxf>
  </rcc>
  <rfmt sheetId="1" xfDxf="1" sqref="N791" start="0" length="0"/>
  <rfmt sheetId="1" xfDxf="1" sqref="O791" start="0" length="0"/>
  <rfmt sheetId="1" xfDxf="1" sqref="P791" start="0" length="0"/>
  <rfmt sheetId="1" xfDxf="1" sqref="Q791" start="0" length="0"/>
  <rfmt sheetId="1" xfDxf="1" sqref="R791" start="0" length="0"/>
  <rfmt sheetId="1" xfDxf="1" sqref="S791" start="0" length="0"/>
  <rfmt sheetId="1" xfDxf="1" sqref="T791" start="0" length="0"/>
  <rfmt sheetId="1" xfDxf="1" sqref="U791" start="0" length="0"/>
  <rfmt sheetId="1" xfDxf="1" sqref="V791" start="0" length="0"/>
  <rfmt sheetId="1" xfDxf="1" sqref="W791" start="0" length="0"/>
  <rfmt sheetId="1" xfDxf="1" sqref="X791" start="0" length="0"/>
  <rfmt sheetId="1" xfDxf="1" sqref="Y791" start="0" length="0"/>
  <rfmt sheetId="1" xfDxf="1" sqref="Z791" start="0" length="0"/>
  <rcc rId="8034" sId="1" xfDxf="1" dxf="1">
    <nc r="AA791" t="inlineStr">
      <is>
        <t>1</t>
      </is>
    </nc>
  </rcc>
  <rcc rId="8035" sId="1" xfDxf="1" dxf="1">
    <nc r="AB791" t="inlineStr">
      <is>
        <t>0</t>
      </is>
    </nc>
  </rcc>
  <rcc rId="8036" sId="1" xfDxf="1" dxf="1">
    <nc r="A792" t="inlineStr">
      <is>
        <t>Zone 4</t>
      </is>
    </nc>
    <ndxf>
      <border outline="0">
        <bottom style="thin">
          <color indexed="64"/>
        </bottom>
      </border>
    </ndxf>
  </rcc>
  <rcc rId="8037" sId="1" xfDxf="1" dxf="1">
    <nc r="B792">
      <v>19</v>
    </nc>
    <ndxf>
      <border outline="0">
        <bottom style="thin">
          <color indexed="64"/>
        </bottom>
      </border>
    </ndxf>
  </rcc>
  <rcc rId="8038" sId="1" xfDxf="1" dxf="1">
    <nc r="C792">
      <v>0.33</v>
    </nc>
    <ndxf>
      <border outline="0">
        <bottom style="thin">
          <color indexed="64"/>
        </bottom>
      </border>
    </ndxf>
  </rcc>
  <rcc rId="8039" sId="1" xfDxf="1" dxf="1">
    <nc r="D792" t="inlineStr">
      <is>
        <t>06-014-B</t>
      </is>
    </nc>
    <ndxf>
      <border outline="0">
        <bottom style="thin">
          <color indexed="64"/>
        </bottom>
      </border>
    </ndxf>
  </rcc>
  <rcc rId="8040" sId="1" xfDxf="1" dxf="1">
    <nc r="E792" t="inlineStr">
      <is>
        <t>W1028624/1</t>
      </is>
    </nc>
    <ndxf>
      <border outline="0">
        <bottom style="thin">
          <color indexed="64"/>
        </bottom>
      </border>
    </ndxf>
  </rcc>
  <rcc rId="8041" sId="1" xfDxf="1" dxf="1">
    <nc r="F792" t="inlineStr">
      <is>
        <t>SMI3/2288-PT-11</t>
      </is>
    </nc>
    <ndxf>
      <border outline="0">
        <bottom style="thin">
          <color indexed="64"/>
        </bottom>
      </border>
    </ndxf>
  </rcc>
  <rcc rId="8042" sId="1" xfDxf="1" dxf="1">
    <nc r="G792" t="inlineStr">
      <is>
        <t>Oxy II OP Mask</t>
      </is>
    </nc>
    <ndxf>
      <border outline="0">
        <bottom style="thin">
          <color indexed="64"/>
        </bottom>
      </border>
    </ndxf>
  </rcc>
  <rcc rId="8043" sId="1" xfDxf="1" dxf="1">
    <nc r="H792">
      <v>36.6663</v>
    </nc>
    <ndxf>
      <border outline="0">
        <bottom style="thin">
          <color indexed="64"/>
        </bottom>
      </border>
    </ndxf>
  </rcc>
  <rcc rId="8044" sId="1" xfDxf="1" dxf="1">
    <nc r="I792">
      <v>111.11</v>
    </nc>
    <ndxf>
      <border outline="0">
        <bottom style="thin">
          <color indexed="64"/>
        </bottom>
      </border>
    </ndxf>
  </rcc>
  <rcc rId="8045" sId="1" xfDxf="1" dxf="1">
    <nc r="J792">
      <v>20000</v>
    </nc>
    <ndxf>
      <border outline="0">
        <bottom style="thin">
          <color indexed="64"/>
        </bottom>
      </border>
    </ndxf>
  </rcc>
  <rcc rId="8046" sId="1" xfDxf="1" dxf="1">
    <nc r="K792">
      <v>0</v>
    </nc>
    <ndxf>
      <border outline="0">
        <bottom style="thin">
          <color indexed="64"/>
        </bottom>
      </border>
    </ndxf>
  </rcc>
  <rcc rId="8047" sId="1" xfDxf="1" dxf="1" numFmtId="19">
    <nc r="L792">
      <v>46227.409722222219</v>
    </nc>
    <ndxf>
      <numFmt numFmtId="164" formatCode="mm\-dd\-yyyy"/>
      <border outline="0">
        <bottom style="thin">
          <color indexed="64"/>
        </bottom>
      </border>
    </ndxf>
  </rcc>
  <rcc rId="8048" sId="1" xfDxf="1" dxf="1" numFmtId="19">
    <nc r="M792">
      <v>46234.659722222219</v>
    </nc>
    <ndxf>
      <numFmt numFmtId="164" formatCode="mm\-dd\-yyyy"/>
      <border outline="0">
        <bottom style="thin">
          <color indexed="64"/>
        </bottom>
      </border>
    </ndxf>
  </rcc>
  <rfmt sheetId="1" xfDxf="1" sqref="N792" start="0" length="0">
    <dxf>
      <border outline="0">
        <bottom style="thin">
          <color indexed="64"/>
        </bottom>
      </border>
    </dxf>
  </rfmt>
  <rfmt sheetId="1" xfDxf="1" sqref="O792" start="0" length="0">
    <dxf>
      <border outline="0">
        <bottom style="thin">
          <color indexed="64"/>
        </bottom>
      </border>
    </dxf>
  </rfmt>
  <rfmt sheetId="1" xfDxf="1" sqref="P792" start="0" length="0">
    <dxf>
      <border outline="0">
        <bottom style="thin">
          <color indexed="64"/>
        </bottom>
      </border>
    </dxf>
  </rfmt>
  <rfmt sheetId="1" xfDxf="1" sqref="Q792" start="0" length="0">
    <dxf>
      <border outline="0">
        <bottom style="thin">
          <color indexed="64"/>
        </bottom>
      </border>
    </dxf>
  </rfmt>
  <rfmt sheetId="1" xfDxf="1" sqref="R792" start="0" length="0">
    <dxf>
      <border outline="0">
        <bottom style="thin">
          <color indexed="64"/>
        </bottom>
      </border>
    </dxf>
  </rfmt>
  <rfmt sheetId="1" xfDxf="1" sqref="S792" start="0" length="0">
    <dxf>
      <border outline="0">
        <bottom style="thin">
          <color indexed="64"/>
        </bottom>
      </border>
    </dxf>
  </rfmt>
  <rfmt sheetId="1" xfDxf="1" sqref="T792" start="0" length="0">
    <dxf>
      <border outline="0">
        <bottom style="thin">
          <color indexed="64"/>
        </bottom>
      </border>
    </dxf>
  </rfmt>
  <rfmt sheetId="1" xfDxf="1" sqref="U792" start="0" length="0">
    <dxf>
      <border outline="0">
        <bottom style="thin">
          <color indexed="64"/>
        </bottom>
      </border>
    </dxf>
  </rfmt>
  <rfmt sheetId="1" xfDxf="1" sqref="V792" start="0" length="0">
    <dxf>
      <border outline="0">
        <bottom style="thin">
          <color indexed="64"/>
        </bottom>
      </border>
    </dxf>
  </rfmt>
  <rfmt sheetId="1" xfDxf="1" sqref="W792" start="0" length="0">
    <dxf>
      <border outline="0">
        <bottom style="thin">
          <color indexed="64"/>
        </bottom>
      </border>
    </dxf>
  </rfmt>
  <rfmt sheetId="1" xfDxf="1" sqref="X792" start="0" length="0">
    <dxf>
      <border outline="0">
        <bottom style="thin">
          <color indexed="64"/>
        </bottom>
      </border>
    </dxf>
  </rfmt>
  <rfmt sheetId="1" xfDxf="1" sqref="Y792" start="0" length="0">
    <dxf>
      <border outline="0">
        <bottom style="thin">
          <color indexed="64"/>
        </bottom>
      </border>
    </dxf>
  </rfmt>
  <rfmt sheetId="1" xfDxf="1" sqref="Z792" start="0" length="0">
    <dxf>
      <border outline="0">
        <bottom style="thin">
          <color indexed="64"/>
        </bottom>
      </border>
    </dxf>
  </rfmt>
  <rcc rId="8049" sId="1" xfDxf="1" dxf="1">
    <nc r="AA792" t="inlineStr">
      <is>
        <t>1</t>
      </is>
    </nc>
    <ndxf>
      <border outline="0">
        <bottom style="thin">
          <color indexed="64"/>
        </bottom>
      </border>
    </ndxf>
  </rcc>
  <rcc rId="8050" sId="1" xfDxf="1" dxf="1">
    <nc r="AB792" t="inlineStr">
      <is>
        <t>0</t>
      </is>
    </nc>
    <ndxf>
      <border outline="0">
        <bottom style="thin">
          <color indexed="64"/>
        </bottom>
      </border>
    </ndxf>
  </rcc>
  <rcc rId="8051" sId="1" xfDxf="1" dxf="1">
    <nc r="A793" t="inlineStr">
      <is>
        <t>Zone 4</t>
      </is>
    </nc>
    <ndxf>
      <fill>
        <patternFill patternType="solid">
          <bgColor theme="8" tint="0.39997558519241921"/>
        </patternFill>
      </fill>
    </ndxf>
  </rcc>
  <rcc rId="8052" sId="1" xfDxf="1" dxf="1">
    <nc r="B793">
      <v>20</v>
    </nc>
    <ndxf>
      <fill>
        <patternFill patternType="solid">
          <bgColor theme="8" tint="0.39997558519241921"/>
        </patternFill>
      </fill>
    </ndxf>
  </rcc>
  <rcc rId="8053" sId="1" xfDxf="1" dxf="1">
    <nc r="C793">
      <v>0.33</v>
    </nc>
    <ndxf>
      <fill>
        <patternFill patternType="solid">
          <bgColor theme="8" tint="0.39997558519241921"/>
        </patternFill>
      </fill>
    </ndxf>
  </rcc>
  <rcc rId="8054" sId="1" xfDxf="1" dxf="1">
    <nc r="D793" t="inlineStr">
      <is>
        <t>19-014</t>
      </is>
    </nc>
    <ndxf>
      <fill>
        <patternFill patternType="solid">
          <bgColor theme="8" tint="0.39997558519241921"/>
        </patternFill>
      </fill>
    </ndxf>
  </rcc>
  <rcc rId="8055" sId="1" xfDxf="1" dxf="1">
    <nc r="E793" t="inlineStr">
      <is>
        <t>W1026956/1</t>
      </is>
    </nc>
    <ndxf>
      <fill>
        <patternFill patternType="solid">
          <bgColor theme="8" tint="0.39997558519241921"/>
        </patternFill>
      </fill>
    </ndxf>
  </rcc>
  <rcc rId="8056" sId="1" xfDxf="1" dxf="1">
    <nc r="F793" t="inlineStr">
      <is>
        <t>SMI3/2288-PT-04</t>
      </is>
    </nc>
    <ndxf>
      <fill>
        <patternFill patternType="solid">
          <bgColor theme="8" tint="0.39997558519241921"/>
        </patternFill>
      </fill>
    </ndxf>
  </rcc>
  <rcc rId="8057" sId="1" xfDxf="1" dxf="1">
    <nc r="G793" t="inlineStr">
      <is>
        <t>Oxy II O2 Elbow</t>
      </is>
    </nc>
    <ndxf>
      <fill>
        <patternFill patternType="solid">
          <bgColor theme="8" tint="0.39997558519241921"/>
        </patternFill>
      </fill>
    </ndxf>
  </rcc>
  <rcc rId="8058" sId="1" xfDxf="1" dxf="1">
    <nc r="H793">
      <v>18.334800000000001</v>
    </nc>
    <ndxf>
      <fill>
        <patternFill patternType="solid">
          <bgColor theme="8" tint="0.39997558519241921"/>
        </patternFill>
      </fill>
    </ndxf>
  </rcc>
  <rcc rId="8059" sId="1" xfDxf="1" dxf="1">
    <nc r="I793">
      <v>55.56</v>
    </nc>
    <ndxf>
      <fill>
        <patternFill patternType="solid">
          <bgColor theme="8" tint="0.39997558519241921"/>
        </patternFill>
      </fill>
    </ndxf>
  </rcc>
  <rcc rId="8060" sId="1" xfDxf="1" dxf="1">
    <nc r="J793">
      <v>100000</v>
    </nc>
    <ndxf>
      <fill>
        <patternFill patternType="solid">
          <bgColor theme="8" tint="0.39997558519241921"/>
        </patternFill>
      </fill>
    </ndxf>
  </rcc>
  <rcc rId="8061" sId="1" xfDxf="1" dxf="1">
    <nc r="K793">
      <v>0</v>
    </nc>
    <ndxf>
      <fill>
        <patternFill patternType="solid">
          <bgColor theme="8" tint="0.39997558519241921"/>
        </patternFill>
      </fill>
    </ndxf>
  </rcc>
  <rcc rId="8062" sId="1" xfDxf="1" dxf="1" numFmtId="19">
    <nc r="L793">
      <v>46208.958333333336</v>
    </nc>
    <ndxf>
      <numFmt numFmtId="164" formatCode="mm\-dd\-yyyy"/>
      <fill>
        <patternFill patternType="solid">
          <bgColor theme="8" tint="0.39997558519241921"/>
        </patternFill>
      </fill>
    </ndxf>
  </rcc>
  <rcc rId="8063" sId="1" xfDxf="1" dxf="1" numFmtId="19">
    <nc r="M793">
      <v>46211.604166666664</v>
    </nc>
    <ndxf>
      <numFmt numFmtId="164" formatCode="mm\-dd\-yyyy"/>
      <fill>
        <patternFill patternType="solid">
          <bgColor theme="8" tint="0.39997558519241921"/>
        </patternFill>
      </fill>
    </ndxf>
  </rcc>
  <rfmt sheetId="1" xfDxf="1" sqref="N793" start="0" length="0">
    <dxf>
      <fill>
        <patternFill patternType="solid">
          <bgColor theme="8" tint="0.39997558519241921"/>
        </patternFill>
      </fill>
    </dxf>
  </rfmt>
  <rfmt sheetId="1" xfDxf="1" sqref="O793" start="0" length="0">
    <dxf>
      <fill>
        <patternFill patternType="solid">
          <bgColor theme="8" tint="0.39997558519241921"/>
        </patternFill>
      </fill>
    </dxf>
  </rfmt>
  <rfmt sheetId="1" xfDxf="1" sqref="P793" start="0" length="0">
    <dxf>
      <fill>
        <patternFill patternType="solid">
          <bgColor theme="8" tint="0.39997558519241921"/>
        </patternFill>
      </fill>
    </dxf>
  </rfmt>
  <rfmt sheetId="1" xfDxf="1" sqref="Q793" start="0" length="0">
    <dxf>
      <fill>
        <patternFill patternType="solid">
          <bgColor theme="8" tint="0.39997558519241921"/>
        </patternFill>
      </fill>
    </dxf>
  </rfmt>
  <rfmt sheetId="1" xfDxf="1" sqref="R793" start="0" length="0">
    <dxf>
      <fill>
        <patternFill patternType="solid">
          <bgColor theme="8" tint="0.39997558519241921"/>
        </patternFill>
      </fill>
    </dxf>
  </rfmt>
  <rfmt sheetId="1" xfDxf="1" sqref="S793" start="0" length="0">
    <dxf>
      <fill>
        <patternFill patternType="solid">
          <bgColor theme="8" tint="0.39997558519241921"/>
        </patternFill>
      </fill>
    </dxf>
  </rfmt>
  <rfmt sheetId="1" xfDxf="1" sqref="T793" start="0" length="0">
    <dxf>
      <fill>
        <patternFill patternType="solid">
          <bgColor theme="8" tint="0.39997558519241921"/>
        </patternFill>
      </fill>
    </dxf>
  </rfmt>
  <rfmt sheetId="1" xfDxf="1" sqref="U793" start="0" length="0">
    <dxf>
      <fill>
        <patternFill patternType="solid">
          <bgColor theme="8" tint="0.39997558519241921"/>
        </patternFill>
      </fill>
    </dxf>
  </rfmt>
  <rfmt sheetId="1" xfDxf="1" sqref="V793" start="0" length="0">
    <dxf>
      <fill>
        <patternFill patternType="solid">
          <bgColor theme="8" tint="0.39997558519241921"/>
        </patternFill>
      </fill>
    </dxf>
  </rfmt>
  <rfmt sheetId="1" xfDxf="1" sqref="W793" start="0" length="0">
    <dxf>
      <fill>
        <patternFill patternType="solid">
          <bgColor theme="8" tint="0.39997558519241921"/>
        </patternFill>
      </fill>
    </dxf>
  </rfmt>
  <rfmt sheetId="1" xfDxf="1" sqref="X793" start="0" length="0">
    <dxf>
      <fill>
        <patternFill patternType="solid">
          <bgColor theme="8" tint="0.39997558519241921"/>
        </patternFill>
      </fill>
    </dxf>
  </rfmt>
  <rfmt sheetId="1" xfDxf="1" sqref="Y793" start="0" length="0">
    <dxf>
      <fill>
        <patternFill patternType="solid">
          <bgColor theme="8" tint="0.39997558519241921"/>
        </patternFill>
      </fill>
    </dxf>
  </rfmt>
  <rfmt sheetId="1" xfDxf="1" sqref="Z793" start="0" length="0">
    <dxf>
      <fill>
        <patternFill patternType="solid">
          <bgColor theme="8" tint="0.39997558519241921"/>
        </patternFill>
      </fill>
    </dxf>
  </rfmt>
  <rcc rId="8064" sId="1" xfDxf="1" dxf="1">
    <nc r="AA793" t="inlineStr">
      <is>
        <t>1</t>
      </is>
    </nc>
    <ndxf>
      <fill>
        <patternFill patternType="solid">
          <bgColor theme="8" tint="0.39997558519241921"/>
        </patternFill>
      </fill>
    </ndxf>
  </rcc>
  <rcc rId="8065" sId="1" xfDxf="1" dxf="1">
    <nc r="AB793" t="inlineStr">
      <is>
        <t>0</t>
      </is>
    </nc>
    <ndxf>
      <fill>
        <patternFill patternType="solid">
          <bgColor theme="8" tint="0.39997558519241921"/>
        </patternFill>
      </fill>
    </ndxf>
  </rcc>
  <rcc rId="8066" sId="1" xfDxf="1" dxf="1">
    <nc r="A794" t="inlineStr">
      <is>
        <t>Zone 4</t>
      </is>
    </nc>
  </rcc>
  <rcc rId="8067" sId="1" xfDxf="1" dxf="1">
    <nc r="B794">
      <v>20</v>
    </nc>
  </rcc>
  <rcc rId="8068" sId="1" xfDxf="1" dxf="1">
    <nc r="C794">
      <v>0.33</v>
    </nc>
  </rcc>
  <rcc rId="8069" sId="1" xfDxf="1" dxf="1">
    <nc r="D794" t="inlineStr">
      <is>
        <t>19-014</t>
      </is>
    </nc>
  </rcc>
  <rcc rId="8070" sId="1" xfDxf="1" dxf="1">
    <nc r="E794" t="inlineStr">
      <is>
        <t>W1026957/1</t>
      </is>
    </nc>
  </rcc>
  <rcc rId="8071" sId="1" xfDxf="1" dxf="1">
    <nc r="F794" t="inlineStr">
      <is>
        <t>SMI3/2288-PT-04</t>
      </is>
    </nc>
  </rcc>
  <rcc rId="8072" sId="1" xfDxf="1" dxf="1">
    <nc r="G794" t="inlineStr">
      <is>
        <t>Oxy II O2 Elbow</t>
      </is>
    </nc>
  </rcc>
  <rcc rId="8073" sId="1" xfDxf="1" dxf="1">
    <nc r="H794">
      <v>18.334800000000001</v>
    </nc>
  </rcc>
  <rcc rId="8074" sId="1" xfDxf="1" dxf="1">
    <nc r="I794">
      <v>55.56</v>
    </nc>
  </rcc>
  <rcc rId="8075" sId="1" xfDxf="1" dxf="1">
    <nc r="J794">
      <v>100000</v>
    </nc>
  </rcc>
  <rcc rId="8076" sId="1" xfDxf="1" dxf="1">
    <nc r="K794">
      <v>0</v>
    </nc>
  </rcc>
  <rcc rId="8077" sId="1" xfDxf="1" dxf="1" numFmtId="19">
    <nc r="L794">
      <v>46211.611111111109</v>
    </nc>
    <ndxf>
      <numFmt numFmtId="164" formatCode="mm\-dd\-yyyy"/>
    </ndxf>
  </rcc>
  <rcc rId="8078" sId="1" xfDxf="1" dxf="1" numFmtId="19">
    <nc r="M794">
      <v>46216.256944444445</v>
    </nc>
    <ndxf>
      <numFmt numFmtId="164" formatCode="mm\-dd\-yyyy"/>
    </ndxf>
  </rcc>
  <rfmt sheetId="1" xfDxf="1" sqref="N794" start="0" length="0"/>
  <rfmt sheetId="1" xfDxf="1" sqref="O794" start="0" length="0"/>
  <rfmt sheetId="1" xfDxf="1" sqref="P794" start="0" length="0"/>
  <rfmt sheetId="1" xfDxf="1" sqref="Q794" start="0" length="0"/>
  <rfmt sheetId="1" xfDxf="1" sqref="R794" start="0" length="0"/>
  <rfmt sheetId="1" xfDxf="1" sqref="S794" start="0" length="0"/>
  <rfmt sheetId="1" xfDxf="1" sqref="T794" start="0" length="0"/>
  <rfmt sheetId="1" xfDxf="1" sqref="U794" start="0" length="0"/>
  <rfmt sheetId="1" xfDxf="1" sqref="V794" start="0" length="0"/>
  <rfmt sheetId="1" xfDxf="1" sqref="W794" start="0" length="0"/>
  <rfmt sheetId="1" xfDxf="1" sqref="X794" start="0" length="0"/>
  <rfmt sheetId="1" xfDxf="1" sqref="Y794" start="0" length="0"/>
  <rfmt sheetId="1" xfDxf="1" sqref="Z794" start="0" length="0"/>
  <rcc rId="8079" sId="1" xfDxf="1" dxf="1">
    <nc r="AA794" t="inlineStr">
      <is>
        <t>1</t>
      </is>
    </nc>
  </rcc>
  <rcc rId="8080" sId="1" xfDxf="1" dxf="1">
    <nc r="AB794" t="inlineStr">
      <is>
        <t>0</t>
      </is>
    </nc>
  </rcc>
  <rcc rId="8081" sId="1" xfDxf="1" dxf="1">
    <nc r="A795" t="inlineStr">
      <is>
        <t>Zone 4</t>
      </is>
    </nc>
  </rcc>
  <rcc rId="8082" sId="1" xfDxf="1" dxf="1">
    <nc r="B795">
      <v>20</v>
    </nc>
  </rcc>
  <rcc rId="8083" sId="1" xfDxf="1" dxf="1">
    <nc r="C795">
      <v>0.33</v>
    </nc>
  </rcc>
  <rcc rId="8084" sId="1" xfDxf="1" dxf="1">
    <nc r="D795" t="inlineStr">
      <is>
        <t>19-014</t>
      </is>
    </nc>
  </rcc>
  <rcc rId="8085" sId="1" xfDxf="1" dxf="1">
    <nc r="E795" t="inlineStr">
      <is>
        <t>W1026958/1</t>
      </is>
    </nc>
  </rcc>
  <rcc rId="8086" sId="1" xfDxf="1" dxf="1">
    <nc r="F795" t="inlineStr">
      <is>
        <t>SMI3/2288-PT-04</t>
      </is>
    </nc>
  </rcc>
  <rcc rId="8087" sId="1" xfDxf="1" dxf="1">
    <nc r="G795" t="inlineStr">
      <is>
        <t>Oxy II O2 Elbow</t>
      </is>
    </nc>
  </rcc>
  <rcc rId="8088" sId="1" xfDxf="1" dxf="1">
    <nc r="H795">
      <v>18.334800000000001</v>
    </nc>
  </rcc>
  <rcc rId="8089" sId="1" xfDxf="1" dxf="1">
    <nc r="I795">
      <v>55.56</v>
    </nc>
  </rcc>
  <rcc rId="8090" sId="1" xfDxf="1" dxf="1">
    <nc r="J795">
      <v>100000</v>
    </nc>
  </rcc>
  <rcc rId="8091" sId="1" xfDxf="1" dxf="1">
    <nc r="K795">
      <v>0</v>
    </nc>
  </rcc>
  <rcc rId="8092" sId="1" xfDxf="1" dxf="1" numFmtId="19">
    <nc r="L795">
      <v>46216.263888888891</v>
    </nc>
    <ndxf>
      <numFmt numFmtId="164" formatCode="mm\-dd\-yyyy"/>
    </ndxf>
  </rcc>
  <rcc rId="8093" sId="1" xfDxf="1" dxf="1" numFmtId="19">
    <nc r="M795">
      <v>46218.909722222219</v>
    </nc>
    <ndxf>
      <numFmt numFmtId="164" formatCode="mm\-dd\-yyyy"/>
    </ndxf>
  </rcc>
  <rfmt sheetId="1" xfDxf="1" sqref="N795" start="0" length="0"/>
  <rfmt sheetId="1" xfDxf="1" sqref="O795" start="0" length="0"/>
  <rfmt sheetId="1" xfDxf="1" sqref="P795" start="0" length="0"/>
  <rfmt sheetId="1" xfDxf="1" sqref="Q795" start="0" length="0"/>
  <rfmt sheetId="1" xfDxf="1" sqref="R795" start="0" length="0"/>
  <rfmt sheetId="1" xfDxf="1" sqref="S795" start="0" length="0"/>
  <rfmt sheetId="1" xfDxf="1" sqref="T795" start="0" length="0"/>
  <rfmt sheetId="1" xfDxf="1" sqref="U795" start="0" length="0"/>
  <rfmt sheetId="1" xfDxf="1" sqref="V795" start="0" length="0"/>
  <rfmt sheetId="1" xfDxf="1" sqref="W795" start="0" length="0"/>
  <rfmt sheetId="1" xfDxf="1" sqref="X795" start="0" length="0"/>
  <rfmt sheetId="1" xfDxf="1" sqref="Y795" start="0" length="0"/>
  <rfmt sheetId="1" xfDxf="1" sqref="Z795" start="0" length="0"/>
  <rcc rId="8094" sId="1" xfDxf="1" dxf="1">
    <nc r="AA795" t="inlineStr">
      <is>
        <t>1</t>
      </is>
    </nc>
  </rcc>
  <rcc rId="8095" sId="1" xfDxf="1" dxf="1">
    <nc r="AB795" t="inlineStr">
      <is>
        <t>0</t>
      </is>
    </nc>
  </rcc>
  <rcc rId="8096" sId="1" xfDxf="1" dxf="1">
    <nc r="A796" t="inlineStr">
      <is>
        <t>Zone 4</t>
      </is>
    </nc>
  </rcc>
  <rcc rId="8097" sId="1" xfDxf="1" dxf="1">
    <nc r="B796">
      <v>20</v>
    </nc>
  </rcc>
  <rcc rId="8098" sId="1" xfDxf="1" dxf="1">
    <nc r="C796">
      <v>0.33</v>
    </nc>
  </rcc>
  <rcc rId="8099" sId="1" xfDxf="1" dxf="1">
    <nc r="D796" t="inlineStr">
      <is>
        <t>19-014</t>
      </is>
    </nc>
  </rcc>
  <rcc rId="8100" sId="1" xfDxf="1" dxf="1">
    <nc r="E796" t="inlineStr">
      <is>
        <t>W1026959/1</t>
      </is>
    </nc>
  </rcc>
  <rcc rId="8101" sId="1" xfDxf="1" dxf="1">
    <nc r="F796" t="inlineStr">
      <is>
        <t>SMI3/2288-PT-04</t>
      </is>
    </nc>
  </rcc>
  <rcc rId="8102" sId="1" xfDxf="1" dxf="1">
    <nc r="G796" t="inlineStr">
      <is>
        <t>Oxy II O2 Elbow</t>
      </is>
    </nc>
  </rcc>
  <rcc rId="8103" sId="1" xfDxf="1" dxf="1">
    <nc r="H796">
      <v>18.334800000000001</v>
    </nc>
  </rcc>
  <rcc rId="8104" sId="1" xfDxf="1" dxf="1">
    <nc r="I796">
      <v>55.56</v>
    </nc>
  </rcc>
  <rcc rId="8105" sId="1" xfDxf="1" dxf="1">
    <nc r="J796">
      <v>100000</v>
    </nc>
  </rcc>
  <rcc rId="8106" sId="1" xfDxf="1" dxf="1">
    <nc r="K796">
      <v>0</v>
    </nc>
  </rcc>
  <rcc rId="8107" sId="1" xfDxf="1" dxf="1" numFmtId="19">
    <nc r="L796">
      <v>46218.916666666664</v>
    </nc>
    <ndxf>
      <numFmt numFmtId="164" formatCode="mm\-dd\-yyyy"/>
    </ndxf>
  </rcc>
  <rcc rId="8108" sId="1" xfDxf="1" dxf="1" numFmtId="19">
    <nc r="M796">
      <v>46223.5625</v>
    </nc>
    <ndxf>
      <numFmt numFmtId="164" formatCode="mm\-dd\-yyyy"/>
    </ndxf>
  </rcc>
  <rfmt sheetId="1" xfDxf="1" sqref="N796" start="0" length="0"/>
  <rfmt sheetId="1" xfDxf="1" sqref="O796" start="0" length="0"/>
  <rfmt sheetId="1" xfDxf="1" sqref="P796" start="0" length="0"/>
  <rfmt sheetId="1" xfDxf="1" sqref="Q796" start="0" length="0"/>
  <rfmt sheetId="1" xfDxf="1" sqref="R796" start="0" length="0"/>
  <rfmt sheetId="1" xfDxf="1" sqref="S796" start="0" length="0"/>
  <rfmt sheetId="1" xfDxf="1" sqref="T796" start="0" length="0"/>
  <rfmt sheetId="1" xfDxf="1" sqref="U796" start="0" length="0"/>
  <rfmt sheetId="1" xfDxf="1" sqref="V796" start="0" length="0"/>
  <rfmt sheetId="1" xfDxf="1" sqref="W796" start="0" length="0"/>
  <rfmt sheetId="1" xfDxf="1" sqref="X796" start="0" length="0"/>
  <rfmt sheetId="1" xfDxf="1" sqref="Y796" start="0" length="0"/>
  <rfmt sheetId="1" xfDxf="1" sqref="Z796" start="0" length="0"/>
  <rcc rId="8109" sId="1" xfDxf="1" dxf="1">
    <nc r="AA796" t="inlineStr">
      <is>
        <t>1</t>
      </is>
    </nc>
  </rcc>
  <rcc rId="8110" sId="1" xfDxf="1" dxf="1">
    <nc r="AB796" t="inlineStr">
      <is>
        <t>0</t>
      </is>
    </nc>
  </rcc>
  <rcc rId="8111" sId="1" xfDxf="1" dxf="1">
    <nc r="A797" t="inlineStr">
      <is>
        <t>Zone 4</t>
      </is>
    </nc>
    <ndxf>
      <border outline="0">
        <bottom style="thin">
          <color indexed="64"/>
        </bottom>
      </border>
    </ndxf>
  </rcc>
  <rcc rId="8112" sId="1" xfDxf="1" dxf="1">
    <nc r="B797">
      <v>20</v>
    </nc>
    <ndxf>
      <border outline="0">
        <bottom style="thin">
          <color indexed="64"/>
        </bottom>
      </border>
    </ndxf>
  </rcc>
  <rcc rId="8113" sId="1" xfDxf="1" dxf="1">
    <nc r="C797">
      <v>0.33</v>
    </nc>
    <ndxf>
      <border outline="0">
        <bottom style="thin">
          <color indexed="64"/>
        </bottom>
      </border>
    </ndxf>
  </rcc>
  <rcc rId="8114" sId="1" xfDxf="1" dxf="1">
    <nc r="D797" t="inlineStr">
      <is>
        <t>10-024</t>
      </is>
    </nc>
    <ndxf>
      <border outline="0">
        <bottom style="thin">
          <color indexed="64"/>
        </bottom>
      </border>
    </ndxf>
  </rcc>
  <rcc rId="8115" sId="1" xfDxf="1" dxf="1">
    <nc r="E797" t="inlineStr">
      <is>
        <t>W1023298/1</t>
      </is>
    </nc>
    <ndxf>
      <border outline="0">
        <bottom style="thin">
          <color indexed="64"/>
        </bottom>
      </border>
    </ndxf>
  </rcc>
  <rcc rId="8116" sId="1" xfDxf="1" dxf="1">
    <nc r="F797" t="inlineStr">
      <is>
        <t>SMI3/2280-PT-01</t>
      </is>
    </nc>
    <ndxf>
      <border outline="0">
        <bottom style="thin">
          <color indexed="64"/>
        </bottom>
      </border>
    </ndxf>
  </rcc>
  <rcc rId="8117" sId="1" xfDxf="1" dxf="1">
    <nc r="G797" t="inlineStr">
      <is>
        <t>Capnoxygen Connector</t>
      </is>
    </nc>
    <ndxf>
      <border outline="0">
        <bottom style="thin">
          <color indexed="64"/>
        </bottom>
      </border>
    </ndxf>
  </rcc>
  <rcc rId="8118" sId="1" xfDxf="1" dxf="1">
    <nc r="H797">
      <v>50.381100000000004</v>
    </nc>
    <ndxf>
      <border outline="0">
        <bottom style="thin">
          <color indexed="64"/>
        </bottom>
      </border>
    </ndxf>
  </rcc>
  <rcc rId="8119" sId="1" xfDxf="1" dxf="1">
    <nc r="I797">
      <v>152.66999999999999</v>
    </nc>
    <ndxf>
      <border outline="0">
        <bottom style="thin">
          <color indexed="64"/>
        </bottom>
      </border>
    </ndxf>
  </rcc>
  <rcc rId="8120" sId="1" xfDxf="1" dxf="1">
    <nc r="J797">
      <v>100000</v>
    </nc>
    <ndxf>
      <border outline="0">
        <bottom style="thin">
          <color indexed="64"/>
        </bottom>
      </border>
    </ndxf>
  </rcc>
  <rcc rId="8121" sId="1" xfDxf="1" dxf="1">
    <nc r="K797">
      <v>0</v>
    </nc>
    <ndxf>
      <border outline="0">
        <bottom style="thin">
          <color indexed="64"/>
        </bottom>
      </border>
    </ndxf>
  </rcc>
  <rcc rId="8122" sId="1" xfDxf="1" dxf="1" numFmtId="19">
    <nc r="L797">
      <v>46223.569444444445</v>
    </nc>
    <ndxf>
      <numFmt numFmtId="164" formatCode="mm\-dd\-yyyy"/>
      <border outline="0">
        <bottom style="thin">
          <color indexed="64"/>
        </bottom>
      </border>
    </ndxf>
  </rcc>
  <rcc rId="8123" sId="1" xfDxf="1" dxf="1" numFmtId="19">
    <nc r="M797">
      <v>46231.965277777781</v>
    </nc>
    <ndxf>
      <numFmt numFmtId="164" formatCode="mm\-dd\-yyyy"/>
      <border outline="0">
        <bottom style="thin">
          <color indexed="64"/>
        </bottom>
      </border>
    </ndxf>
  </rcc>
  <rfmt sheetId="1" xfDxf="1" sqref="N797" start="0" length="0">
    <dxf>
      <border outline="0">
        <bottom style="thin">
          <color indexed="64"/>
        </bottom>
      </border>
    </dxf>
  </rfmt>
  <rfmt sheetId="1" xfDxf="1" sqref="O797" start="0" length="0">
    <dxf>
      <border outline="0">
        <bottom style="thin">
          <color indexed="64"/>
        </bottom>
      </border>
    </dxf>
  </rfmt>
  <rfmt sheetId="1" xfDxf="1" sqref="P797" start="0" length="0">
    <dxf>
      <border outline="0">
        <bottom style="thin">
          <color indexed="64"/>
        </bottom>
      </border>
    </dxf>
  </rfmt>
  <rfmt sheetId="1" xfDxf="1" sqref="Q797" start="0" length="0">
    <dxf>
      <border outline="0">
        <bottom style="thin">
          <color indexed="64"/>
        </bottom>
      </border>
    </dxf>
  </rfmt>
  <rfmt sheetId="1" xfDxf="1" sqref="R797" start="0" length="0">
    <dxf>
      <border outline="0">
        <bottom style="thin">
          <color indexed="64"/>
        </bottom>
      </border>
    </dxf>
  </rfmt>
  <rfmt sheetId="1" xfDxf="1" sqref="S797" start="0" length="0">
    <dxf>
      <border outline="0">
        <bottom style="thin">
          <color indexed="64"/>
        </bottom>
      </border>
    </dxf>
  </rfmt>
  <rfmt sheetId="1" xfDxf="1" sqref="T797" start="0" length="0">
    <dxf>
      <border outline="0">
        <bottom style="thin">
          <color indexed="64"/>
        </bottom>
      </border>
    </dxf>
  </rfmt>
  <rfmt sheetId="1" xfDxf="1" sqref="U797" start="0" length="0">
    <dxf>
      <border outline="0">
        <bottom style="thin">
          <color indexed="64"/>
        </bottom>
      </border>
    </dxf>
  </rfmt>
  <rfmt sheetId="1" xfDxf="1" sqref="V797" start="0" length="0">
    <dxf>
      <border outline="0">
        <bottom style="thin">
          <color indexed="64"/>
        </bottom>
      </border>
    </dxf>
  </rfmt>
  <rfmt sheetId="1" xfDxf="1" sqref="W797" start="0" length="0">
    <dxf>
      <border outline="0">
        <bottom style="thin">
          <color indexed="64"/>
        </bottom>
      </border>
    </dxf>
  </rfmt>
  <rfmt sheetId="1" xfDxf="1" sqref="X797" start="0" length="0">
    <dxf>
      <border outline="0">
        <bottom style="thin">
          <color indexed="64"/>
        </bottom>
      </border>
    </dxf>
  </rfmt>
  <rfmt sheetId="1" xfDxf="1" sqref="Y797" start="0" length="0">
    <dxf>
      <border outline="0">
        <bottom style="thin">
          <color indexed="64"/>
        </bottom>
      </border>
    </dxf>
  </rfmt>
  <rfmt sheetId="1" xfDxf="1" sqref="Z797" start="0" length="0">
    <dxf>
      <border outline="0">
        <bottom style="thin">
          <color indexed="64"/>
        </bottom>
      </border>
    </dxf>
  </rfmt>
  <rcc rId="8124" sId="1" xfDxf="1" dxf="1">
    <nc r="AA797" t="inlineStr">
      <is>
        <t>1</t>
      </is>
    </nc>
    <ndxf>
      <border outline="0">
        <bottom style="thin">
          <color indexed="64"/>
        </bottom>
      </border>
    </ndxf>
  </rcc>
  <rcc rId="8125" sId="1" xfDxf="1" dxf="1">
    <nc r="AB797" t="inlineStr">
      <is>
        <t>0</t>
      </is>
    </nc>
    <ndxf>
      <border outline="0">
        <bottom style="thin">
          <color indexed="64"/>
        </bottom>
      </border>
    </ndxf>
  </rcc>
  <rcc rId="8126" sId="1" xfDxf="1" dxf="1">
    <nc r="A798" t="inlineStr">
      <is>
        <t>Zone 4</t>
      </is>
    </nc>
  </rcc>
  <rcc rId="8127" sId="1" xfDxf="1" dxf="1">
    <nc r="B798">
      <v>21</v>
    </nc>
  </rcc>
  <rcc rId="8128" sId="1" xfDxf="1" dxf="1">
    <nc r="C798">
      <v>1</v>
    </nc>
  </rcc>
  <rcc rId="8129" sId="1" xfDxf="1" dxf="1">
    <nc r="D798" t="inlineStr">
      <is>
        <t>18-004</t>
      </is>
    </nc>
  </rcc>
  <rcc rId="8130" sId="1" xfDxf="1" dxf="1">
    <nc r="E798" t="inlineStr">
      <is>
        <t>W1026589/1</t>
      </is>
    </nc>
  </rcc>
  <rcc rId="8131" sId="1" xfDxf="1" dxf="1">
    <nc r="F798" t="inlineStr">
      <is>
        <t>VER3/0122-1180</t>
      </is>
    </nc>
  </rcc>
  <rcc rId="8132" sId="1" xfDxf="1" dxf="1">
    <nc r="G798" t="inlineStr">
      <is>
        <t>Lopro S2.5, ABS, Left Shell HDMI</t>
      </is>
    </nc>
  </rcc>
  <rcc rId="8133" sId="1" xfDxf="1" dxf="1">
    <nc r="H798">
      <v>25.55</v>
    </nc>
  </rcc>
  <rcc rId="8134" sId="1" xfDxf="1" dxf="1">
    <nc r="I798">
      <v>25.55</v>
    </nc>
  </rcc>
  <rcc rId="8135" sId="1" xfDxf="1" dxf="1">
    <nc r="J798">
      <v>3500</v>
    </nc>
  </rcc>
  <rcc rId="8136" sId="1" xfDxf="1" dxf="1">
    <nc r="K798">
      <v>0</v>
    </nc>
  </rcc>
  <rcc rId="8137" sId="1" xfDxf="1" dxf="1" numFmtId="19">
    <nc r="L798">
      <v>46208.958333333336</v>
    </nc>
    <ndxf>
      <numFmt numFmtId="164" formatCode="mm\-dd\-yyyy"/>
    </ndxf>
  </rcc>
  <rcc rId="8138" sId="1" xfDxf="1" dxf="1" numFmtId="19">
    <nc r="M798">
      <v>46210.354166666664</v>
    </nc>
    <ndxf>
      <numFmt numFmtId="164" formatCode="mm\-dd\-yyyy"/>
    </ndxf>
  </rcc>
  <rfmt sheetId="1" xfDxf="1" sqref="N798" start="0" length="0"/>
  <rfmt sheetId="1" xfDxf="1" sqref="O798" start="0" length="0"/>
  <rfmt sheetId="1" xfDxf="1" sqref="P798" start="0" length="0"/>
  <rfmt sheetId="1" xfDxf="1" sqref="Q798" start="0" length="0"/>
  <rfmt sheetId="1" xfDxf="1" sqref="R798" start="0" length="0"/>
  <rfmt sheetId="1" xfDxf="1" sqref="S798" start="0" length="0"/>
  <rfmt sheetId="1" xfDxf="1" sqref="T798" start="0" length="0"/>
  <rfmt sheetId="1" xfDxf="1" sqref="U798" start="0" length="0"/>
  <rfmt sheetId="1" xfDxf="1" sqref="V798" start="0" length="0"/>
  <rfmt sheetId="1" xfDxf="1" sqref="W798" start="0" length="0"/>
  <rfmt sheetId="1" xfDxf="1" sqref="X798" start="0" length="0"/>
  <rfmt sheetId="1" xfDxf="1" sqref="Y798" start="0" length="0"/>
  <rfmt sheetId="1" xfDxf="1" sqref="Z798" start="0" length="0"/>
  <rcc rId="8139" sId="1" xfDxf="1" dxf="1">
    <nc r="AA798" t="inlineStr">
      <is>
        <t>1</t>
      </is>
    </nc>
  </rcc>
  <rcc rId="8140" sId="1" xfDxf="1" dxf="1">
    <nc r="AB798" t="inlineStr">
      <is>
        <t>0</t>
      </is>
    </nc>
  </rcc>
  <rcc rId="8141" sId="1" xfDxf="1" dxf="1">
    <nc r="A799" t="inlineStr">
      <is>
        <t>Zone 4</t>
      </is>
    </nc>
    <ndxf>
      <border outline="0">
        <bottom style="thin">
          <color indexed="64"/>
        </bottom>
      </border>
    </ndxf>
  </rcc>
  <rcc rId="8142" sId="1" xfDxf="1" dxf="1">
    <nc r="B799">
      <v>21</v>
    </nc>
    <ndxf>
      <border outline="0">
        <bottom style="thin">
          <color indexed="64"/>
        </bottom>
      </border>
    </ndxf>
  </rcc>
  <rcc rId="8143" sId="1" xfDxf="1" dxf="1">
    <nc r="C799">
      <v>1</v>
    </nc>
    <ndxf>
      <border outline="0">
        <bottom style="thin">
          <color indexed="64"/>
        </bottom>
      </border>
    </ndxf>
  </rcc>
  <rcc rId="8144" sId="1" xfDxf="1" dxf="1">
    <nc r="D799" t="inlineStr">
      <is>
        <t>18-005</t>
      </is>
    </nc>
    <ndxf>
      <border outline="0">
        <bottom style="thin">
          <color indexed="64"/>
        </bottom>
      </border>
    </ndxf>
  </rcc>
  <rcc rId="8145" sId="1" xfDxf="1" dxf="1">
    <nc r="E799" t="inlineStr">
      <is>
        <t>W1026868/1</t>
      </is>
    </nc>
    <ndxf>
      <border outline="0">
        <bottom style="thin">
          <color indexed="64"/>
        </bottom>
      </border>
    </ndxf>
  </rcc>
  <rcc rId="8146" sId="1" xfDxf="1" dxf="1">
    <nc r="F799" t="inlineStr">
      <is>
        <t>VER3/0122-1190</t>
      </is>
    </nc>
    <ndxf>
      <border outline="0">
        <bottom style="thin">
          <color indexed="64"/>
        </bottom>
      </border>
    </ndxf>
  </rcc>
  <rcc rId="8147" sId="1" xfDxf="1" dxf="1">
    <nc r="G799" t="inlineStr">
      <is>
        <t>Miller S0, ABS, Left Shell HDMI</t>
      </is>
    </nc>
    <ndxf>
      <border outline="0">
        <bottom style="thin">
          <color indexed="64"/>
        </bottom>
      </border>
    </ndxf>
  </rcc>
  <rcc rId="8148" sId="1" xfDxf="1" dxf="1">
    <nc r="H799">
      <v>21.9</v>
    </nc>
    <ndxf>
      <border outline="0">
        <bottom style="thin">
          <color indexed="64"/>
        </bottom>
      </border>
    </ndxf>
  </rcc>
  <rcc rId="8149" sId="1" xfDxf="1" dxf="1">
    <nc r="I799">
      <v>21.9</v>
    </nc>
    <ndxf>
      <border outline="0">
        <bottom style="thin">
          <color indexed="64"/>
        </bottom>
      </border>
    </ndxf>
  </rcc>
  <rcc rId="8150" sId="1" xfDxf="1" dxf="1">
    <nc r="J799">
      <v>3000</v>
    </nc>
    <ndxf>
      <border outline="0">
        <bottom style="thin">
          <color indexed="64"/>
        </bottom>
      </border>
    </ndxf>
  </rcc>
  <rcc rId="8151" sId="1" xfDxf="1" dxf="1">
    <nc r="K799">
      <v>0</v>
    </nc>
    <ndxf>
      <border outline="0">
        <bottom style="thin">
          <color indexed="64"/>
        </bottom>
      </border>
    </ndxf>
  </rcc>
  <rcc rId="8152" sId="1" xfDxf="1" dxf="1" numFmtId="19">
    <nc r="L799">
      <v>46210.361111111109</v>
    </nc>
    <ndxf>
      <numFmt numFmtId="164" formatCode="mm\-dd\-yyyy"/>
      <border outline="0">
        <bottom style="thin">
          <color indexed="64"/>
        </bottom>
      </border>
    </ndxf>
  </rcc>
  <rcc rId="8153" sId="1" xfDxf="1" dxf="1" numFmtId="19">
    <nc r="M799">
      <v>46211.604166666664</v>
    </nc>
    <ndxf>
      <numFmt numFmtId="164" formatCode="mm\-dd\-yyyy"/>
      <border outline="0">
        <bottom style="thin">
          <color indexed="64"/>
        </bottom>
      </border>
    </ndxf>
  </rcc>
  <rfmt sheetId="1" xfDxf="1" sqref="N799" start="0" length="0">
    <dxf>
      <border outline="0">
        <bottom style="thin">
          <color indexed="64"/>
        </bottom>
      </border>
    </dxf>
  </rfmt>
  <rfmt sheetId="1" xfDxf="1" sqref="O799" start="0" length="0">
    <dxf>
      <border outline="0">
        <bottom style="thin">
          <color indexed="64"/>
        </bottom>
      </border>
    </dxf>
  </rfmt>
  <rfmt sheetId="1" xfDxf="1" sqref="P799" start="0" length="0">
    <dxf>
      <border outline="0">
        <bottom style="thin">
          <color indexed="64"/>
        </bottom>
      </border>
    </dxf>
  </rfmt>
  <rfmt sheetId="1" xfDxf="1" sqref="Q799" start="0" length="0">
    <dxf>
      <border outline="0">
        <bottom style="thin">
          <color indexed="64"/>
        </bottom>
      </border>
    </dxf>
  </rfmt>
  <rfmt sheetId="1" xfDxf="1" sqref="R799" start="0" length="0">
    <dxf>
      <border outline="0">
        <bottom style="thin">
          <color indexed="64"/>
        </bottom>
      </border>
    </dxf>
  </rfmt>
  <rfmt sheetId="1" xfDxf="1" sqref="S799" start="0" length="0">
    <dxf>
      <border outline="0">
        <bottom style="thin">
          <color indexed="64"/>
        </bottom>
      </border>
    </dxf>
  </rfmt>
  <rfmt sheetId="1" xfDxf="1" sqref="T799" start="0" length="0">
    <dxf>
      <border outline="0">
        <bottom style="thin">
          <color indexed="64"/>
        </bottom>
      </border>
    </dxf>
  </rfmt>
  <rfmt sheetId="1" xfDxf="1" sqref="U799" start="0" length="0">
    <dxf>
      <border outline="0">
        <bottom style="thin">
          <color indexed="64"/>
        </bottom>
      </border>
    </dxf>
  </rfmt>
  <rfmt sheetId="1" xfDxf="1" sqref="V799" start="0" length="0">
    <dxf>
      <border outline="0">
        <bottom style="thin">
          <color indexed="64"/>
        </bottom>
      </border>
    </dxf>
  </rfmt>
  <rfmt sheetId="1" xfDxf="1" sqref="W799" start="0" length="0">
    <dxf>
      <border outline="0">
        <bottom style="thin">
          <color indexed="64"/>
        </bottom>
      </border>
    </dxf>
  </rfmt>
  <rfmt sheetId="1" xfDxf="1" sqref="X799" start="0" length="0">
    <dxf>
      <border outline="0">
        <bottom style="thin">
          <color indexed="64"/>
        </bottom>
      </border>
    </dxf>
  </rfmt>
  <rfmt sheetId="1" xfDxf="1" sqref="Y799" start="0" length="0">
    <dxf>
      <border outline="0">
        <bottom style="thin">
          <color indexed="64"/>
        </bottom>
      </border>
    </dxf>
  </rfmt>
  <rfmt sheetId="1" xfDxf="1" sqref="Z799" start="0" length="0">
    <dxf>
      <border outline="0">
        <bottom style="thin">
          <color indexed="64"/>
        </bottom>
      </border>
    </dxf>
  </rfmt>
  <rcc rId="8154" sId="1" xfDxf="1" dxf="1">
    <nc r="AA799" t="inlineStr">
      <is>
        <t>1</t>
      </is>
    </nc>
    <ndxf>
      <border outline="0">
        <bottom style="thin">
          <color indexed="64"/>
        </bottom>
      </border>
    </ndxf>
  </rcc>
  <rcc rId="8155" sId="1" xfDxf="1" dxf="1">
    <nc r="AB799" t="inlineStr">
      <is>
        <t>0</t>
      </is>
    </nc>
    <ndxf>
      <border outline="0">
        <bottom style="thin">
          <color indexed="64"/>
        </bottom>
      </border>
    </ndxf>
  </rcc>
  <rcc rId="8156" sId="1" xfDxf="1" dxf="1">
    <nc r="A800" t="inlineStr">
      <is>
        <t>Zone 4</t>
      </is>
    </nc>
    <ndxf>
      <fill>
        <patternFill patternType="solid">
          <bgColor theme="8" tint="0.39997558519241921"/>
        </patternFill>
      </fill>
    </ndxf>
  </rcc>
  <rcc rId="8157" sId="1" xfDxf="1" dxf="1">
    <nc r="B800">
      <v>22</v>
    </nc>
    <ndxf>
      <fill>
        <patternFill patternType="solid">
          <bgColor theme="8" tint="0.39997558519241921"/>
        </patternFill>
      </fill>
    </ndxf>
  </rcc>
  <rcc rId="8158" sId="1" xfDxf="1" dxf="1">
    <nc r="C800">
      <v>2</v>
    </nc>
    <ndxf>
      <fill>
        <patternFill patternType="solid">
          <bgColor theme="8" tint="0.39997558519241921"/>
        </patternFill>
      </fill>
    </ndxf>
  </rcc>
  <rcc rId="8159" sId="1" xfDxf="1" dxf="1">
    <nc r="D800" t="inlineStr">
      <is>
        <t>19-001</t>
      </is>
    </nc>
    <ndxf>
      <fill>
        <patternFill patternType="solid">
          <bgColor theme="8" tint="0.39997558519241921"/>
        </patternFill>
      </fill>
    </ndxf>
  </rcc>
  <rcc rId="8160" sId="1" xfDxf="1" dxf="1">
    <nc r="E800" t="inlineStr">
      <is>
        <t>W1027883/1</t>
      </is>
    </nc>
    <ndxf>
      <fill>
        <patternFill patternType="solid">
          <bgColor theme="8" tint="0.39997558519241921"/>
        </patternFill>
      </fill>
    </ndxf>
  </rcc>
  <rcc rId="8161" sId="1" xfDxf="1" dxf="1">
    <nc r="F800" t="inlineStr">
      <is>
        <t>VER1/0270-0681</t>
      </is>
    </nc>
    <ndxf>
      <fill>
        <patternFill patternType="solid">
          <bgColor theme="8" tint="0.39997558519241921"/>
        </patternFill>
      </fill>
    </ndxf>
  </rcc>
  <rcc rId="8162" sId="1" xfDxf="1" dxf="1">
    <nc r="G800" t="inlineStr">
      <is>
        <t>Reuseable Gliderite Stylet</t>
      </is>
    </nc>
    <ndxf>
      <fill>
        <patternFill patternType="solid">
          <bgColor theme="8" tint="0.39997558519241921"/>
        </patternFill>
      </fill>
    </ndxf>
  </rcc>
  <rcc rId="8163" sId="1" xfDxf="1" dxf="1">
    <nc r="H800">
      <v>184.62</v>
    </nc>
    <ndxf>
      <fill>
        <patternFill patternType="solid">
          <bgColor theme="8" tint="0.39997558519241921"/>
        </patternFill>
      </fill>
    </ndxf>
  </rcc>
  <rcc rId="8164" sId="1" xfDxf="1" dxf="1">
    <nc r="I800">
      <v>73.849999999999994</v>
    </nc>
    <ndxf>
      <fill>
        <patternFill patternType="solid">
          <bgColor theme="8" tint="0.39997558519241921"/>
        </patternFill>
      </fill>
    </ndxf>
  </rcc>
  <rcc rId="8165" sId="1" xfDxf="1" dxf="1">
    <nc r="J800">
      <v>600</v>
    </nc>
    <ndxf>
      <fill>
        <patternFill patternType="solid">
          <bgColor theme="8" tint="0.39997558519241921"/>
        </patternFill>
      </fill>
    </ndxf>
  </rcc>
  <rcc rId="8166" sId="1" xfDxf="1" dxf="1">
    <nc r="K800">
      <v>0</v>
    </nc>
    <ndxf>
      <fill>
        <patternFill patternType="solid">
          <bgColor theme="8" tint="0.39997558519241921"/>
        </patternFill>
      </fill>
    </ndxf>
  </rcc>
  <rcc rId="8167" sId="1" xfDxf="1" dxf="1" numFmtId="19">
    <nc r="L800">
      <v>46223</v>
    </nc>
    <ndxf>
      <numFmt numFmtId="164" formatCode="mm\-dd\-yyyy"/>
      <fill>
        <patternFill patternType="solid">
          <bgColor theme="8" tint="0.39997558519241921"/>
        </patternFill>
      </fill>
    </ndxf>
  </rcc>
  <rcc rId="8168" sId="1" xfDxf="1" dxf="1" numFmtId="19">
    <nc r="M800">
      <v>46226.076388888891</v>
    </nc>
    <ndxf>
      <numFmt numFmtId="164" formatCode="mm\-dd\-yyyy"/>
      <fill>
        <patternFill patternType="solid">
          <bgColor theme="8" tint="0.39997558519241921"/>
        </patternFill>
      </fill>
    </ndxf>
  </rcc>
  <rfmt sheetId="1" xfDxf="1" sqref="N800" start="0" length="0">
    <dxf>
      <fill>
        <patternFill patternType="solid">
          <bgColor theme="8" tint="0.39997558519241921"/>
        </patternFill>
      </fill>
    </dxf>
  </rfmt>
  <rfmt sheetId="1" xfDxf="1" sqref="O800" start="0" length="0">
    <dxf>
      <fill>
        <patternFill patternType="solid">
          <bgColor theme="8" tint="0.39997558519241921"/>
        </patternFill>
      </fill>
    </dxf>
  </rfmt>
  <rfmt sheetId="1" xfDxf="1" sqref="P800" start="0" length="0">
    <dxf>
      <fill>
        <patternFill patternType="solid">
          <bgColor theme="8" tint="0.39997558519241921"/>
        </patternFill>
      </fill>
    </dxf>
  </rfmt>
  <rfmt sheetId="1" xfDxf="1" sqref="Q800" start="0" length="0">
    <dxf>
      <fill>
        <patternFill patternType="solid">
          <bgColor theme="8" tint="0.39997558519241921"/>
        </patternFill>
      </fill>
    </dxf>
  </rfmt>
  <rfmt sheetId="1" xfDxf="1" sqref="R800" start="0" length="0">
    <dxf>
      <fill>
        <patternFill patternType="solid">
          <bgColor theme="8" tint="0.39997558519241921"/>
        </patternFill>
      </fill>
    </dxf>
  </rfmt>
  <rfmt sheetId="1" xfDxf="1" sqref="S800" start="0" length="0">
    <dxf>
      <fill>
        <patternFill patternType="solid">
          <bgColor theme="8" tint="0.39997558519241921"/>
        </patternFill>
      </fill>
    </dxf>
  </rfmt>
  <rfmt sheetId="1" xfDxf="1" sqref="T800" start="0" length="0">
    <dxf>
      <fill>
        <patternFill patternType="solid">
          <bgColor theme="8" tint="0.39997558519241921"/>
        </patternFill>
      </fill>
    </dxf>
  </rfmt>
  <rfmt sheetId="1" xfDxf="1" sqref="U800" start="0" length="0">
    <dxf>
      <fill>
        <patternFill patternType="solid">
          <bgColor theme="8" tint="0.39997558519241921"/>
        </patternFill>
      </fill>
    </dxf>
  </rfmt>
  <rfmt sheetId="1" xfDxf="1" sqref="V800" start="0" length="0">
    <dxf>
      <fill>
        <patternFill patternType="solid">
          <bgColor theme="8" tint="0.39997558519241921"/>
        </patternFill>
      </fill>
    </dxf>
  </rfmt>
  <rfmt sheetId="1" xfDxf="1" sqref="W800" start="0" length="0">
    <dxf>
      <fill>
        <patternFill patternType="solid">
          <bgColor theme="8" tint="0.39997558519241921"/>
        </patternFill>
      </fill>
    </dxf>
  </rfmt>
  <rfmt sheetId="1" xfDxf="1" sqref="X800" start="0" length="0">
    <dxf>
      <fill>
        <patternFill patternType="solid">
          <bgColor theme="8" tint="0.39997558519241921"/>
        </patternFill>
      </fill>
    </dxf>
  </rfmt>
  <rfmt sheetId="1" xfDxf="1" sqref="Y800" start="0" length="0">
    <dxf>
      <fill>
        <patternFill patternType="solid">
          <bgColor theme="8" tint="0.39997558519241921"/>
        </patternFill>
      </fill>
    </dxf>
  </rfmt>
  <rfmt sheetId="1" xfDxf="1" sqref="Z800" start="0" length="0">
    <dxf>
      <fill>
        <patternFill patternType="solid">
          <bgColor theme="8" tint="0.39997558519241921"/>
        </patternFill>
      </fill>
    </dxf>
  </rfmt>
  <rcc rId="8169" sId="1" xfDxf="1" dxf="1">
    <nc r="AA800" t="inlineStr">
      <is>
        <t>1</t>
      </is>
    </nc>
    <ndxf>
      <fill>
        <patternFill patternType="solid">
          <bgColor theme="8" tint="0.39997558519241921"/>
        </patternFill>
      </fill>
    </ndxf>
  </rcc>
  <rcc rId="8170" sId="1" xfDxf="1" dxf="1">
    <nc r="AB800" t="inlineStr">
      <is>
        <t>0</t>
      </is>
    </nc>
    <ndxf>
      <fill>
        <patternFill patternType="solid">
          <bgColor theme="8" tint="0.39997558519241921"/>
        </patternFill>
      </fill>
    </ndxf>
  </rcc>
  <rcc rId="8171" sId="1" xfDxf="1" dxf="1">
    <nc r="A801" t="inlineStr">
      <is>
        <t>Zone 4</t>
      </is>
    </nc>
  </rcc>
  <rcc rId="8172" sId="1" xfDxf="1" dxf="1">
    <nc r="B801">
      <v>22</v>
    </nc>
  </rcc>
  <rcc rId="8173" sId="1" xfDxf="1" dxf="1">
    <nc r="C801">
      <v>1</v>
    </nc>
  </rcc>
  <rcc rId="8174" sId="1" xfDxf="1" dxf="1">
    <nc r="D801" t="inlineStr">
      <is>
        <t>24-007</t>
      </is>
    </nc>
  </rcc>
  <rcc rId="8175" sId="1" xfDxf="1" dxf="1">
    <nc r="E801" t="inlineStr">
      <is>
        <t>W1030069/1</t>
      </is>
    </nc>
  </rcc>
  <rcc rId="8176" sId="1" xfDxf="1" dxf="1">
    <nc r="F801" t="inlineStr">
      <is>
        <t>VER1/0122-1170</t>
      </is>
    </nc>
  </rcc>
  <rcc rId="8177" sId="1" xfDxf="1" dxf="1">
    <nc r="G801" t="inlineStr">
      <is>
        <t>Upper Shuttle, Zeus Baton Large</t>
      </is>
    </nc>
  </rcc>
  <rcc rId="8178" sId="1" xfDxf="1" dxf="1">
    <nc r="H801">
      <v>5.81</v>
    </nc>
  </rcc>
  <rcc rId="8179" sId="1" xfDxf="1" dxf="1">
    <nc r="I801">
      <v>5.81</v>
    </nc>
  </rcc>
  <rcc rId="8180" sId="1" xfDxf="1" dxf="1">
    <nc r="J801">
      <v>900</v>
    </nc>
  </rcc>
  <rcc rId="8181" sId="1" xfDxf="1" dxf="1">
    <nc r="K801">
      <v>0</v>
    </nc>
  </rcc>
  <rcc rId="8182" sId="1" xfDxf="1" dxf="1" numFmtId="19">
    <nc r="L801">
      <v>46208.958333333336</v>
    </nc>
    <ndxf>
      <numFmt numFmtId="164" formatCode="mm\-dd\-yyyy"/>
    </ndxf>
  </rcc>
  <rcc rId="8183" sId="1" xfDxf="1" dxf="1" numFmtId="19">
    <nc r="M801">
      <v>46209.229166666664</v>
    </nc>
    <ndxf>
      <numFmt numFmtId="164" formatCode="mm\-dd\-yyyy"/>
    </ndxf>
  </rcc>
  <rfmt sheetId="1" xfDxf="1" sqref="N801" start="0" length="0"/>
  <rfmt sheetId="1" xfDxf="1" sqref="O801" start="0" length="0"/>
  <rfmt sheetId="1" xfDxf="1" sqref="P801" start="0" length="0"/>
  <rfmt sheetId="1" xfDxf="1" sqref="Q801" start="0" length="0"/>
  <rfmt sheetId="1" xfDxf="1" sqref="R801" start="0" length="0"/>
  <rfmt sheetId="1" xfDxf="1" sqref="S801" start="0" length="0"/>
  <rfmt sheetId="1" xfDxf="1" sqref="T801" start="0" length="0"/>
  <rfmt sheetId="1" xfDxf="1" sqref="U801" start="0" length="0"/>
  <rfmt sheetId="1" xfDxf="1" sqref="V801" start="0" length="0"/>
  <rfmt sheetId="1" xfDxf="1" sqref="W801" start="0" length="0"/>
  <rfmt sheetId="1" xfDxf="1" sqref="X801" start="0" length="0"/>
  <rfmt sheetId="1" xfDxf="1" sqref="Y801" start="0" length="0"/>
  <rfmt sheetId="1" xfDxf="1" sqref="Z801" start="0" length="0"/>
  <rcc rId="8184" sId="1" xfDxf="1" dxf="1">
    <nc r="AA801" t="inlineStr">
      <is>
        <t>1</t>
      </is>
    </nc>
  </rcc>
  <rcc rId="8185" sId="1" xfDxf="1" dxf="1">
    <nc r="AB801" t="inlineStr">
      <is>
        <t>0</t>
      </is>
    </nc>
  </rcc>
  <rcc rId="8186" sId="1" xfDxf="1" dxf="1">
    <nc r="A802" t="inlineStr">
      <is>
        <t>Zone 4</t>
      </is>
    </nc>
    <ndxf>
      <border outline="0">
        <bottom style="thin">
          <color indexed="64"/>
        </bottom>
      </border>
    </ndxf>
  </rcc>
  <rcc rId="8187" sId="1" xfDxf="1" dxf="1">
    <nc r="B802">
      <v>22</v>
    </nc>
    <ndxf>
      <border outline="0">
        <bottom style="thin">
          <color indexed="64"/>
        </bottom>
      </border>
    </ndxf>
  </rcc>
  <rcc rId="8188" sId="1" xfDxf="1" dxf="1">
    <nc r="C802">
      <v>1</v>
    </nc>
    <ndxf>
      <border outline="0">
        <bottom style="thin">
          <color indexed="64"/>
        </bottom>
      </border>
    </ndxf>
  </rcc>
  <rcc rId="8189" sId="1" xfDxf="1" dxf="1">
    <nc r="D802" t="inlineStr">
      <is>
        <t>24-008</t>
      </is>
    </nc>
    <ndxf>
      <border outline="0">
        <bottom style="thin">
          <color indexed="64"/>
        </bottom>
      </border>
    </ndxf>
  </rcc>
  <rcc rId="8190" sId="1" xfDxf="1" dxf="1">
    <nc r="E802" t="inlineStr">
      <is>
        <t>W1030177/1</t>
      </is>
    </nc>
    <ndxf>
      <border outline="0">
        <bottom style="thin">
          <color indexed="64"/>
        </bottom>
      </border>
    </ndxf>
  </rcc>
  <rcc rId="8191" sId="1" xfDxf="1" dxf="1">
    <nc r="F802" t="inlineStr">
      <is>
        <t>VER1/0122-1206</t>
      </is>
    </nc>
    <ndxf>
      <border outline="0">
        <bottom style="thin">
          <color indexed="64"/>
        </bottom>
      </border>
    </ndxf>
  </rcc>
  <rcc rId="8192" sId="1" xfDxf="1" dxf="1">
    <nc r="G802" t="inlineStr">
      <is>
        <t>Over Molded Lower Shuttle, Zeus Baton Large</t>
      </is>
    </nc>
    <ndxf>
      <border outline="0">
        <bottom style="thin">
          <color indexed="64"/>
        </bottom>
      </border>
    </ndxf>
  </rcc>
  <rcc rId="8193" sId="1" xfDxf="1" dxf="1">
    <nc r="H802">
      <v>13.7</v>
    </nc>
    <ndxf>
      <border outline="0">
        <bottom style="thin">
          <color indexed="64"/>
        </bottom>
      </border>
    </ndxf>
  </rcc>
  <rcc rId="8194" sId="1" xfDxf="1" dxf="1">
    <nc r="I802">
      <v>13.7</v>
    </nc>
    <ndxf>
      <border outline="0">
        <bottom style="thin">
          <color indexed="64"/>
        </bottom>
      </border>
    </ndxf>
  </rcc>
  <rcc rId="8195" sId="1" xfDxf="1" dxf="1">
    <nc r="J802">
      <v>1000</v>
    </nc>
    <ndxf>
      <border outline="0">
        <bottom style="thin">
          <color indexed="64"/>
        </bottom>
      </border>
    </ndxf>
  </rcc>
  <rcc rId="8196" sId="1" xfDxf="1" dxf="1">
    <nc r="K802">
      <v>0</v>
    </nc>
    <ndxf>
      <border outline="0">
        <bottom style="thin">
          <color indexed="64"/>
        </bottom>
      </border>
    </ndxf>
  </rcc>
  <rcc rId="8197" sId="1" xfDxf="1" dxf="1" numFmtId="19">
    <nc r="L802">
      <v>46218</v>
    </nc>
    <ndxf>
      <numFmt numFmtId="164" formatCode="mm\-dd\-yyyy"/>
      <border outline="0">
        <bottom style="thin">
          <color indexed="64"/>
        </bottom>
      </border>
    </ndxf>
  </rcc>
  <rcc rId="8198" sId="1" xfDxf="1" dxf="1" numFmtId="19">
    <nc r="M802">
      <v>46218.902777777781</v>
    </nc>
    <ndxf>
      <numFmt numFmtId="164" formatCode="mm\-dd\-yyyy"/>
      <border outline="0">
        <bottom style="thin">
          <color indexed="64"/>
        </bottom>
      </border>
    </ndxf>
  </rcc>
  <rfmt sheetId="1" xfDxf="1" sqref="N802" start="0" length="0">
    <dxf>
      <border outline="0">
        <bottom style="thin">
          <color indexed="64"/>
        </bottom>
      </border>
    </dxf>
  </rfmt>
  <rfmt sheetId="1" xfDxf="1" sqref="O802" start="0" length="0">
    <dxf>
      <border outline="0">
        <bottom style="thin">
          <color indexed="64"/>
        </bottom>
      </border>
    </dxf>
  </rfmt>
  <rfmt sheetId="1" xfDxf="1" sqref="P802" start="0" length="0">
    <dxf>
      <border outline="0">
        <bottom style="thin">
          <color indexed="64"/>
        </bottom>
      </border>
    </dxf>
  </rfmt>
  <rfmt sheetId="1" xfDxf="1" sqref="Q802" start="0" length="0">
    <dxf>
      <border outline="0">
        <bottom style="thin">
          <color indexed="64"/>
        </bottom>
      </border>
    </dxf>
  </rfmt>
  <rfmt sheetId="1" xfDxf="1" sqref="R802" start="0" length="0">
    <dxf>
      <border outline="0">
        <bottom style="thin">
          <color indexed="64"/>
        </bottom>
      </border>
    </dxf>
  </rfmt>
  <rfmt sheetId="1" xfDxf="1" sqref="S802" start="0" length="0">
    <dxf>
      <border outline="0">
        <bottom style="thin">
          <color indexed="64"/>
        </bottom>
      </border>
    </dxf>
  </rfmt>
  <rfmt sheetId="1" xfDxf="1" sqref="T802" start="0" length="0">
    <dxf>
      <border outline="0">
        <bottom style="thin">
          <color indexed="64"/>
        </bottom>
      </border>
    </dxf>
  </rfmt>
  <rfmt sheetId="1" xfDxf="1" sqref="U802" start="0" length="0">
    <dxf>
      <border outline="0">
        <bottom style="thin">
          <color indexed="64"/>
        </bottom>
      </border>
    </dxf>
  </rfmt>
  <rfmt sheetId="1" xfDxf="1" sqref="V802" start="0" length="0">
    <dxf>
      <border outline="0">
        <bottom style="thin">
          <color indexed="64"/>
        </bottom>
      </border>
    </dxf>
  </rfmt>
  <rfmt sheetId="1" xfDxf="1" sqref="W802" start="0" length="0">
    <dxf>
      <border outline="0">
        <bottom style="thin">
          <color indexed="64"/>
        </bottom>
      </border>
    </dxf>
  </rfmt>
  <rfmt sheetId="1" xfDxf="1" sqref="X802" start="0" length="0">
    <dxf>
      <border outline="0">
        <bottom style="thin">
          <color indexed="64"/>
        </bottom>
      </border>
    </dxf>
  </rfmt>
  <rfmt sheetId="1" xfDxf="1" sqref="Y802" start="0" length="0">
    <dxf>
      <border outline="0">
        <bottom style="thin">
          <color indexed="64"/>
        </bottom>
      </border>
    </dxf>
  </rfmt>
  <rfmt sheetId="1" xfDxf="1" sqref="Z802" start="0" length="0">
    <dxf>
      <border outline="0">
        <bottom style="thin">
          <color indexed="64"/>
        </bottom>
      </border>
    </dxf>
  </rfmt>
  <rcc rId="8199" sId="1" xfDxf="1" dxf="1">
    <nc r="AA802" t="inlineStr">
      <is>
        <t>1</t>
      </is>
    </nc>
    <ndxf>
      <border outline="0">
        <bottom style="thin">
          <color indexed="64"/>
        </bottom>
      </border>
    </ndxf>
  </rcc>
  <rcc rId="8200" sId="1" xfDxf="1" dxf="1">
    <nc r="AB802" t="inlineStr">
      <is>
        <t>0</t>
      </is>
    </nc>
    <ndxf>
      <border outline="0">
        <bottom style="thin">
          <color indexed="64"/>
        </bottom>
      </border>
    </ndxf>
  </rcc>
  <rcc rId="8201" sId="1" xfDxf="1" dxf="1">
    <nc r="A803" t="inlineStr">
      <is>
        <t>Zone 4</t>
      </is>
    </nc>
  </rcc>
  <rcc rId="8202" sId="1" xfDxf="1" dxf="1">
    <nc r="B803">
      <v>25</v>
    </nc>
  </rcc>
  <rcc rId="8203" sId="1" xfDxf="1" dxf="1">
    <nc r="C803">
      <v>1</v>
    </nc>
  </rcc>
  <rcc rId="8204" sId="1" xfDxf="1" dxf="1">
    <nc r="D803" t="inlineStr">
      <is>
        <t>23-043</t>
      </is>
    </nc>
  </rcc>
  <rcc rId="8205" sId="1" xfDxf="1" dxf="1">
    <nc r="E803" t="inlineStr">
      <is>
        <t>W1030241/1</t>
      </is>
    </nc>
  </rcc>
  <rcc rId="8206" sId="1" xfDxf="1" dxf="1">
    <nc r="F803" t="inlineStr">
      <is>
        <t>VER3/0122-1298</t>
      </is>
    </nc>
  </rcc>
  <rcc rId="8207" sId="1" xfDxf="1" dxf="1">
    <nc r="G803" t="inlineStr">
      <is>
        <t>Mac S1 Left Shell</t>
      </is>
    </nc>
  </rcc>
  <rcc rId="8208" sId="1" xfDxf="1" dxf="1">
    <nc r="H803">
      <v>15.87</v>
    </nc>
  </rcc>
  <rcc rId="8209" sId="1" xfDxf="1" dxf="1">
    <nc r="I803">
      <v>15.87</v>
    </nc>
  </rcc>
  <rcc rId="8210" sId="1" xfDxf="1" dxf="1">
    <nc r="J803">
      <v>2000</v>
    </nc>
  </rcc>
  <rcc rId="8211" sId="1" xfDxf="1" dxf="1">
    <nc r="K803">
      <v>0</v>
    </nc>
  </rcc>
  <rcc rId="8212" sId="1" xfDxf="1" dxf="1" numFmtId="19">
    <nc r="L803">
      <v>46209.416666666664</v>
    </nc>
    <ndxf>
      <numFmt numFmtId="164" formatCode="mm\-dd\-yyyy"/>
    </ndxf>
  </rcc>
  <rcc rId="8213" sId="1" xfDxf="1" dxf="1" numFmtId="19">
    <nc r="M803">
      <v>46210.409722222219</v>
    </nc>
    <ndxf>
      <numFmt numFmtId="164" formatCode="mm\-dd\-yyyy"/>
    </ndxf>
  </rcc>
  <rfmt sheetId="1" xfDxf="1" sqref="N803" start="0" length="0"/>
  <rfmt sheetId="1" xfDxf="1" sqref="O803" start="0" length="0"/>
  <rfmt sheetId="1" xfDxf="1" sqref="P803" start="0" length="0"/>
  <rfmt sheetId="1" xfDxf="1" sqref="Q803" start="0" length="0"/>
  <rfmt sheetId="1" xfDxf="1" sqref="R803" start="0" length="0"/>
  <rfmt sheetId="1" xfDxf="1" sqref="S803" start="0" length="0"/>
  <rfmt sheetId="1" xfDxf="1" sqref="T803" start="0" length="0"/>
  <rfmt sheetId="1" xfDxf="1" sqref="U803" start="0" length="0"/>
  <rfmt sheetId="1" xfDxf="1" sqref="V803" start="0" length="0"/>
  <rfmt sheetId="1" xfDxf="1" sqref="W803" start="0" length="0"/>
  <rfmt sheetId="1" xfDxf="1" sqref="X803" start="0" length="0"/>
  <rfmt sheetId="1" xfDxf="1" sqref="Y803" start="0" length="0"/>
  <rfmt sheetId="1" xfDxf="1" sqref="Z803" start="0" length="0"/>
  <rcc rId="8214" sId="1" xfDxf="1" dxf="1">
    <nc r="AA803" t="inlineStr">
      <is>
        <t>1</t>
      </is>
    </nc>
  </rcc>
  <rcc rId="8215" sId="1" xfDxf="1" dxf="1">
    <nc r="AB803" t="inlineStr">
      <is>
        <t>0</t>
      </is>
    </nc>
  </rcc>
  <rrc rId="8216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7</v>
      </nc>
    </rcc>
    <rcc rId="0" sId="1" dxf="1">
      <nc r="E646" t="inlineStr">
        <is>
          <t>W1023051/1</t>
        </is>
      </nc>
      <ndxf>
        <fill>
          <patternFill patternType="solid">
            <bgColor rgb="FFFFFF00"/>
          </patternFill>
        </fill>
      </ndxf>
    </rcc>
    <rcc rId="0" sId="1">
      <nc r="F646" t="inlineStr">
        <is>
          <t>CRH1/11-4120</t>
        </is>
      </nc>
    </rcc>
    <rcc rId="0" sId="1">
      <nc r="G646" t="inlineStr">
        <is>
          <t>O'Regan Disp. Ligator Kit (box of 20)</t>
        </is>
      </nc>
    </rcc>
    <rcc rId="0" sId="1">
      <nc r="H646">
        <v>188.16</v>
      </nc>
    </rcc>
    <rcc rId="0" sId="1">
      <nc r="I646">
        <v>24.58</v>
      </nc>
    </rcc>
    <rcc rId="0" sId="1">
      <nc r="J646">
        <v>840</v>
      </nc>
    </rcc>
    <rcc rId="0" sId="1">
      <nc r="K646">
        <v>72</v>
      </nc>
    </rcc>
    <rcc rId="0" sId="1" dxf="1" numFmtId="19">
      <nc r="L646">
        <v>46208.958333333336</v>
      </nc>
      <ndxf>
        <numFmt numFmtId="164" formatCode="mm\-dd\-yyyy"/>
      </ndxf>
    </rcc>
    <rcc rId="0" sId="1" dxf="1" numFmtId="19">
      <nc r="M646">
        <v>46209.979166666664</v>
      </nc>
      <ndxf>
        <numFmt numFmtId="164" formatCode="mm\-dd\-yyyy"/>
      </ndxf>
    </rcc>
    <rfmt sheetId="1" sqref="N646" start="0" length="0">
      <dxf>
        <fill>
          <patternFill patternType="solid">
            <bgColor rgb="FFFFFF00"/>
          </patternFill>
        </fill>
      </dxf>
    </rfmt>
    <rfmt sheetId="1" sqref="O646" start="0" length="0">
      <dxf>
        <fill>
          <patternFill patternType="solid">
            <bgColor rgb="FFFFFF00"/>
          </patternFill>
        </fill>
      </dxf>
    </rfmt>
    <rfmt sheetId="1" sqref="P646" start="0" length="0">
      <dxf>
        <fill>
          <patternFill patternType="solid">
            <bgColor rgb="FFFFFF00"/>
          </patternFill>
        </fill>
      </dxf>
    </rfmt>
    <rfmt sheetId="1" sqref="Q646" start="0" length="0">
      <dxf>
        <fill>
          <patternFill patternType="solid">
            <bgColor rgb="FFFFFF00"/>
          </patternFill>
        </fill>
      </dxf>
    </rfmt>
    <rfmt sheetId="1" sqref="R646" start="0" length="0">
      <dxf>
        <fill>
          <patternFill patternType="solid">
            <bgColor rgb="FFFFFF00"/>
          </patternFill>
        </fill>
      </dxf>
    </rfmt>
    <rfmt sheetId="1" sqref="S646" start="0" length="0">
      <dxf>
        <fill>
          <patternFill patternType="solid">
            <bgColor rgb="FFFFFF00"/>
          </patternFill>
        </fill>
      </dxf>
    </rfmt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17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7</v>
      </nc>
    </rcc>
    <rcc rId="0" sId="1" dxf="1">
      <nc r="E646" t="inlineStr">
        <is>
          <t>W1023052/1</t>
        </is>
      </nc>
      <ndxf>
        <fill>
          <patternFill patternType="solid">
            <bgColor theme="8" tint="0.39997558519241921"/>
          </patternFill>
        </fill>
      </ndxf>
    </rcc>
    <rcc rId="0" sId="1">
      <nc r="F646" t="inlineStr">
        <is>
          <t>CRH1/11-4120</t>
        </is>
      </nc>
    </rcc>
    <rcc rId="0" sId="1">
      <nc r="G646" t="inlineStr">
        <is>
          <t>O'Regan Disp. Ligator Kit (box of 20)</t>
        </is>
      </nc>
    </rcc>
    <rcc rId="0" sId="1">
      <nc r="H646">
        <v>188.16</v>
      </nc>
    </rcc>
    <rcc rId="0" sId="1">
      <nc r="I646">
        <v>26.88</v>
      </nc>
    </rcc>
    <rcc rId="0" sId="1">
      <nc r="J646">
        <v>840</v>
      </nc>
    </rcc>
    <rcc rId="0" sId="1">
      <nc r="K646">
        <v>0</v>
      </nc>
    </rcc>
    <rcc rId="0" sId="1" dxf="1" numFmtId="19">
      <nc r="L646">
        <v>46209.986111111109</v>
      </nc>
      <ndxf>
        <numFmt numFmtId="164" formatCode="mm\-dd\-yyyy"/>
      </ndxf>
    </rcc>
    <rcc rId="0" sId="1" dxf="1" numFmtId="19">
      <nc r="M646">
        <v>46211.4375</v>
      </nc>
      <ndxf>
        <numFmt numFmtId="164" formatCode="mm\-dd\-yyyy"/>
      </ndxf>
    </rcc>
    <rfmt sheetId="1" sqref="N646" start="0" length="0">
      <dxf>
        <fill>
          <patternFill patternType="solid">
            <bgColor theme="8" tint="0.39997558519241921"/>
          </patternFill>
        </fill>
      </dxf>
    </rfmt>
    <rfmt sheetId="1" sqref="O646" start="0" length="0">
      <dxf>
        <fill>
          <patternFill patternType="solid">
            <bgColor theme="8" tint="0.39997558519241921"/>
          </patternFill>
        </fill>
      </dxf>
    </rfmt>
    <rfmt sheetId="1" sqref="P646" start="0" length="0">
      <dxf>
        <fill>
          <patternFill patternType="solid">
            <bgColor theme="8" tint="0.39997558519241921"/>
          </patternFill>
        </fill>
      </dxf>
    </rfmt>
    <rfmt sheetId="1" sqref="Q646" start="0" length="0">
      <dxf>
        <fill>
          <patternFill patternType="solid">
            <bgColor theme="8" tint="0.39997558519241921"/>
          </patternFill>
        </fill>
      </dxf>
    </rfmt>
    <rfmt sheetId="1" sqref="R646" start="0" length="0">
      <dxf>
        <fill>
          <patternFill patternType="solid">
            <bgColor theme="8" tint="0.39997558519241921"/>
          </patternFill>
        </fill>
      </dxf>
    </rfmt>
    <rfmt sheetId="1" sqref="S646" start="0" length="0">
      <dxf>
        <fill>
          <patternFill patternType="solid">
            <bgColor theme="8" tint="0.39997558519241921"/>
          </patternFill>
        </fill>
      </dxf>
    </rfmt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18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7</v>
      </nc>
    </rcc>
    <rcc rId="0" sId="1">
      <nc r="E646" t="inlineStr">
        <is>
          <t>W1023053/1</t>
        </is>
      </nc>
    </rcc>
    <rcc rId="0" sId="1">
      <nc r="F646" t="inlineStr">
        <is>
          <t>CRH1/11-4120</t>
        </is>
      </nc>
    </rcc>
    <rcc rId="0" sId="1">
      <nc r="G646" t="inlineStr">
        <is>
          <t>O'Regan Disp. Ligator Kit (box of 20)</t>
        </is>
      </nc>
    </rcc>
    <rcc rId="0" sId="1">
      <nc r="H646">
        <v>188.16</v>
      </nc>
    </rcc>
    <rcc rId="0" sId="1">
      <nc r="I646">
        <v>26.88</v>
      </nc>
    </rcc>
    <rcc rId="0" sId="1">
      <nc r="J646">
        <v>840</v>
      </nc>
    </rcc>
    <rcc rId="0" sId="1">
      <nc r="K646">
        <v>0</v>
      </nc>
    </rcc>
    <rcc rId="0" sId="1" dxf="1" numFmtId="19">
      <nc r="L646">
        <v>46211.444444444445</v>
      </nc>
      <ndxf>
        <numFmt numFmtId="164" formatCode="mm\-dd\-yyyy"/>
      </ndxf>
    </rcc>
    <rcc rId="0" sId="1" dxf="1" numFmtId="19">
      <nc r="M646">
        <v>46212.895833333336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19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2</v>
      </nc>
    </rcc>
    <rcc rId="0" sId="1">
      <nc r="E646" t="inlineStr">
        <is>
          <t>W1023404/1</t>
        </is>
      </nc>
    </rcc>
    <rcc rId="0" sId="1">
      <nc r="F646" t="inlineStr">
        <is>
          <t>VER1/0270-0628</t>
        </is>
      </nc>
    </rcc>
    <rcc rId="0" sId="1">
      <nc r="G646" t="inlineStr">
        <is>
          <t>GVL 4 Stat</t>
        </is>
      </nc>
    </rcc>
    <rcc rId="0" sId="1">
      <nc r="H646">
        <v>66.66</v>
      </nc>
    </rcc>
    <rcc rId="0" sId="1">
      <nc r="I646">
        <v>33.33</v>
      </nc>
    </rcc>
    <rcc rId="0" sId="1">
      <nc r="J646">
        <v>1200</v>
      </nc>
    </rcc>
    <rcc rId="0" sId="1">
      <nc r="K646">
        <v>0</v>
      </nc>
    </rcc>
    <rcc rId="0" sId="1" dxf="1" numFmtId="19">
      <nc r="L646">
        <v>46212.902777777781</v>
      </nc>
      <ndxf>
        <numFmt numFmtId="164" formatCode="mm\-dd\-yyyy"/>
      </ndxf>
    </rcc>
    <rcc rId="0" sId="1" dxf="1" numFmtId="19">
      <nc r="M646">
        <v>46214.284722222219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20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2</v>
      </nc>
    </rcc>
    <rcc rId="0" sId="1">
      <nc r="E646" t="inlineStr">
        <is>
          <t>W1022669/1</t>
        </is>
      </nc>
    </rcc>
    <rcc rId="0" sId="1">
      <nc r="F646" t="inlineStr">
        <is>
          <t>VER1/0270-1127</t>
        </is>
      </nc>
    </rcc>
    <rcc rId="0" sId="1">
      <nc r="G646" t="inlineStr">
        <is>
          <t>Clearfit HA 3 – Box of 10</t>
        </is>
      </nc>
    </rcc>
    <rcc rId="0" sId="1">
      <nc r="H646">
        <v>30</v>
      </nc>
    </rcc>
    <rcc rId="0" sId="1">
      <nc r="I646">
        <v>15</v>
      </nc>
    </rcc>
    <rcc rId="0" sId="1">
      <nc r="J646">
        <v>600</v>
      </nc>
    </rcc>
    <rcc rId="0" sId="1">
      <nc r="K646">
        <v>0</v>
      </nc>
    </rcc>
    <rcc rId="0" sId="1" dxf="1" numFmtId="19">
      <nc r="L646">
        <v>46216</v>
      </nc>
      <ndxf>
        <numFmt numFmtId="164" formatCode="mm\-dd\-yyyy"/>
      </ndxf>
    </rcc>
    <rcc rId="0" sId="1" dxf="1" numFmtId="19">
      <nc r="M646">
        <v>46216.618055555555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21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2</v>
      </nc>
    </rcc>
    <rcc rId="0" sId="1">
      <nc r="E646" t="inlineStr">
        <is>
          <t>W1022670/1</t>
        </is>
      </nc>
    </rcc>
    <rcc rId="0" sId="1">
      <nc r="F646" t="inlineStr">
        <is>
          <t>VER1/0270-1127</t>
        </is>
      </nc>
    </rcc>
    <rcc rId="0" sId="1">
      <nc r="G646" t="inlineStr">
        <is>
          <t>Clearfit HA 3 – Box of 10</t>
        </is>
      </nc>
    </rcc>
    <rcc rId="0" sId="1">
      <nc r="H646">
        <v>30</v>
      </nc>
    </rcc>
    <rcc rId="0" sId="1">
      <nc r="I646">
        <v>15</v>
      </nc>
    </rcc>
    <rcc rId="0" sId="1">
      <nc r="J646">
        <v>600</v>
      </nc>
    </rcc>
    <rcc rId="0" sId="1">
      <nc r="K646">
        <v>0</v>
      </nc>
    </rcc>
    <rcc rId="0" sId="1" dxf="1" numFmtId="19">
      <nc r="L646">
        <v>46216.625</v>
      </nc>
      <ndxf>
        <numFmt numFmtId="164" formatCode="mm\-dd\-yyyy"/>
      </ndxf>
    </rcc>
    <rcc rId="0" sId="1" dxf="1" numFmtId="19">
      <nc r="M646">
        <v>46217.243055555555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22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2</v>
      </nc>
    </rcc>
    <rcc rId="0" sId="1">
      <nc r="E646" t="inlineStr">
        <is>
          <t>W1022671/1</t>
        </is>
      </nc>
    </rcc>
    <rcc rId="0" sId="1">
      <nc r="F646" t="inlineStr">
        <is>
          <t>VER1/0270-1127</t>
        </is>
      </nc>
    </rcc>
    <rcc rId="0" sId="1">
      <nc r="G646" t="inlineStr">
        <is>
          <t>Clearfit HA 3 – Box of 10</t>
        </is>
      </nc>
    </rcc>
    <rcc rId="0" sId="1">
      <nc r="H646">
        <v>30</v>
      </nc>
    </rcc>
    <rcc rId="0" sId="1">
      <nc r="I646">
        <v>15</v>
      </nc>
    </rcc>
    <rcc rId="0" sId="1">
      <nc r="J646">
        <v>600</v>
      </nc>
    </rcc>
    <rcc rId="0" sId="1">
      <nc r="K646">
        <v>0</v>
      </nc>
    </rcc>
    <rcc rId="0" sId="1" dxf="1" numFmtId="19">
      <nc r="L646">
        <v>46217.25</v>
      </nc>
      <ndxf>
        <numFmt numFmtId="164" formatCode="mm\-dd\-yyyy"/>
      </ndxf>
    </rcc>
    <rcc rId="0" sId="1" dxf="1" numFmtId="19">
      <nc r="M646">
        <v>46217.868055555555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23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2</v>
      </nc>
    </rcc>
    <rcc rId="0" sId="1">
      <nc r="E646" t="inlineStr">
        <is>
          <t>W1022674/1</t>
        </is>
      </nc>
    </rcc>
    <rcc rId="0" sId="1">
      <nc r="F646" t="inlineStr">
        <is>
          <t>VER1/0270-1128</t>
        </is>
      </nc>
    </rcc>
    <rcc rId="0" sId="1">
      <nc r="G646" t="inlineStr">
        <is>
          <t>Clearfit HA 4 – Box of 10</t>
        </is>
      </nc>
    </rcc>
    <rcc rId="0" sId="1">
      <nc r="H646">
        <v>30</v>
      </nc>
    </rcc>
    <rcc rId="0" sId="1">
      <nc r="I646">
        <v>15</v>
      </nc>
    </rcc>
    <rcc rId="0" sId="1">
      <nc r="J646">
        <v>600</v>
      </nc>
    </rcc>
    <rcc rId="0" sId="1">
      <nc r="K646">
        <v>0</v>
      </nc>
    </rcc>
    <rcc rId="0" sId="1" dxf="1" numFmtId="19">
      <nc r="L646">
        <v>46217.875</v>
      </nc>
      <ndxf>
        <numFmt numFmtId="164" formatCode="mm\-dd\-yyyy"/>
      </ndxf>
    </rcc>
    <rcc rId="0" sId="1" dxf="1" numFmtId="19">
      <nc r="M646">
        <v>46218.493055555555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24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2</v>
      </nc>
    </rcc>
    <rcc rId="0" sId="1">
      <nc r="E646" t="inlineStr">
        <is>
          <t>W1022675/1</t>
        </is>
      </nc>
    </rcc>
    <rcc rId="0" sId="1">
      <nc r="F646" t="inlineStr">
        <is>
          <t>VER1/0270-1128</t>
        </is>
      </nc>
    </rcc>
    <rcc rId="0" sId="1">
      <nc r="G646" t="inlineStr">
        <is>
          <t>Clearfit HA 4 – Box of 10</t>
        </is>
      </nc>
    </rcc>
    <rcc rId="0" sId="1">
      <nc r="H646">
        <v>30</v>
      </nc>
    </rcc>
    <rcc rId="0" sId="1">
      <nc r="I646">
        <v>15</v>
      </nc>
    </rcc>
    <rcc rId="0" sId="1">
      <nc r="J646">
        <v>600</v>
      </nc>
    </rcc>
    <rcc rId="0" sId="1">
      <nc r="K646">
        <v>0</v>
      </nc>
    </rcc>
    <rcc rId="0" sId="1" dxf="1" numFmtId="19">
      <nc r="L646">
        <v>46218.5</v>
      </nc>
      <ndxf>
        <numFmt numFmtId="164" formatCode="mm\-dd\-yyyy"/>
      </ndxf>
    </rcc>
    <rcc rId="0" sId="1" dxf="1" numFmtId="19">
      <nc r="M646">
        <v>46219.118055555555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25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2</v>
      </nc>
    </rcc>
    <rcc rId="0" sId="1">
      <nc r="E646" t="inlineStr">
        <is>
          <t>W1024578/1</t>
        </is>
      </nc>
    </rcc>
    <rcc rId="0" sId="1">
      <nc r="F646" t="inlineStr">
        <is>
          <t>VER1/0270-1128</t>
        </is>
      </nc>
    </rcc>
    <rcc rId="0" sId="1">
      <nc r="G646" t="inlineStr">
        <is>
          <t>Clearfit HA 4 – Box of 10</t>
        </is>
      </nc>
    </rcc>
    <rcc rId="0" sId="1">
      <nc r="H646">
        <v>30</v>
      </nc>
    </rcc>
    <rcc rId="0" sId="1">
      <nc r="I646">
        <v>15</v>
      </nc>
    </rcc>
    <rcc rId="0" sId="1">
      <nc r="J646">
        <v>600</v>
      </nc>
    </rcc>
    <rcc rId="0" sId="1">
      <nc r="K646">
        <v>0</v>
      </nc>
    </rcc>
    <rcc rId="0" sId="1" dxf="1" numFmtId="19">
      <nc r="L646">
        <v>46219.125</v>
      </nc>
      <ndxf>
        <numFmt numFmtId="164" formatCode="mm\-dd\-yyyy"/>
      </ndxf>
    </rcc>
    <rcc rId="0" sId="1" dxf="1" numFmtId="19">
      <nc r="M646">
        <v>46219.743055555555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26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2</v>
      </nc>
    </rcc>
    <rcc rId="0" sId="1">
      <nc r="E646" t="inlineStr">
        <is>
          <t>W1024322/1</t>
        </is>
      </nc>
    </rcc>
    <rcc rId="0" sId="1">
      <nc r="F646" t="inlineStr">
        <is>
          <t>VER1/0270-0626</t>
        </is>
      </nc>
    </rcc>
    <rcc rId="0" sId="1">
      <nc r="G646" t="inlineStr">
        <is>
          <t>GVL 3 Stat</t>
        </is>
      </nc>
    </rcc>
    <rcc rId="0" sId="1">
      <nc r="H646">
        <v>66.66</v>
      </nc>
    </rcc>
    <rcc rId="0" sId="1">
      <nc r="I646">
        <v>33.33</v>
      </nc>
    </rcc>
    <rcc rId="0" sId="1">
      <nc r="J646">
        <v>1200</v>
      </nc>
    </rcc>
    <rcc rId="0" sId="1">
      <nc r="K646">
        <v>0</v>
      </nc>
    </rcc>
    <rcc rId="0" sId="1" dxf="1" numFmtId="19">
      <nc r="L646">
        <v>46223</v>
      </nc>
      <ndxf>
        <numFmt numFmtId="164" formatCode="mm\-dd\-yyyy"/>
      </ndxf>
    </rcc>
    <rcc rId="0" sId="1" dxf="1" numFmtId="19">
      <nc r="M646">
        <v>46224.381944444445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27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2</v>
      </nc>
    </rcc>
    <rcc rId="0" sId="1">
      <nc r="E646" t="inlineStr">
        <is>
          <t>W1026670/1</t>
        </is>
      </nc>
    </rcc>
    <rcc rId="0" sId="1">
      <nc r="F646" t="inlineStr">
        <is>
          <t>VER1/0270-0626</t>
        </is>
      </nc>
    </rcc>
    <rcc rId="0" sId="1">
      <nc r="G646" t="inlineStr">
        <is>
          <t>GVL 3 Stat</t>
        </is>
      </nc>
    </rcc>
    <rcc rId="0" sId="1">
      <nc r="H646">
        <v>66.66</v>
      </nc>
    </rcc>
    <rcc rId="0" sId="1">
      <nc r="I646">
        <v>33.33</v>
      </nc>
    </rcc>
    <rcc rId="0" sId="1">
      <nc r="J646">
        <v>1200</v>
      </nc>
    </rcc>
    <rcc rId="0" sId="1">
      <nc r="K646">
        <v>0</v>
      </nc>
    </rcc>
    <rcc rId="0" sId="1" dxf="1" numFmtId="19">
      <nc r="L646">
        <v>46224.388888888891</v>
      </nc>
      <ndxf>
        <numFmt numFmtId="164" formatCode="mm\-dd\-yyyy"/>
      </ndxf>
    </rcc>
    <rcc rId="0" sId="1" dxf="1" numFmtId="19">
      <nc r="M646">
        <v>46225.770833333336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28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6</v>
      </nc>
    </rcc>
    <rcc rId="0" sId="1">
      <nc r="E646" t="inlineStr">
        <is>
          <t>W1028528/1</t>
        </is>
      </nc>
    </rcc>
    <rcc rId="0" sId="1">
      <nc r="F646" t="inlineStr">
        <is>
          <t>VER1/0270-0916</t>
        </is>
      </nc>
    </rcc>
    <rcc rId="0" sId="1">
      <nc r="G646" t="inlineStr">
        <is>
          <t>Gliderite Stylet, Pediatric</t>
        </is>
      </nc>
    </rcc>
    <rcc rId="0" sId="1">
      <nc r="H646">
        <v>49.98</v>
      </nc>
    </rcc>
    <rcc rId="0" sId="1">
      <nc r="I646">
        <v>8.33</v>
      </nc>
    </rcc>
    <rcc rId="0" sId="1">
      <nc r="J646">
        <v>1000</v>
      </nc>
    </rcc>
    <rcc rId="0" sId="1">
      <nc r="K646">
        <v>0</v>
      </nc>
    </rcc>
    <rcc rId="0" sId="1" dxf="1" numFmtId="19">
      <nc r="L646">
        <v>46225.777777777781</v>
      </nc>
      <ndxf>
        <numFmt numFmtId="164" formatCode="mm\-dd\-yyyy"/>
      </ndxf>
    </rcc>
    <rcc rId="0" sId="1" dxf="1" numFmtId="19">
      <nc r="M646">
        <v>46226.118055555555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rc rId="8229" sId="1" ref="A646:XFD646" action="deleteRow">
    <rfmt sheetId="1" xfDxf="1" sqref="A646:XFD646" start="0" length="0"/>
    <rcc rId="0" sId="1">
      <nc r="A646" t="inlineStr">
        <is>
          <t>Zone 3</t>
        </is>
      </nc>
    </rcc>
    <rcc rId="0" sId="1">
      <nc r="B646" t="inlineStr">
        <is>
          <t>Multivac</t>
        </is>
      </nc>
    </rcc>
    <rcc rId="0" sId="1">
      <nc r="C646">
        <v>2</v>
      </nc>
    </rcc>
    <rcc rId="0" sId="1">
      <nc r="E646" t="inlineStr">
        <is>
          <t>W1023406/1</t>
        </is>
      </nc>
    </rcc>
    <rcc rId="0" sId="1">
      <nc r="F646" t="inlineStr">
        <is>
          <t>VER1/0270-0628</t>
        </is>
      </nc>
    </rcc>
    <rcc rId="0" sId="1">
      <nc r="G646" t="inlineStr">
        <is>
          <t>GVL 4 Stat</t>
        </is>
      </nc>
    </rcc>
    <rcc rId="0" sId="1">
      <nc r="H646">
        <v>66.66</v>
      </nc>
    </rcc>
    <rcc rId="0" sId="1">
      <nc r="I646">
        <v>33.33</v>
      </nc>
    </rcc>
    <rcc rId="0" sId="1">
      <nc r="J646">
        <v>1200</v>
      </nc>
    </rcc>
    <rcc rId="0" sId="1">
      <nc r="K646">
        <v>0</v>
      </nc>
    </rcc>
    <rcc rId="0" sId="1" dxf="1" numFmtId="19">
      <nc r="L646">
        <v>46230</v>
      </nc>
      <ndxf>
        <numFmt numFmtId="164" formatCode="mm\-dd\-yyyy"/>
      </ndxf>
    </rcc>
    <rcc rId="0" sId="1" dxf="1" numFmtId="19">
      <nc r="M646">
        <v>46231.381944444445</v>
      </nc>
      <ndxf>
        <numFmt numFmtId="164" formatCode="mm\-dd\-yyyy"/>
      </ndxf>
    </rcc>
    <rcc rId="0" sId="1">
      <nc r="AA646" t="inlineStr">
        <is>
          <t>1</t>
        </is>
      </nc>
    </rcc>
    <rcc rId="0" sId="1">
      <nc r="AB646" t="inlineStr">
        <is>
          <t>0</t>
        </is>
      </nc>
    </rcc>
  </rrc>
  <rfmt sheetId="1" sqref="A622:XFD622">
    <dxf>
      <fill>
        <patternFill>
          <bgColor theme="8" tint="0.39997558519241921"/>
        </patternFill>
      </fill>
    </dxf>
  </rfmt>
  <rfmt sheetId="1" sqref="A623:XFD623">
    <dxf>
      <fill>
        <patternFill patternType="none">
          <bgColor auto="1"/>
        </patternFill>
      </fill>
    </dxf>
  </rfmt>
  <rfmt sheetId="1" sqref="A645:XFD645" start="0" length="0">
    <dxf>
      <border>
        <bottom style="medium">
          <color indexed="64"/>
        </bottom>
      </border>
    </dxf>
  </rfmt>
  <rrc rId="8230" sId="1" ref="A642:XFD642" action="deleteRow">
    <rfmt sheetId="1" xfDxf="1" sqref="A642:XFD642" start="0" length="0"/>
    <rcc rId="0" sId="1">
      <nc r="A642" t="inlineStr">
        <is>
          <t>Zone 3</t>
        </is>
      </nc>
    </rcc>
    <rcc rId="0" sId="1">
      <nc r="B642" t="inlineStr">
        <is>
          <t>Multivac</t>
        </is>
      </nc>
    </rcc>
    <rcc rId="0" sId="1">
      <nc r="C642">
        <v>2</v>
      </nc>
    </rcc>
    <rcc rId="0" sId="1">
      <nc r="E642" t="inlineStr">
        <is>
          <t>W1022672/1</t>
        </is>
      </nc>
    </rcc>
    <rcc rId="0" sId="1">
      <nc r="F642" t="inlineStr">
        <is>
          <t>VER1/0270-1127</t>
        </is>
      </nc>
    </rcc>
    <rcc rId="0" sId="1">
      <nc r="G642" t="inlineStr">
        <is>
          <t>Clearfit HA 3 – Box of 10</t>
        </is>
      </nc>
    </rcc>
    <rcc rId="0" sId="1">
      <nc r="H642">
        <v>30</v>
      </nc>
    </rcc>
    <rcc rId="0" sId="1">
      <nc r="I642">
        <v>15</v>
      </nc>
    </rcc>
    <rcc rId="0" sId="1">
      <nc r="J642">
        <v>600</v>
      </nc>
    </rcc>
    <rcc rId="0" sId="1">
      <nc r="K642">
        <v>0</v>
      </nc>
    </rcc>
    <rcc rId="0" sId="1" dxf="1" numFmtId="19">
      <nc r="L642">
        <v>46244</v>
      </nc>
      <ndxf>
        <numFmt numFmtId="164" formatCode="mm\-dd\-yyyy"/>
      </ndxf>
    </rcc>
    <rcc rId="0" sId="1" dxf="1" numFmtId="19">
      <nc r="M642">
        <v>46244.618055555555</v>
      </nc>
      <ndxf>
        <numFmt numFmtId="164" formatCode="mm\-dd\-yyyy"/>
      </ndxf>
    </rcc>
    <rcc rId="0" sId="1">
      <nc r="AA642" t="inlineStr">
        <is>
          <t>1</t>
        </is>
      </nc>
    </rcc>
    <rcc rId="0" sId="1">
      <nc r="AB642" t="inlineStr">
        <is>
          <t>0</t>
        </is>
      </nc>
    </rcc>
  </rrc>
  <rrc rId="8231" sId="1" ref="A642:XFD642" action="deleteRow">
    <rfmt sheetId="1" xfDxf="1" sqref="A642:XFD642" start="0" length="0"/>
    <rcc rId="0" sId="1">
      <nc r="A642" t="inlineStr">
        <is>
          <t>Zone 3</t>
        </is>
      </nc>
    </rcc>
    <rcc rId="0" sId="1">
      <nc r="B642" t="inlineStr">
        <is>
          <t>Multivac</t>
        </is>
      </nc>
    </rcc>
    <rcc rId="0" sId="1">
      <nc r="C642">
        <v>2</v>
      </nc>
    </rcc>
    <rcc rId="0" sId="1">
      <nc r="E642" t="inlineStr">
        <is>
          <t>W1024579/1</t>
        </is>
      </nc>
    </rcc>
    <rcc rId="0" sId="1">
      <nc r="F642" t="inlineStr">
        <is>
          <t>VER1/0270-1128</t>
        </is>
      </nc>
    </rcc>
    <rcc rId="0" sId="1">
      <nc r="G642" t="inlineStr">
        <is>
          <t>Clearfit HA 4 – Box of 10</t>
        </is>
      </nc>
    </rcc>
    <rcc rId="0" sId="1">
      <nc r="H642">
        <v>30</v>
      </nc>
    </rcc>
    <rcc rId="0" sId="1">
      <nc r="I642">
        <v>15</v>
      </nc>
    </rcc>
    <rcc rId="0" sId="1">
      <nc r="J642">
        <v>600</v>
      </nc>
    </rcc>
    <rcc rId="0" sId="1">
      <nc r="K642">
        <v>0</v>
      </nc>
    </rcc>
    <rcc rId="0" sId="1" dxf="1" numFmtId="19">
      <nc r="L642">
        <v>46244.625</v>
      </nc>
      <ndxf>
        <numFmt numFmtId="164" formatCode="mm\-dd\-yyyy"/>
      </ndxf>
    </rcc>
    <rcc rId="0" sId="1" dxf="1" numFmtId="19">
      <nc r="M642">
        <v>46245.243055555555</v>
      </nc>
      <ndxf>
        <numFmt numFmtId="164" formatCode="mm\-dd\-yyyy"/>
      </ndxf>
    </rcc>
    <rcc rId="0" sId="1">
      <nc r="AA642" t="inlineStr">
        <is>
          <t>1</t>
        </is>
      </nc>
    </rcc>
    <rcc rId="0" sId="1">
      <nc r="AB642" t="inlineStr">
        <is>
          <t>0</t>
        </is>
      </nc>
    </rcc>
  </rrc>
  <rrc rId="8232" sId="1" ref="A642:XFD642" action="deleteRow">
    <rfmt sheetId="1" xfDxf="1" sqref="A642:XFD642" start="0" length="0"/>
    <rcc rId="0" sId="1">
      <nc r="A642" t="inlineStr">
        <is>
          <t>Zone 3</t>
        </is>
      </nc>
    </rcc>
    <rcc rId="0" sId="1">
      <nc r="B642" t="inlineStr">
        <is>
          <t>Multivac</t>
        </is>
      </nc>
    </rcc>
    <rcc rId="0" sId="1">
      <nc r="C642">
        <v>2</v>
      </nc>
    </rcc>
    <rcc rId="0" sId="1">
      <nc r="E642" t="inlineStr">
        <is>
          <t>W1027294/1</t>
        </is>
      </nc>
    </rcc>
    <rcc rId="0" sId="1">
      <nc r="F642" t="inlineStr">
        <is>
          <t>VER1/0270-1128</t>
        </is>
      </nc>
    </rcc>
    <rcc rId="0" sId="1">
      <nc r="G642" t="inlineStr">
        <is>
          <t>Clearfit HA 4 – Box of 10</t>
        </is>
      </nc>
    </rcc>
    <rcc rId="0" sId="1">
      <nc r="H642">
        <v>30</v>
      </nc>
    </rcc>
    <rcc rId="0" sId="1">
      <nc r="I642">
        <v>15</v>
      </nc>
    </rcc>
    <rcc rId="0" sId="1">
      <nc r="J642">
        <v>600</v>
      </nc>
    </rcc>
    <rcc rId="0" sId="1">
      <nc r="K642">
        <v>0</v>
      </nc>
    </rcc>
    <rcc rId="0" sId="1" dxf="1" numFmtId="19">
      <nc r="L642">
        <v>46245.25</v>
      </nc>
      <ndxf>
        <numFmt numFmtId="164" formatCode="mm\-dd\-yyyy"/>
      </ndxf>
    </rcc>
    <rcc rId="0" sId="1" dxf="1" numFmtId="19">
      <nc r="M642">
        <v>46245.868055555555</v>
      </nc>
      <ndxf>
        <numFmt numFmtId="164" formatCode="mm\-dd\-yyyy"/>
      </ndxf>
    </rcc>
    <rcc rId="0" sId="1">
      <nc r="AA642" t="inlineStr">
        <is>
          <t>1</t>
        </is>
      </nc>
    </rcc>
    <rcc rId="0" sId="1">
      <nc r="AB642" t="inlineStr">
        <is>
          <t>0</t>
        </is>
      </nc>
    </rcc>
  </rrc>
  <rrc rId="8233" sId="1" ref="A642:XFD642" action="deleteRow">
    <rfmt sheetId="1" xfDxf="1" sqref="A642:XFD642" start="0" length="0">
      <dxf>
        <border outline="0">
          <bottom style="medium">
            <color indexed="64"/>
          </bottom>
        </border>
      </dxf>
    </rfmt>
    <rcc rId="0" sId="1">
      <nc r="A642" t="inlineStr">
        <is>
          <t>Zone 3</t>
        </is>
      </nc>
    </rcc>
    <rcc rId="0" sId="1">
      <nc r="B642" t="inlineStr">
        <is>
          <t>Multivac</t>
        </is>
      </nc>
    </rcc>
    <rcc rId="0" sId="1">
      <nc r="C642">
        <v>2</v>
      </nc>
    </rcc>
    <rcc rId="0" sId="1">
      <nc r="E642" t="inlineStr">
        <is>
          <t>W1027296/1</t>
        </is>
      </nc>
    </rcc>
    <rcc rId="0" sId="1">
      <nc r="F642" t="inlineStr">
        <is>
          <t>VER1/0270-1127</t>
        </is>
      </nc>
    </rcc>
    <rcc rId="0" sId="1">
      <nc r="G642" t="inlineStr">
        <is>
          <t>Clearfit HA 3 – Box of 10</t>
        </is>
      </nc>
    </rcc>
    <rcc rId="0" sId="1">
      <nc r="H642">
        <v>30</v>
      </nc>
    </rcc>
    <rcc rId="0" sId="1">
      <nc r="I642">
        <v>15</v>
      </nc>
    </rcc>
    <rcc rId="0" sId="1">
      <nc r="J642">
        <v>600</v>
      </nc>
    </rcc>
    <rcc rId="0" sId="1">
      <nc r="K642">
        <v>0</v>
      </nc>
    </rcc>
    <rcc rId="0" sId="1" dxf="1" numFmtId="19">
      <nc r="L642">
        <v>46245.875</v>
      </nc>
      <ndxf>
        <numFmt numFmtId="164" formatCode="mm\-dd\-yyyy"/>
      </ndxf>
    </rcc>
    <rcc rId="0" sId="1" dxf="1" numFmtId="19">
      <nc r="M642">
        <v>46246.493055555555</v>
      </nc>
      <ndxf>
        <numFmt numFmtId="164" formatCode="mm\-dd\-yyyy"/>
      </ndxf>
    </rcc>
    <rcc rId="0" sId="1">
      <nc r="AA642" t="inlineStr">
        <is>
          <t>1</t>
        </is>
      </nc>
    </rcc>
    <rcc rId="0" sId="1">
      <nc r="AB642" t="inlineStr">
        <is>
          <t>0</t>
        </is>
      </nc>
    </rcc>
  </rrc>
  <rfmt sheetId="1" sqref="A641:XFD641" start="0" length="0">
    <dxf>
      <border>
        <bottom style="medium">
          <color indexed="64"/>
        </bottom>
      </border>
    </dxf>
  </rfmt>
  <rrc rId="8234" sId="1" ref="A642:XFD670" action="insertRow"/>
  <rcc rId="8235" sId="1" odxf="1" dxf="1">
    <nc r="A642" t="inlineStr">
      <is>
        <t>Zone 3</t>
      </is>
    </nc>
    <odxf/>
    <ndxf/>
  </rcc>
  <rcc rId="8236" sId="1" odxf="1" dxf="1">
    <nc r="B642" t="inlineStr">
      <is>
        <t>Multivac 2</t>
      </is>
    </nc>
    <odxf/>
    <ndxf/>
  </rcc>
  <rcc rId="8237" sId="1" odxf="1" dxf="1">
    <nc r="C642">
      <v>6</v>
    </nc>
    <odxf/>
    <ndxf/>
  </rcc>
  <rfmt sheetId="1" sqref="D642" start="0" length="0">
    <dxf/>
  </rfmt>
  <rcc rId="8238" sId="1" odxf="1" dxf="1">
    <nc r="E642" t="inlineStr">
      <is>
        <t>W1025983/1</t>
      </is>
    </nc>
    <odxf/>
    <ndxf/>
  </rcc>
  <rcc rId="8239" sId="1" odxf="1" dxf="1">
    <nc r="F642" t="inlineStr">
      <is>
        <t>SMI3/SUSTYQDA</t>
      </is>
    </nc>
    <odxf/>
    <ndxf/>
  </rcc>
  <rcc rId="8240" sId="1" odxf="1" dxf="1">
    <nc r="G642" t="inlineStr">
      <is>
        <t>SU Stylet QDA Test Pack</t>
      </is>
    </nc>
    <odxf/>
    <ndxf/>
  </rcc>
  <rcc rId="8241" sId="1" odxf="1" dxf="1">
    <nc r="H642">
      <v>0.3</v>
    </nc>
    <odxf/>
    <ndxf/>
  </rcc>
  <rcc rId="8242" sId="1" odxf="1" dxf="1">
    <nc r="I642">
      <v>0.05</v>
    </nc>
    <odxf/>
    <ndxf/>
  </rcc>
  <rcc rId="8243" sId="1" odxf="1" dxf="1">
    <nc r="J642">
      <v>5</v>
    </nc>
    <odxf/>
    <ndxf/>
  </rcc>
  <rcc rId="8244" sId="1" odxf="1" dxf="1">
    <nc r="K642">
      <v>0</v>
    </nc>
    <odxf/>
    <ndxf/>
  </rcc>
  <rcc rId="8245" sId="1" odxf="1" dxf="1" numFmtId="19">
    <nc r="L642">
      <v>46208.958333333336</v>
    </nc>
    <odxf/>
    <ndxf/>
  </rcc>
  <rcc rId="8246" sId="1" odxf="1" dxf="1" numFmtId="19">
    <nc r="M642">
      <v>46208.958333333336</v>
    </nc>
    <odxf/>
    <ndxf/>
  </rcc>
  <rfmt sheetId="1" sqref="N642" start="0" length="0">
    <dxf/>
  </rfmt>
  <rfmt sheetId="1" sqref="O642" start="0" length="0">
    <dxf/>
  </rfmt>
  <rfmt sheetId="1" sqref="P642" start="0" length="0">
    <dxf/>
  </rfmt>
  <rfmt sheetId="1" sqref="Q642" start="0" length="0">
    <dxf/>
  </rfmt>
  <rfmt sheetId="1" sqref="R642" start="0" length="0">
    <dxf/>
  </rfmt>
  <rfmt sheetId="1" sqref="S642" start="0" length="0">
    <dxf/>
  </rfmt>
  <rfmt sheetId="1" sqref="T642" start="0" length="0">
    <dxf/>
  </rfmt>
  <rfmt sheetId="1" sqref="U642" start="0" length="0">
    <dxf/>
  </rfmt>
  <rfmt sheetId="1" sqref="V642" start="0" length="0">
    <dxf/>
  </rfmt>
  <rfmt sheetId="1" sqref="W642" start="0" length="0">
    <dxf/>
  </rfmt>
  <rfmt sheetId="1" sqref="X642" start="0" length="0">
    <dxf/>
  </rfmt>
  <rfmt sheetId="1" sqref="Y642" start="0" length="0">
    <dxf/>
  </rfmt>
  <rfmt sheetId="1" sqref="Z642" start="0" length="0">
    <dxf/>
  </rfmt>
  <rcc rId="8247" sId="1" odxf="1" dxf="1">
    <nc r="AA642" t="inlineStr">
      <is>
        <t>1</t>
      </is>
    </nc>
    <odxf/>
    <ndxf/>
  </rcc>
  <rcc rId="8248" sId="1" odxf="1" dxf="1">
    <nc r="AB642" t="inlineStr">
      <is>
        <t>0</t>
      </is>
    </nc>
    <odxf/>
    <ndxf/>
  </rcc>
  <rfmt sheetId="1" sqref="AC642" start="0" length="0">
    <dxf/>
  </rfmt>
  <rfmt sheetId="1" sqref="AD642" start="0" length="0">
    <dxf/>
  </rfmt>
  <rfmt sheetId="1" sqref="AE642" start="0" length="0">
    <dxf/>
  </rfmt>
  <rfmt sheetId="1" sqref="AF642" start="0" length="0">
    <dxf/>
  </rfmt>
  <rfmt sheetId="1" sqref="AG642" start="0" length="0">
    <dxf/>
  </rfmt>
  <rfmt sheetId="1" sqref="AH642" start="0" length="0">
    <dxf/>
  </rfmt>
  <rfmt sheetId="1" sqref="A642:XFD642" start="0" length="0">
    <dxf/>
  </rfmt>
  <rcc rId="8249" sId="1" odxf="1" dxf="1">
    <nc r="A643" t="inlineStr">
      <is>
        <t>Zone 3</t>
      </is>
    </nc>
    <odxf/>
    <ndxf/>
  </rcc>
  <rcc rId="8250" sId="1" odxf="1" dxf="1">
    <nc r="B643" t="inlineStr">
      <is>
        <t>Multivac 2</t>
      </is>
    </nc>
    <odxf/>
    <ndxf/>
  </rcc>
  <rcc rId="8251" sId="1" odxf="1" dxf="1">
    <nc r="C643">
      <v>4</v>
    </nc>
    <odxf/>
    <ndxf/>
  </rcc>
  <rfmt sheetId="1" sqref="D643" start="0" length="0">
    <dxf/>
  </rfmt>
  <rcc rId="8252" sId="1" odxf="1" dxf="1">
    <nc r="E643" t="inlineStr">
      <is>
        <t>W1027685/1</t>
      </is>
    </nc>
    <odxf/>
    <ndxf/>
  </rcc>
  <rcc rId="8253" sId="1" odxf="1" dxf="1">
    <nc r="F643" t="inlineStr">
      <is>
        <t>VER1/0270-1005</t>
      </is>
    </nc>
    <odxf/>
    <ndxf/>
  </rcc>
  <rcc rId="8254" sId="1" odxf="1" dxf="1">
    <nc r="G643" t="inlineStr">
      <is>
        <t>Single Use Gliderite Stylet</t>
      </is>
    </nc>
    <odxf/>
    <ndxf/>
  </rcc>
  <rcc rId="8255" sId="1" odxf="1" dxf="1">
    <nc r="H643">
      <v>106.68</v>
    </nc>
    <odxf/>
    <ndxf/>
  </rcc>
  <rcc rId="8256" sId="1" odxf="1" dxf="1">
    <nc r="I643">
      <v>26.67</v>
    </nc>
    <odxf/>
    <ndxf/>
  </rcc>
  <rcc rId="8257" sId="1" odxf="1" dxf="1">
    <nc r="J643">
      <v>1500</v>
    </nc>
    <odxf/>
    <ndxf/>
  </rcc>
  <rcc rId="8258" sId="1" odxf="1" dxf="1">
    <nc r="K643">
      <v>0</v>
    </nc>
    <odxf/>
    <ndxf/>
  </rcc>
  <rcc rId="8259" sId="1" odxf="1" dxf="1" numFmtId="19">
    <nc r="L643">
      <v>46209</v>
    </nc>
    <odxf/>
    <ndxf/>
  </rcc>
  <rcc rId="8260" sId="1" odxf="1" dxf="1" numFmtId="19">
    <nc r="M643">
      <v>46210.104166666664</v>
    </nc>
    <odxf/>
    <ndxf/>
  </rcc>
  <rfmt sheetId="1" sqref="N643" start="0" length="0">
    <dxf/>
  </rfmt>
  <rcc rId="8261" sId="1" odxf="1" dxf="1">
    <nc r="O643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rgb="FF00B050"/>
        </patternFill>
      </fill>
    </ndxf>
  </rcc>
  <rfmt sheetId="1" sqref="P643" start="0" length="0">
    <dxf/>
  </rfmt>
  <rfmt sheetId="1" sqref="Q643" start="0" length="0">
    <dxf/>
  </rfmt>
  <rfmt sheetId="1" sqref="R643" start="0" length="0">
    <dxf/>
  </rfmt>
  <rfmt sheetId="1" sqref="S643" start="0" length="0">
    <dxf/>
  </rfmt>
  <rfmt sheetId="1" sqref="T643" start="0" length="0">
    <dxf/>
  </rfmt>
  <rfmt sheetId="1" sqref="U643" start="0" length="0">
    <dxf/>
  </rfmt>
  <rfmt sheetId="1" sqref="V643" start="0" length="0">
    <dxf/>
  </rfmt>
  <rfmt sheetId="1" sqref="W643" start="0" length="0">
    <dxf/>
  </rfmt>
  <rfmt sheetId="1" sqref="X643" start="0" length="0">
    <dxf/>
  </rfmt>
  <rfmt sheetId="1" sqref="Y643" start="0" length="0">
    <dxf/>
  </rfmt>
  <rfmt sheetId="1" sqref="Z643" start="0" length="0">
    <dxf/>
  </rfmt>
  <rcc rId="8262" sId="1" odxf="1" dxf="1">
    <nc r="AA643" t="inlineStr">
      <is>
        <t>1</t>
      </is>
    </nc>
    <odxf/>
    <ndxf/>
  </rcc>
  <rcc rId="8263" sId="1" odxf="1" dxf="1">
    <nc r="AB643" t="inlineStr">
      <is>
        <t>0</t>
      </is>
    </nc>
    <odxf/>
    <ndxf/>
  </rcc>
  <rfmt sheetId="1" sqref="AC643" start="0" length="0">
    <dxf/>
  </rfmt>
  <rfmt sheetId="1" sqref="AD643" start="0" length="0">
    <dxf/>
  </rfmt>
  <rfmt sheetId="1" sqref="AE643" start="0" length="0">
    <dxf/>
  </rfmt>
  <rfmt sheetId="1" sqref="AF643" start="0" length="0">
    <dxf/>
  </rfmt>
  <rfmt sheetId="1" sqref="AG643" start="0" length="0">
    <dxf/>
  </rfmt>
  <rfmt sheetId="1" sqref="AH643" start="0" length="0">
    <dxf/>
  </rfmt>
  <rfmt sheetId="1" sqref="A643:XFD643" start="0" length="0">
    <dxf/>
  </rfmt>
  <rcc rId="8264" sId="1" odxf="1" dxf="1">
    <nc r="A644" t="inlineStr">
      <is>
        <t>Zone 3</t>
      </is>
    </nc>
    <odxf/>
    <ndxf/>
  </rcc>
  <rcc rId="8265" sId="1" odxf="1" dxf="1">
    <nc r="B644" t="inlineStr">
      <is>
        <t>Multivac 2</t>
      </is>
    </nc>
    <odxf/>
    <ndxf/>
  </rcc>
  <rcc rId="8266" sId="1" odxf="1" dxf="1">
    <nc r="C644">
      <v>4</v>
    </nc>
    <odxf/>
    <ndxf/>
  </rcc>
  <rfmt sheetId="1" sqref="D644" start="0" length="0">
    <dxf/>
  </rfmt>
  <rcc rId="8267" sId="1" odxf="1" dxf="1">
    <nc r="E644" t="inlineStr">
      <is>
        <t>W1027686/1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8268" sId="1" odxf="1" dxf="1">
    <nc r="F644" t="inlineStr">
      <is>
        <t>VER1/0270-1005</t>
      </is>
    </nc>
    <odxf/>
    <ndxf/>
  </rcc>
  <rcc rId="8269" sId="1" odxf="1" dxf="1">
    <nc r="G644" t="inlineStr">
      <is>
        <t>Single Use Gliderite Stylet</t>
      </is>
    </nc>
    <odxf/>
    <ndxf/>
  </rcc>
  <rcc rId="8270" sId="1" odxf="1" dxf="1">
    <nc r="H644">
      <v>106.68</v>
    </nc>
    <odxf/>
    <ndxf/>
  </rcc>
  <rcc rId="8271" sId="1" odxf="1" dxf="1">
    <nc r="I644">
      <v>26.67</v>
    </nc>
    <odxf/>
    <ndxf/>
  </rcc>
  <rcc rId="8272" sId="1" odxf="1" dxf="1">
    <nc r="J644">
      <v>1500</v>
    </nc>
    <odxf/>
    <ndxf/>
  </rcc>
  <rcc rId="8273" sId="1" odxf="1" dxf="1">
    <nc r="K644">
      <v>0</v>
    </nc>
    <odxf/>
    <ndxf/>
  </rcc>
  <rcc rId="8274" sId="1" odxf="1" dxf="1" numFmtId="19">
    <nc r="L644">
      <v>46210.111111111109</v>
    </nc>
    <odxf/>
    <ndxf/>
  </rcc>
  <rcc rId="8275" sId="1" odxf="1" dxf="1" numFmtId="19">
    <nc r="M644">
      <v>46211.215277777781</v>
    </nc>
    <odxf/>
    <ndxf/>
  </rcc>
  <rfmt sheetId="1" sqref="N644" start="0" length="0">
    <dxf>
      <fill>
        <patternFill patternType="solid">
          <bgColor theme="8" tint="0.39997558519241921"/>
        </patternFill>
      </fill>
    </dxf>
  </rfmt>
  <rcc rId="8276" sId="1" odxf="1" dxf="1">
    <nc r="O644" t="inlineStr">
      <is>
        <t>P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P644" start="0" length="0">
    <dxf>
      <fill>
        <patternFill patternType="solid">
          <bgColor theme="8" tint="0.39997558519241921"/>
        </patternFill>
      </fill>
    </dxf>
  </rfmt>
  <rfmt sheetId="1" sqref="Q644" start="0" length="0">
    <dxf>
      <fill>
        <patternFill patternType="solid">
          <bgColor theme="8" tint="0.39997558519241921"/>
        </patternFill>
      </fill>
    </dxf>
  </rfmt>
  <rfmt sheetId="1" sqref="R644" start="0" length="0">
    <dxf>
      <fill>
        <patternFill patternType="solid">
          <bgColor theme="8" tint="0.39997558519241921"/>
        </patternFill>
      </fill>
    </dxf>
  </rfmt>
  <rfmt sheetId="1" sqref="S644" start="0" length="0">
    <dxf>
      <fill>
        <patternFill patternType="solid">
          <bgColor theme="8" tint="0.39997558519241921"/>
        </patternFill>
      </fill>
    </dxf>
  </rfmt>
  <rfmt sheetId="1" sqref="T644" start="0" length="0">
    <dxf/>
  </rfmt>
  <rfmt sheetId="1" sqref="U644" start="0" length="0">
    <dxf/>
  </rfmt>
  <rfmt sheetId="1" sqref="V644" start="0" length="0">
    <dxf/>
  </rfmt>
  <rfmt sheetId="1" sqref="W644" start="0" length="0">
    <dxf/>
  </rfmt>
  <rfmt sheetId="1" sqref="X644" start="0" length="0">
    <dxf/>
  </rfmt>
  <rfmt sheetId="1" sqref="Y644" start="0" length="0">
    <dxf/>
  </rfmt>
  <rfmt sheetId="1" sqref="Z644" start="0" length="0">
    <dxf/>
  </rfmt>
  <rcc rId="8277" sId="1" odxf="1" dxf="1">
    <nc r="AA644" t="inlineStr">
      <is>
        <t>1</t>
      </is>
    </nc>
    <odxf/>
    <ndxf/>
  </rcc>
  <rcc rId="8278" sId="1" odxf="1" dxf="1">
    <nc r="AB644" t="inlineStr">
      <is>
        <t>0</t>
      </is>
    </nc>
    <odxf/>
    <ndxf/>
  </rcc>
  <rfmt sheetId="1" sqref="AC644" start="0" length="0">
    <dxf/>
  </rfmt>
  <rfmt sheetId="1" sqref="AD644" start="0" length="0">
    <dxf/>
  </rfmt>
  <rfmt sheetId="1" sqref="AE644" start="0" length="0">
    <dxf/>
  </rfmt>
  <rfmt sheetId="1" sqref="AF644" start="0" length="0">
    <dxf/>
  </rfmt>
  <rfmt sheetId="1" sqref="AG644" start="0" length="0">
    <dxf/>
  </rfmt>
  <rfmt sheetId="1" sqref="AH644" start="0" length="0">
    <dxf/>
  </rfmt>
  <rfmt sheetId="1" sqref="A644:XFD644" start="0" length="0">
    <dxf/>
  </rfmt>
  <rcc rId="8279" sId="1" odxf="1" dxf="1">
    <nc r="A645" t="inlineStr">
      <is>
        <t>Zone 3</t>
      </is>
    </nc>
    <odxf/>
    <ndxf/>
  </rcc>
  <rcc rId="8280" sId="1" odxf="1" dxf="1">
    <nc r="B645" t="inlineStr">
      <is>
        <t>Multivac 2</t>
      </is>
    </nc>
    <odxf/>
    <ndxf/>
  </rcc>
  <rcc rId="8281" sId="1" odxf="1" dxf="1">
    <nc r="C645">
      <v>4</v>
    </nc>
    <odxf/>
    <ndxf/>
  </rcc>
  <rfmt sheetId="1" sqref="D645" start="0" length="0">
    <dxf/>
  </rfmt>
  <rcc rId="8282" sId="1" odxf="1" dxf="1">
    <nc r="E645" t="inlineStr">
      <is>
        <t>W1027689/1</t>
      </is>
    </nc>
    <odxf/>
    <ndxf/>
  </rcc>
  <rcc rId="8283" sId="1" odxf="1" dxf="1">
    <nc r="F645" t="inlineStr">
      <is>
        <t>VER1/0270-1005</t>
      </is>
    </nc>
    <odxf/>
    <ndxf/>
  </rcc>
  <rcc rId="8284" sId="1" odxf="1" dxf="1">
    <nc r="G645" t="inlineStr">
      <is>
        <t>Single Use Gliderite Stylet</t>
      </is>
    </nc>
    <odxf/>
    <ndxf/>
  </rcc>
  <rcc rId="8285" sId="1" odxf="1" dxf="1">
    <nc r="H645">
      <v>106.68</v>
    </nc>
    <odxf/>
    <ndxf/>
  </rcc>
  <rcc rId="8286" sId="1" odxf="1" dxf="1">
    <nc r="I645">
      <v>26.67</v>
    </nc>
    <odxf/>
    <ndxf/>
  </rcc>
  <rcc rId="8287" sId="1" odxf="1" dxf="1">
    <nc r="J645">
      <v>1500</v>
    </nc>
    <odxf/>
    <ndxf/>
  </rcc>
  <rcc rId="8288" sId="1" odxf="1" dxf="1">
    <nc r="K645">
      <v>0</v>
    </nc>
    <odxf/>
    <ndxf/>
  </rcc>
  <rcc rId="8289" sId="1" odxf="1" dxf="1" numFmtId="19">
    <nc r="L645">
      <v>46211.222222222219</v>
    </nc>
    <odxf/>
    <ndxf/>
  </rcc>
  <rcc rId="8290" sId="1" odxf="1" dxf="1" numFmtId="19">
    <nc r="M645">
      <v>46212.326388888891</v>
    </nc>
    <odxf/>
    <ndxf/>
  </rcc>
  <rfmt sheetId="1" sqref="N645" start="0" length="0">
    <dxf/>
  </rfmt>
  <rfmt sheetId="1" sqref="O645" start="0" length="0">
    <dxf/>
  </rfmt>
  <rfmt sheetId="1" sqref="P645" start="0" length="0">
    <dxf/>
  </rfmt>
  <rfmt sheetId="1" sqref="Q645" start="0" length="0">
    <dxf/>
  </rfmt>
  <rfmt sheetId="1" sqref="R645" start="0" length="0">
    <dxf/>
  </rfmt>
  <rfmt sheetId="1" sqref="S645" start="0" length="0">
    <dxf/>
  </rfmt>
  <rfmt sheetId="1" sqref="T645" start="0" length="0">
    <dxf/>
  </rfmt>
  <rfmt sheetId="1" sqref="U645" start="0" length="0">
    <dxf/>
  </rfmt>
  <rfmt sheetId="1" sqref="V645" start="0" length="0">
    <dxf/>
  </rfmt>
  <rfmt sheetId="1" sqref="W645" start="0" length="0">
    <dxf/>
  </rfmt>
  <rfmt sheetId="1" sqref="X645" start="0" length="0">
    <dxf/>
  </rfmt>
  <rfmt sheetId="1" sqref="Y645" start="0" length="0">
    <dxf/>
  </rfmt>
  <rfmt sheetId="1" sqref="Z645" start="0" length="0">
    <dxf/>
  </rfmt>
  <rcc rId="8291" sId="1" odxf="1" dxf="1">
    <nc r="AA645" t="inlineStr">
      <is>
        <t>1</t>
      </is>
    </nc>
    <odxf/>
    <ndxf/>
  </rcc>
  <rcc rId="8292" sId="1" odxf="1" dxf="1">
    <nc r="AB645" t="inlineStr">
      <is>
        <t>0</t>
      </is>
    </nc>
    <odxf/>
    <ndxf/>
  </rcc>
  <rfmt sheetId="1" sqref="AC645" start="0" length="0">
    <dxf/>
  </rfmt>
  <rfmt sheetId="1" sqref="AD645" start="0" length="0">
    <dxf/>
  </rfmt>
  <rfmt sheetId="1" sqref="AE645" start="0" length="0">
    <dxf/>
  </rfmt>
  <rfmt sheetId="1" sqref="AF645" start="0" length="0">
    <dxf/>
  </rfmt>
  <rfmt sheetId="1" sqref="AG645" start="0" length="0">
    <dxf/>
  </rfmt>
  <rfmt sheetId="1" sqref="AH645" start="0" length="0">
    <dxf/>
  </rfmt>
  <rfmt sheetId="1" sqref="A645:XFD645" start="0" length="0">
    <dxf/>
  </rfmt>
  <rcc rId="8293" sId="1" odxf="1" dxf="1">
    <nc r="A646" t="inlineStr">
      <is>
        <t>Zone 3</t>
      </is>
    </nc>
    <odxf/>
    <ndxf/>
  </rcc>
  <rcc rId="8294" sId="1" odxf="1" dxf="1">
    <nc r="B646" t="inlineStr">
      <is>
        <t>Multivac 2</t>
      </is>
    </nc>
    <odxf/>
    <ndxf/>
  </rcc>
  <rcc rId="8295" sId="1" odxf="1" dxf="1">
    <nc r="C646">
      <v>4</v>
    </nc>
    <odxf/>
    <ndxf/>
  </rcc>
  <rfmt sheetId="1" sqref="D646" start="0" length="0">
    <dxf/>
  </rfmt>
  <rcc rId="8296" sId="1" odxf="1" dxf="1">
    <nc r="E646" t="inlineStr">
      <is>
        <t>W1027690/1</t>
      </is>
    </nc>
    <odxf/>
    <ndxf/>
  </rcc>
  <rcc rId="8297" sId="1" odxf="1" dxf="1">
    <nc r="F646" t="inlineStr">
      <is>
        <t>VER1/0270-1005</t>
      </is>
    </nc>
    <odxf/>
    <ndxf/>
  </rcc>
  <rcc rId="8298" sId="1" odxf="1" dxf="1">
    <nc r="G646" t="inlineStr">
      <is>
        <t>Single Use Gliderite Stylet</t>
      </is>
    </nc>
    <odxf/>
    <ndxf/>
  </rcc>
  <rcc rId="8299" sId="1" odxf="1" dxf="1">
    <nc r="H646">
      <v>106.68</v>
    </nc>
    <odxf/>
    <ndxf/>
  </rcc>
  <rcc rId="8300" sId="1" odxf="1" dxf="1">
    <nc r="I646">
      <v>26.67</v>
    </nc>
    <odxf/>
    <ndxf/>
  </rcc>
  <rcc rId="8301" sId="1" odxf="1" dxf="1">
    <nc r="J646">
      <v>1500</v>
    </nc>
    <odxf/>
    <ndxf/>
  </rcc>
  <rcc rId="8302" sId="1" odxf="1" dxf="1">
    <nc r="K646">
      <v>0</v>
    </nc>
    <odxf/>
    <ndxf/>
  </rcc>
  <rcc rId="8303" sId="1" odxf="1" dxf="1" numFmtId="19">
    <nc r="L646">
      <v>46212.333333333336</v>
    </nc>
    <odxf/>
    <ndxf/>
  </rcc>
  <rcc rId="8304" sId="1" odxf="1" dxf="1" numFmtId="19">
    <nc r="M646">
      <v>46213.4375</v>
    </nc>
    <odxf/>
    <ndxf/>
  </rcc>
  <rfmt sheetId="1" sqref="N646" start="0" length="0">
    <dxf/>
  </rfmt>
  <rfmt sheetId="1" sqref="O646" start="0" length="0">
    <dxf/>
  </rfmt>
  <rfmt sheetId="1" sqref="P646" start="0" length="0">
    <dxf/>
  </rfmt>
  <rfmt sheetId="1" sqref="Q646" start="0" length="0">
    <dxf/>
  </rfmt>
  <rfmt sheetId="1" sqref="R646" start="0" length="0">
    <dxf/>
  </rfmt>
  <rfmt sheetId="1" sqref="S646" start="0" length="0">
    <dxf/>
  </rfmt>
  <rfmt sheetId="1" sqref="T646" start="0" length="0">
    <dxf/>
  </rfmt>
  <rfmt sheetId="1" sqref="U646" start="0" length="0">
    <dxf/>
  </rfmt>
  <rfmt sheetId="1" sqref="V646" start="0" length="0">
    <dxf/>
  </rfmt>
  <rfmt sheetId="1" sqref="W646" start="0" length="0">
    <dxf/>
  </rfmt>
  <rfmt sheetId="1" sqref="X646" start="0" length="0">
    <dxf/>
  </rfmt>
  <rfmt sheetId="1" sqref="Y646" start="0" length="0">
    <dxf/>
  </rfmt>
  <rfmt sheetId="1" sqref="Z646" start="0" length="0">
    <dxf/>
  </rfmt>
  <rcc rId="8305" sId="1" odxf="1" dxf="1">
    <nc r="AA646" t="inlineStr">
      <is>
        <t>1</t>
      </is>
    </nc>
    <odxf/>
    <ndxf/>
  </rcc>
  <rcc rId="8306" sId="1" odxf="1" dxf="1">
    <nc r="AB646" t="inlineStr">
      <is>
        <t>0</t>
      </is>
    </nc>
    <odxf/>
    <ndxf/>
  </rcc>
  <rfmt sheetId="1" sqref="AC646" start="0" length="0">
    <dxf/>
  </rfmt>
  <rfmt sheetId="1" sqref="AD646" start="0" length="0">
    <dxf/>
  </rfmt>
  <rfmt sheetId="1" sqref="AE646" start="0" length="0">
    <dxf/>
  </rfmt>
  <rfmt sheetId="1" sqref="AF646" start="0" length="0">
    <dxf/>
  </rfmt>
  <rfmt sheetId="1" sqref="AG646" start="0" length="0">
    <dxf/>
  </rfmt>
  <rfmt sheetId="1" sqref="AH646" start="0" length="0">
    <dxf/>
  </rfmt>
  <rfmt sheetId="1" sqref="A646:XFD646" start="0" length="0">
    <dxf/>
  </rfmt>
  <rcc rId="8307" sId="1" odxf="1" dxf="1">
    <nc r="A647" t="inlineStr">
      <is>
        <t>Zone 3</t>
      </is>
    </nc>
    <odxf/>
    <ndxf/>
  </rcc>
  <rcc rId="8308" sId="1" odxf="1" dxf="1">
    <nc r="B647" t="inlineStr">
      <is>
        <t>Multivac 2</t>
      </is>
    </nc>
    <odxf/>
    <ndxf/>
  </rcc>
  <rcc rId="8309" sId="1" odxf="1" dxf="1">
    <nc r="C647">
      <v>4</v>
    </nc>
    <odxf/>
    <ndxf/>
  </rcc>
  <rfmt sheetId="1" sqref="D647" start="0" length="0">
    <dxf/>
  </rfmt>
  <rcc rId="8310" sId="1" odxf="1" dxf="1">
    <nc r="E647" t="inlineStr">
      <is>
        <t>W1027691/1</t>
      </is>
    </nc>
    <odxf/>
    <ndxf/>
  </rcc>
  <rcc rId="8311" sId="1" odxf="1" dxf="1">
    <nc r="F647" t="inlineStr">
      <is>
        <t>VER1/0270-1005</t>
      </is>
    </nc>
    <odxf/>
    <ndxf/>
  </rcc>
  <rcc rId="8312" sId="1" odxf="1" dxf="1">
    <nc r="G647" t="inlineStr">
      <is>
        <t>Single Use Gliderite Stylet</t>
      </is>
    </nc>
    <odxf/>
    <ndxf/>
  </rcc>
  <rcc rId="8313" sId="1" odxf="1" dxf="1">
    <nc r="H647">
      <v>106.68</v>
    </nc>
    <odxf/>
    <ndxf/>
  </rcc>
  <rcc rId="8314" sId="1" odxf="1" dxf="1">
    <nc r="I647">
      <v>26.67</v>
    </nc>
    <odxf/>
    <ndxf/>
  </rcc>
  <rcc rId="8315" sId="1" odxf="1" dxf="1">
    <nc r="J647">
      <v>1500</v>
    </nc>
    <odxf/>
    <ndxf/>
  </rcc>
  <rcc rId="8316" sId="1" odxf="1" dxf="1">
    <nc r="K647">
      <v>0</v>
    </nc>
    <odxf/>
    <ndxf/>
  </rcc>
  <rcc rId="8317" sId="1" odxf="1" dxf="1" numFmtId="19">
    <nc r="L647">
      <v>46213.444444444445</v>
    </nc>
    <odxf/>
    <ndxf/>
  </rcc>
  <rcc rId="8318" sId="1" odxf="1" dxf="1" numFmtId="19">
    <nc r="M647">
      <v>46214.548611111109</v>
    </nc>
    <odxf/>
    <ndxf/>
  </rcc>
  <rfmt sheetId="1" sqref="N647" start="0" length="0">
    <dxf/>
  </rfmt>
  <rfmt sheetId="1" sqref="O647" start="0" length="0">
    <dxf/>
  </rfmt>
  <rfmt sheetId="1" sqref="P647" start="0" length="0">
    <dxf/>
  </rfmt>
  <rfmt sheetId="1" sqref="Q647" start="0" length="0">
    <dxf/>
  </rfmt>
  <rfmt sheetId="1" sqref="R647" start="0" length="0">
    <dxf/>
  </rfmt>
  <rfmt sheetId="1" sqref="S647" start="0" length="0">
    <dxf/>
  </rfmt>
  <rfmt sheetId="1" sqref="T647" start="0" length="0">
    <dxf/>
  </rfmt>
  <rfmt sheetId="1" sqref="U647" start="0" length="0">
    <dxf/>
  </rfmt>
  <rfmt sheetId="1" sqref="V647" start="0" length="0">
    <dxf/>
  </rfmt>
  <rfmt sheetId="1" sqref="W647" start="0" length="0">
    <dxf/>
  </rfmt>
  <rfmt sheetId="1" sqref="X647" start="0" length="0">
    <dxf/>
  </rfmt>
  <rfmt sheetId="1" sqref="Y647" start="0" length="0">
    <dxf/>
  </rfmt>
  <rfmt sheetId="1" sqref="Z647" start="0" length="0">
    <dxf/>
  </rfmt>
  <rcc rId="8319" sId="1" odxf="1" dxf="1">
    <nc r="AA647" t="inlineStr">
      <is>
        <t>1</t>
      </is>
    </nc>
    <odxf/>
    <ndxf/>
  </rcc>
  <rcc rId="8320" sId="1" odxf="1" dxf="1">
    <nc r="AB647" t="inlineStr">
      <is>
        <t>0</t>
      </is>
    </nc>
    <odxf/>
    <ndxf/>
  </rcc>
  <rfmt sheetId="1" sqref="AC647" start="0" length="0">
    <dxf/>
  </rfmt>
  <rfmt sheetId="1" sqref="AD647" start="0" length="0">
    <dxf/>
  </rfmt>
  <rfmt sheetId="1" sqref="AE647" start="0" length="0">
    <dxf/>
  </rfmt>
  <rfmt sheetId="1" sqref="AF647" start="0" length="0">
    <dxf/>
  </rfmt>
  <rfmt sheetId="1" sqref="AG647" start="0" length="0">
    <dxf/>
  </rfmt>
  <rfmt sheetId="1" sqref="AH647" start="0" length="0">
    <dxf/>
  </rfmt>
  <rfmt sheetId="1" sqref="A647:XFD647" start="0" length="0">
    <dxf/>
  </rfmt>
  <rcc rId="8321" sId="1" odxf="1" dxf="1">
    <nc r="A648" t="inlineStr">
      <is>
        <t>Zone 3</t>
      </is>
    </nc>
    <odxf/>
    <ndxf/>
  </rcc>
  <rcc rId="8322" sId="1" odxf="1" dxf="1">
    <nc r="B648" t="inlineStr">
      <is>
        <t>Multivac 2</t>
      </is>
    </nc>
    <odxf/>
    <ndxf/>
  </rcc>
  <rcc rId="8323" sId="1" odxf="1" dxf="1">
    <nc r="C648">
      <v>4</v>
    </nc>
    <odxf/>
    <ndxf/>
  </rcc>
  <rfmt sheetId="1" sqref="D648" start="0" length="0">
    <dxf/>
  </rfmt>
  <rcc rId="8324" sId="1" odxf="1" dxf="1">
    <nc r="E648" t="inlineStr">
      <is>
        <t>W1027694/1</t>
      </is>
    </nc>
    <odxf/>
    <ndxf/>
  </rcc>
  <rcc rId="8325" sId="1" odxf="1" dxf="1">
    <nc r="F648" t="inlineStr">
      <is>
        <t>VER1/0270-1005</t>
      </is>
    </nc>
    <odxf/>
    <ndxf/>
  </rcc>
  <rcc rId="8326" sId="1" odxf="1" dxf="1">
    <nc r="G648" t="inlineStr">
      <is>
        <t>Single Use Gliderite Stylet</t>
      </is>
    </nc>
    <odxf/>
    <ndxf/>
  </rcc>
  <rcc rId="8327" sId="1" odxf="1" dxf="1">
    <nc r="H648">
      <v>106.68</v>
    </nc>
    <odxf/>
    <ndxf/>
  </rcc>
  <rcc rId="8328" sId="1" odxf="1" dxf="1">
    <nc r="I648">
      <v>26.67</v>
    </nc>
    <odxf/>
    <ndxf/>
  </rcc>
  <rcc rId="8329" sId="1" odxf="1" dxf="1">
    <nc r="J648">
      <v>1500</v>
    </nc>
    <odxf/>
    <ndxf/>
  </rcc>
  <rcc rId="8330" sId="1" odxf="1" dxf="1">
    <nc r="K648">
      <v>0</v>
    </nc>
    <odxf/>
    <ndxf/>
  </rcc>
  <rcc rId="8331" sId="1" odxf="1" dxf="1" numFmtId="19">
    <nc r="L648">
      <v>46216</v>
    </nc>
    <odxf/>
    <ndxf/>
  </rcc>
  <rcc rId="8332" sId="1" odxf="1" dxf="1" numFmtId="19">
    <nc r="M648">
      <v>46217.104166666664</v>
    </nc>
    <odxf/>
    <ndxf/>
  </rcc>
  <rfmt sheetId="1" sqref="N648" start="0" length="0">
    <dxf/>
  </rfmt>
  <rfmt sheetId="1" sqref="O648" start="0" length="0">
    <dxf/>
  </rfmt>
  <rfmt sheetId="1" sqref="P648" start="0" length="0">
    <dxf/>
  </rfmt>
  <rfmt sheetId="1" sqref="Q648" start="0" length="0">
    <dxf/>
  </rfmt>
  <rfmt sheetId="1" sqref="R648" start="0" length="0">
    <dxf/>
  </rfmt>
  <rfmt sheetId="1" sqref="S648" start="0" length="0">
    <dxf/>
  </rfmt>
  <rfmt sheetId="1" sqref="T648" start="0" length="0">
    <dxf/>
  </rfmt>
  <rfmt sheetId="1" sqref="U648" start="0" length="0">
    <dxf/>
  </rfmt>
  <rfmt sheetId="1" sqref="V648" start="0" length="0">
    <dxf/>
  </rfmt>
  <rfmt sheetId="1" sqref="W648" start="0" length="0">
    <dxf/>
  </rfmt>
  <rfmt sheetId="1" sqref="X648" start="0" length="0">
    <dxf/>
  </rfmt>
  <rfmt sheetId="1" sqref="Y648" start="0" length="0">
    <dxf/>
  </rfmt>
  <rfmt sheetId="1" sqref="Z648" start="0" length="0">
    <dxf/>
  </rfmt>
  <rcc rId="8333" sId="1" odxf="1" dxf="1">
    <nc r="AA648" t="inlineStr">
      <is>
        <t>1</t>
      </is>
    </nc>
    <odxf/>
    <ndxf/>
  </rcc>
  <rcc rId="8334" sId="1" odxf="1" dxf="1">
    <nc r="AB648" t="inlineStr">
      <is>
        <t>0</t>
      </is>
    </nc>
    <odxf/>
    <ndxf/>
  </rcc>
  <rfmt sheetId="1" sqref="AC648" start="0" length="0">
    <dxf/>
  </rfmt>
  <rfmt sheetId="1" sqref="AD648" start="0" length="0">
    <dxf/>
  </rfmt>
  <rfmt sheetId="1" sqref="AE648" start="0" length="0">
    <dxf/>
  </rfmt>
  <rfmt sheetId="1" sqref="AF648" start="0" length="0">
    <dxf/>
  </rfmt>
  <rfmt sheetId="1" sqref="AG648" start="0" length="0">
    <dxf/>
  </rfmt>
  <rfmt sheetId="1" sqref="AH648" start="0" length="0">
    <dxf/>
  </rfmt>
  <rfmt sheetId="1" sqref="A648:XFD648" start="0" length="0">
    <dxf/>
  </rfmt>
  <rcc rId="8335" sId="1" odxf="1" dxf="1">
    <nc r="A649" t="inlineStr">
      <is>
        <t>Zone 3</t>
      </is>
    </nc>
    <odxf/>
    <ndxf/>
  </rcc>
  <rcc rId="8336" sId="1" odxf="1" dxf="1">
    <nc r="B649" t="inlineStr">
      <is>
        <t>Multivac 2</t>
      </is>
    </nc>
    <odxf/>
    <ndxf/>
  </rcc>
  <rcc rId="8337" sId="1" odxf="1" dxf="1">
    <nc r="C649">
      <v>4</v>
    </nc>
    <odxf/>
    <ndxf/>
  </rcc>
  <rfmt sheetId="1" sqref="D649" start="0" length="0">
    <dxf/>
  </rfmt>
  <rcc rId="8338" sId="1" odxf="1" dxf="1">
    <nc r="E649" t="inlineStr">
      <is>
        <t>W1027695/1</t>
      </is>
    </nc>
    <odxf/>
    <ndxf/>
  </rcc>
  <rcc rId="8339" sId="1" odxf="1" dxf="1">
    <nc r="F649" t="inlineStr">
      <is>
        <t>VER1/0270-1005</t>
      </is>
    </nc>
    <odxf/>
    <ndxf/>
  </rcc>
  <rcc rId="8340" sId="1" odxf="1" dxf="1">
    <nc r="G649" t="inlineStr">
      <is>
        <t>Single Use Gliderite Stylet</t>
      </is>
    </nc>
    <odxf/>
    <ndxf/>
  </rcc>
  <rcc rId="8341" sId="1" odxf="1" dxf="1">
    <nc r="H649">
      <v>106.68</v>
    </nc>
    <odxf/>
    <ndxf/>
  </rcc>
  <rcc rId="8342" sId="1" odxf="1" dxf="1">
    <nc r="I649">
      <v>26.67</v>
    </nc>
    <odxf/>
    <ndxf/>
  </rcc>
  <rcc rId="8343" sId="1" odxf="1" dxf="1">
    <nc r="J649">
      <v>1500</v>
    </nc>
    <odxf/>
    <ndxf/>
  </rcc>
  <rcc rId="8344" sId="1" odxf="1" dxf="1">
    <nc r="K649">
      <v>0</v>
    </nc>
    <odxf/>
    <ndxf/>
  </rcc>
  <rcc rId="8345" sId="1" odxf="1" dxf="1" numFmtId="19">
    <nc r="L649">
      <v>46217.111111111109</v>
    </nc>
    <odxf/>
    <ndxf/>
  </rcc>
  <rcc rId="8346" sId="1" odxf="1" dxf="1" numFmtId="19">
    <nc r="M649">
      <v>46218.215277777781</v>
    </nc>
    <odxf/>
    <ndxf/>
  </rcc>
  <rfmt sheetId="1" sqref="N649" start="0" length="0">
    <dxf/>
  </rfmt>
  <rfmt sheetId="1" sqref="O649" start="0" length="0">
    <dxf/>
  </rfmt>
  <rfmt sheetId="1" sqref="P649" start="0" length="0">
    <dxf/>
  </rfmt>
  <rfmt sheetId="1" sqref="Q649" start="0" length="0">
    <dxf/>
  </rfmt>
  <rfmt sheetId="1" sqref="R649" start="0" length="0">
    <dxf/>
  </rfmt>
  <rfmt sheetId="1" sqref="S649" start="0" length="0">
    <dxf/>
  </rfmt>
  <rfmt sheetId="1" sqref="T649" start="0" length="0">
    <dxf/>
  </rfmt>
  <rfmt sheetId="1" sqref="U649" start="0" length="0">
    <dxf/>
  </rfmt>
  <rfmt sheetId="1" sqref="V649" start="0" length="0">
    <dxf/>
  </rfmt>
  <rfmt sheetId="1" sqref="W649" start="0" length="0">
    <dxf/>
  </rfmt>
  <rfmt sheetId="1" sqref="X649" start="0" length="0">
    <dxf/>
  </rfmt>
  <rfmt sheetId="1" sqref="Y649" start="0" length="0">
    <dxf/>
  </rfmt>
  <rfmt sheetId="1" sqref="Z649" start="0" length="0">
    <dxf/>
  </rfmt>
  <rcc rId="8347" sId="1" odxf="1" dxf="1">
    <nc r="AA649" t="inlineStr">
      <is>
        <t>1</t>
      </is>
    </nc>
    <odxf/>
    <ndxf/>
  </rcc>
  <rcc rId="8348" sId="1" odxf="1" dxf="1">
    <nc r="AB649" t="inlineStr">
      <is>
        <t>0</t>
      </is>
    </nc>
    <odxf/>
    <ndxf/>
  </rcc>
  <rfmt sheetId="1" sqref="AC649" start="0" length="0">
    <dxf/>
  </rfmt>
  <rfmt sheetId="1" sqref="AD649" start="0" length="0">
    <dxf/>
  </rfmt>
  <rfmt sheetId="1" sqref="AE649" start="0" length="0">
    <dxf/>
  </rfmt>
  <rfmt sheetId="1" sqref="AF649" start="0" length="0">
    <dxf/>
  </rfmt>
  <rfmt sheetId="1" sqref="AG649" start="0" length="0">
    <dxf/>
  </rfmt>
  <rfmt sheetId="1" sqref="AH649" start="0" length="0">
    <dxf/>
  </rfmt>
  <rfmt sheetId="1" sqref="A649:XFD649" start="0" length="0">
    <dxf/>
  </rfmt>
  <rcc rId="8349" sId="1" odxf="1" dxf="1">
    <nc r="A650" t="inlineStr">
      <is>
        <t>Zone 3</t>
      </is>
    </nc>
    <odxf/>
    <ndxf/>
  </rcc>
  <rcc rId="8350" sId="1" odxf="1" dxf="1">
    <nc r="B650" t="inlineStr">
      <is>
        <t>Multivac 2</t>
      </is>
    </nc>
    <odxf/>
    <ndxf/>
  </rcc>
  <rcc rId="8351" sId="1" odxf="1" dxf="1">
    <nc r="C650">
      <v>4</v>
    </nc>
    <odxf/>
    <ndxf/>
  </rcc>
  <rfmt sheetId="1" sqref="D650" start="0" length="0">
    <dxf/>
  </rfmt>
  <rcc rId="8352" sId="1" odxf="1" dxf="1">
    <nc r="E650" t="inlineStr">
      <is>
        <t>W1027696/1</t>
      </is>
    </nc>
    <odxf/>
    <ndxf/>
  </rcc>
  <rcc rId="8353" sId="1" odxf="1" dxf="1">
    <nc r="F650" t="inlineStr">
      <is>
        <t>VER1/0270-1005</t>
      </is>
    </nc>
    <odxf/>
    <ndxf/>
  </rcc>
  <rcc rId="8354" sId="1" odxf="1" dxf="1">
    <nc r="G650" t="inlineStr">
      <is>
        <t>Single Use Gliderite Stylet</t>
      </is>
    </nc>
    <odxf/>
    <ndxf/>
  </rcc>
  <rcc rId="8355" sId="1" odxf="1" dxf="1">
    <nc r="H650">
      <v>106.68</v>
    </nc>
    <odxf/>
    <ndxf/>
  </rcc>
  <rcc rId="8356" sId="1" odxf="1" dxf="1">
    <nc r="I650">
      <v>26.67</v>
    </nc>
    <odxf/>
    <ndxf/>
  </rcc>
  <rcc rId="8357" sId="1" odxf="1" dxf="1">
    <nc r="J650">
      <v>1500</v>
    </nc>
    <odxf/>
    <ndxf/>
  </rcc>
  <rcc rId="8358" sId="1" odxf="1" dxf="1">
    <nc r="K650">
      <v>0</v>
    </nc>
    <odxf/>
    <ndxf/>
  </rcc>
  <rcc rId="8359" sId="1" odxf="1" dxf="1" numFmtId="19">
    <nc r="L650">
      <v>46218.222222222219</v>
    </nc>
    <odxf/>
    <ndxf/>
  </rcc>
  <rcc rId="8360" sId="1" odxf="1" dxf="1" numFmtId="19">
    <nc r="M650">
      <v>46219.326388888891</v>
    </nc>
    <odxf/>
    <ndxf/>
  </rcc>
  <rfmt sheetId="1" sqref="N650" start="0" length="0">
    <dxf/>
  </rfmt>
  <rfmt sheetId="1" sqref="O650" start="0" length="0">
    <dxf/>
  </rfmt>
  <rfmt sheetId="1" sqref="P650" start="0" length="0">
    <dxf/>
  </rfmt>
  <rfmt sheetId="1" sqref="Q650" start="0" length="0">
    <dxf/>
  </rfmt>
  <rfmt sheetId="1" sqref="R650" start="0" length="0">
    <dxf/>
  </rfmt>
  <rfmt sheetId="1" sqref="S650" start="0" length="0">
    <dxf/>
  </rfmt>
  <rfmt sheetId="1" sqref="T650" start="0" length="0">
    <dxf/>
  </rfmt>
  <rfmt sheetId="1" sqref="U650" start="0" length="0">
    <dxf/>
  </rfmt>
  <rfmt sheetId="1" sqref="V650" start="0" length="0">
    <dxf/>
  </rfmt>
  <rfmt sheetId="1" sqref="W650" start="0" length="0">
    <dxf/>
  </rfmt>
  <rfmt sheetId="1" sqref="X650" start="0" length="0">
    <dxf/>
  </rfmt>
  <rfmt sheetId="1" sqref="Y650" start="0" length="0">
    <dxf/>
  </rfmt>
  <rfmt sheetId="1" sqref="Z650" start="0" length="0">
    <dxf/>
  </rfmt>
  <rcc rId="8361" sId="1" odxf="1" dxf="1">
    <nc r="AA650" t="inlineStr">
      <is>
        <t>1</t>
      </is>
    </nc>
    <odxf/>
    <ndxf/>
  </rcc>
  <rcc rId="8362" sId="1" odxf="1" dxf="1">
    <nc r="AB650" t="inlineStr">
      <is>
        <t>0</t>
      </is>
    </nc>
    <odxf/>
    <ndxf/>
  </rcc>
  <rfmt sheetId="1" sqref="AC650" start="0" length="0">
    <dxf/>
  </rfmt>
  <rfmt sheetId="1" sqref="AD650" start="0" length="0">
    <dxf/>
  </rfmt>
  <rfmt sheetId="1" sqref="AE650" start="0" length="0">
    <dxf/>
  </rfmt>
  <rfmt sheetId="1" sqref="AF650" start="0" length="0">
    <dxf/>
  </rfmt>
  <rfmt sheetId="1" sqref="AG650" start="0" length="0">
    <dxf/>
  </rfmt>
  <rfmt sheetId="1" sqref="AH650" start="0" length="0">
    <dxf/>
  </rfmt>
  <rfmt sheetId="1" sqref="A650:XFD650" start="0" length="0">
    <dxf/>
  </rfmt>
  <rcc rId="8363" sId="1" odxf="1" dxf="1">
    <nc r="A651" t="inlineStr">
      <is>
        <t>Zone 3</t>
      </is>
    </nc>
    <odxf/>
    <ndxf/>
  </rcc>
  <rcc rId="8364" sId="1" odxf="1" dxf="1">
    <nc r="B651" t="inlineStr">
      <is>
        <t>Multivac 2</t>
      </is>
    </nc>
    <odxf/>
    <ndxf/>
  </rcc>
  <rcc rId="8365" sId="1" odxf="1" dxf="1">
    <nc r="C651">
      <v>4</v>
    </nc>
    <odxf/>
    <ndxf/>
  </rcc>
  <rfmt sheetId="1" sqref="D651" start="0" length="0">
    <dxf/>
  </rfmt>
  <rcc rId="8366" sId="1" odxf="1" dxf="1">
    <nc r="E651" t="inlineStr">
      <is>
        <t>W1027697/1</t>
      </is>
    </nc>
    <odxf/>
    <ndxf/>
  </rcc>
  <rcc rId="8367" sId="1" odxf="1" dxf="1">
    <nc r="F651" t="inlineStr">
      <is>
        <t>VER1/0270-1005</t>
      </is>
    </nc>
    <odxf/>
    <ndxf/>
  </rcc>
  <rcc rId="8368" sId="1" odxf="1" dxf="1">
    <nc r="G651" t="inlineStr">
      <is>
        <t>Single Use Gliderite Stylet</t>
      </is>
    </nc>
    <odxf/>
    <ndxf/>
  </rcc>
  <rcc rId="8369" sId="1" odxf="1" dxf="1">
    <nc r="H651">
      <v>106.68</v>
    </nc>
    <odxf/>
    <ndxf/>
  </rcc>
  <rcc rId="8370" sId="1" odxf="1" dxf="1">
    <nc r="I651">
      <v>26.67</v>
    </nc>
    <odxf/>
    <ndxf/>
  </rcc>
  <rcc rId="8371" sId="1" odxf="1" dxf="1">
    <nc r="J651">
      <v>1500</v>
    </nc>
    <odxf/>
    <ndxf/>
  </rcc>
  <rcc rId="8372" sId="1" odxf="1" dxf="1">
    <nc r="K651">
      <v>0</v>
    </nc>
    <odxf/>
    <ndxf/>
  </rcc>
  <rcc rId="8373" sId="1" odxf="1" dxf="1" numFmtId="19">
    <nc r="L651">
      <v>46219.333333333336</v>
    </nc>
    <odxf/>
    <ndxf/>
  </rcc>
  <rcc rId="8374" sId="1" odxf="1" dxf="1" numFmtId="19">
    <nc r="M651">
      <v>46220.4375</v>
    </nc>
    <odxf/>
    <ndxf/>
  </rcc>
  <rfmt sheetId="1" sqref="N651" start="0" length="0">
    <dxf/>
  </rfmt>
  <rfmt sheetId="1" sqref="O651" start="0" length="0">
    <dxf/>
  </rfmt>
  <rfmt sheetId="1" sqref="P651" start="0" length="0">
    <dxf/>
  </rfmt>
  <rfmt sheetId="1" sqref="Q651" start="0" length="0">
    <dxf/>
  </rfmt>
  <rfmt sheetId="1" sqref="R651" start="0" length="0">
    <dxf/>
  </rfmt>
  <rfmt sheetId="1" sqref="S651" start="0" length="0">
    <dxf/>
  </rfmt>
  <rfmt sheetId="1" sqref="T651" start="0" length="0">
    <dxf/>
  </rfmt>
  <rfmt sheetId="1" sqref="U651" start="0" length="0">
    <dxf/>
  </rfmt>
  <rfmt sheetId="1" sqref="V651" start="0" length="0">
    <dxf/>
  </rfmt>
  <rfmt sheetId="1" sqref="W651" start="0" length="0">
    <dxf/>
  </rfmt>
  <rfmt sheetId="1" sqref="X651" start="0" length="0">
    <dxf/>
  </rfmt>
  <rfmt sheetId="1" sqref="Y651" start="0" length="0">
    <dxf/>
  </rfmt>
  <rfmt sheetId="1" sqref="Z651" start="0" length="0">
    <dxf/>
  </rfmt>
  <rcc rId="8375" sId="1" odxf="1" dxf="1">
    <nc r="AA651" t="inlineStr">
      <is>
        <t>1</t>
      </is>
    </nc>
    <odxf/>
    <ndxf/>
  </rcc>
  <rcc rId="8376" sId="1" odxf="1" dxf="1">
    <nc r="AB651" t="inlineStr">
      <is>
        <t>0</t>
      </is>
    </nc>
    <odxf/>
    <ndxf/>
  </rcc>
  <rfmt sheetId="1" sqref="AC651" start="0" length="0">
    <dxf/>
  </rfmt>
  <rfmt sheetId="1" sqref="AD651" start="0" length="0">
    <dxf/>
  </rfmt>
  <rfmt sheetId="1" sqref="AE651" start="0" length="0">
    <dxf/>
  </rfmt>
  <rfmt sheetId="1" sqref="AF651" start="0" length="0">
    <dxf/>
  </rfmt>
  <rfmt sheetId="1" sqref="AG651" start="0" length="0">
    <dxf/>
  </rfmt>
  <rfmt sheetId="1" sqref="AH651" start="0" length="0">
    <dxf/>
  </rfmt>
  <rfmt sheetId="1" sqref="A651:XFD651" start="0" length="0">
    <dxf/>
  </rfmt>
  <rcc rId="8377" sId="1" odxf="1" dxf="1">
    <nc r="A652" t="inlineStr">
      <is>
        <t>Zone 3</t>
      </is>
    </nc>
    <odxf/>
    <ndxf/>
  </rcc>
  <rcc rId="8378" sId="1" odxf="1" dxf="1">
    <nc r="B652" t="inlineStr">
      <is>
        <t>Multivac 2</t>
      </is>
    </nc>
    <odxf/>
    <ndxf/>
  </rcc>
  <rcc rId="8379" sId="1" odxf="1" dxf="1">
    <nc r="C652">
      <v>4</v>
    </nc>
    <odxf/>
    <ndxf/>
  </rcc>
  <rfmt sheetId="1" sqref="D652" start="0" length="0">
    <dxf/>
  </rfmt>
  <rcc rId="8380" sId="1" odxf="1" dxf="1">
    <nc r="E652" t="inlineStr">
      <is>
        <t>W1029969/1</t>
      </is>
    </nc>
    <odxf/>
    <ndxf/>
  </rcc>
  <rcc rId="8381" sId="1" odxf="1" dxf="1">
    <nc r="F652" t="inlineStr">
      <is>
        <t>VER1/0270-1005</t>
      </is>
    </nc>
    <odxf/>
    <ndxf/>
  </rcc>
  <rcc rId="8382" sId="1" odxf="1" dxf="1">
    <nc r="G652" t="inlineStr">
      <is>
        <t>Single Use Gliderite Stylet</t>
      </is>
    </nc>
    <odxf/>
    <ndxf/>
  </rcc>
  <rcc rId="8383" sId="1" odxf="1" dxf="1">
    <nc r="H652">
      <v>106.68</v>
    </nc>
    <odxf/>
    <ndxf/>
  </rcc>
  <rcc rId="8384" sId="1" odxf="1" dxf="1">
    <nc r="I652">
      <v>26.67</v>
    </nc>
    <odxf/>
    <ndxf/>
  </rcc>
  <rcc rId="8385" sId="1" odxf="1" dxf="1">
    <nc r="J652">
      <v>1500</v>
    </nc>
    <odxf/>
    <ndxf/>
  </rcc>
  <rcc rId="8386" sId="1" odxf="1" dxf="1">
    <nc r="K652">
      <v>0</v>
    </nc>
    <odxf/>
    <ndxf/>
  </rcc>
  <rcc rId="8387" sId="1" odxf="1" dxf="1" numFmtId="19">
    <nc r="L652">
      <v>46220.444444444445</v>
    </nc>
    <odxf/>
    <ndxf/>
  </rcc>
  <rcc rId="8388" sId="1" odxf="1" dxf="1" numFmtId="19">
    <nc r="M652">
      <v>46221.548611111109</v>
    </nc>
    <odxf/>
    <ndxf/>
  </rcc>
  <rfmt sheetId="1" sqref="N652" start="0" length="0">
    <dxf/>
  </rfmt>
  <rfmt sheetId="1" sqref="O652" start="0" length="0">
    <dxf/>
  </rfmt>
  <rfmt sheetId="1" sqref="P652" start="0" length="0">
    <dxf/>
  </rfmt>
  <rfmt sheetId="1" sqref="Q652" start="0" length="0">
    <dxf/>
  </rfmt>
  <rfmt sheetId="1" sqref="R652" start="0" length="0">
    <dxf/>
  </rfmt>
  <rfmt sheetId="1" sqref="S652" start="0" length="0">
    <dxf/>
  </rfmt>
  <rfmt sheetId="1" sqref="T652" start="0" length="0">
    <dxf/>
  </rfmt>
  <rfmt sheetId="1" sqref="U652" start="0" length="0">
    <dxf/>
  </rfmt>
  <rfmt sheetId="1" sqref="V652" start="0" length="0">
    <dxf/>
  </rfmt>
  <rfmt sheetId="1" sqref="W652" start="0" length="0">
    <dxf/>
  </rfmt>
  <rfmt sheetId="1" sqref="X652" start="0" length="0">
    <dxf/>
  </rfmt>
  <rfmt sheetId="1" sqref="Y652" start="0" length="0">
    <dxf/>
  </rfmt>
  <rfmt sheetId="1" sqref="Z652" start="0" length="0">
    <dxf/>
  </rfmt>
  <rcc rId="8389" sId="1" odxf="1" dxf="1">
    <nc r="AA652" t="inlineStr">
      <is>
        <t>1</t>
      </is>
    </nc>
    <odxf/>
    <ndxf/>
  </rcc>
  <rcc rId="8390" sId="1" odxf="1" dxf="1">
    <nc r="AB652" t="inlineStr">
      <is>
        <t>0</t>
      </is>
    </nc>
    <odxf/>
    <ndxf/>
  </rcc>
  <rfmt sheetId="1" sqref="AC652" start="0" length="0">
    <dxf/>
  </rfmt>
  <rfmt sheetId="1" sqref="AD652" start="0" length="0">
    <dxf/>
  </rfmt>
  <rfmt sheetId="1" sqref="AE652" start="0" length="0">
    <dxf/>
  </rfmt>
  <rfmt sheetId="1" sqref="AF652" start="0" length="0">
    <dxf/>
  </rfmt>
  <rfmt sheetId="1" sqref="AG652" start="0" length="0">
    <dxf/>
  </rfmt>
  <rfmt sheetId="1" sqref="AH652" start="0" length="0">
    <dxf/>
  </rfmt>
  <rfmt sheetId="1" sqref="A652:XFD652" start="0" length="0">
    <dxf/>
  </rfmt>
  <rcc rId="8391" sId="1" odxf="1" dxf="1">
    <nc r="A653" t="inlineStr">
      <is>
        <t>Zone 3</t>
      </is>
    </nc>
    <odxf/>
    <ndxf/>
  </rcc>
  <rcc rId="8392" sId="1" odxf="1" dxf="1">
    <nc r="B653" t="inlineStr">
      <is>
        <t>Multivac 2</t>
      </is>
    </nc>
    <odxf/>
    <ndxf/>
  </rcc>
  <rcc rId="8393" sId="1" odxf="1" dxf="1">
    <nc r="C653">
      <v>4</v>
    </nc>
    <odxf/>
    <ndxf/>
  </rcc>
  <rfmt sheetId="1" sqref="D653" start="0" length="0">
    <dxf/>
  </rfmt>
  <rcc rId="8394" sId="1" odxf="1" dxf="1">
    <nc r="E653" t="inlineStr">
      <is>
        <t>W1027698/1</t>
      </is>
    </nc>
    <odxf/>
    <ndxf/>
  </rcc>
  <rcc rId="8395" sId="1" odxf="1" dxf="1">
    <nc r="F653" t="inlineStr">
      <is>
        <t>VER1/0270-1005</t>
      </is>
    </nc>
    <odxf/>
    <ndxf/>
  </rcc>
  <rcc rId="8396" sId="1" odxf="1" dxf="1">
    <nc r="G653" t="inlineStr">
      <is>
        <t>Single Use Gliderite Stylet</t>
      </is>
    </nc>
    <odxf/>
    <ndxf/>
  </rcc>
  <rcc rId="8397" sId="1" odxf="1" dxf="1">
    <nc r="H653">
      <v>106.68</v>
    </nc>
    <odxf/>
    <ndxf/>
  </rcc>
  <rcc rId="8398" sId="1" odxf="1" dxf="1">
    <nc r="I653">
      <v>26.67</v>
    </nc>
    <odxf/>
    <ndxf/>
  </rcc>
  <rcc rId="8399" sId="1" odxf="1" dxf="1">
    <nc r="J653">
      <v>1500</v>
    </nc>
    <odxf/>
    <ndxf/>
  </rcc>
  <rcc rId="8400" sId="1" odxf="1" dxf="1">
    <nc r="K653">
      <v>0</v>
    </nc>
    <odxf/>
    <ndxf/>
  </rcc>
  <rcc rId="8401" sId="1" odxf="1" dxf="1" numFmtId="19">
    <nc r="L653">
      <v>46223</v>
    </nc>
    <odxf/>
    <ndxf/>
  </rcc>
  <rcc rId="8402" sId="1" odxf="1" dxf="1" numFmtId="19">
    <nc r="M653">
      <v>46224.104166666664</v>
    </nc>
    <odxf/>
    <ndxf/>
  </rcc>
  <rfmt sheetId="1" sqref="N653" start="0" length="0">
    <dxf/>
  </rfmt>
  <rfmt sheetId="1" sqref="O653" start="0" length="0">
    <dxf/>
  </rfmt>
  <rfmt sheetId="1" sqref="P653" start="0" length="0">
    <dxf/>
  </rfmt>
  <rfmt sheetId="1" sqref="Q653" start="0" length="0">
    <dxf/>
  </rfmt>
  <rfmt sheetId="1" sqref="R653" start="0" length="0">
    <dxf/>
  </rfmt>
  <rfmt sheetId="1" sqref="S653" start="0" length="0">
    <dxf/>
  </rfmt>
  <rfmt sheetId="1" sqref="T653" start="0" length="0">
    <dxf/>
  </rfmt>
  <rfmt sheetId="1" sqref="U653" start="0" length="0">
    <dxf/>
  </rfmt>
  <rfmt sheetId="1" sqref="V653" start="0" length="0">
    <dxf/>
  </rfmt>
  <rfmt sheetId="1" sqref="W653" start="0" length="0">
    <dxf/>
  </rfmt>
  <rfmt sheetId="1" sqref="X653" start="0" length="0">
    <dxf/>
  </rfmt>
  <rfmt sheetId="1" sqref="Y653" start="0" length="0">
    <dxf/>
  </rfmt>
  <rfmt sheetId="1" sqref="Z653" start="0" length="0">
    <dxf/>
  </rfmt>
  <rcc rId="8403" sId="1" odxf="1" dxf="1">
    <nc r="AA653" t="inlineStr">
      <is>
        <t>1</t>
      </is>
    </nc>
    <odxf/>
    <ndxf/>
  </rcc>
  <rcc rId="8404" sId="1" odxf="1" dxf="1">
    <nc r="AB653" t="inlineStr">
      <is>
        <t>0</t>
      </is>
    </nc>
    <odxf/>
    <ndxf/>
  </rcc>
  <rfmt sheetId="1" sqref="AC653" start="0" length="0">
    <dxf/>
  </rfmt>
  <rfmt sheetId="1" sqref="AD653" start="0" length="0">
    <dxf/>
  </rfmt>
  <rfmt sheetId="1" sqref="AE653" start="0" length="0">
    <dxf/>
  </rfmt>
  <rfmt sheetId="1" sqref="AF653" start="0" length="0">
    <dxf/>
  </rfmt>
  <rfmt sheetId="1" sqref="AG653" start="0" length="0">
    <dxf/>
  </rfmt>
  <rfmt sheetId="1" sqref="AH653" start="0" length="0">
    <dxf/>
  </rfmt>
  <rfmt sheetId="1" sqref="A653:XFD653" start="0" length="0">
    <dxf/>
  </rfmt>
  <rcc rId="8405" sId="1" odxf="1" dxf="1">
    <nc r="A654" t="inlineStr">
      <is>
        <t>Zone 3</t>
      </is>
    </nc>
    <odxf/>
    <ndxf/>
  </rcc>
  <rcc rId="8406" sId="1" odxf="1" dxf="1">
    <nc r="B654" t="inlineStr">
      <is>
        <t>Multivac 2</t>
      </is>
    </nc>
    <odxf/>
    <ndxf/>
  </rcc>
  <rcc rId="8407" sId="1" odxf="1" dxf="1">
    <nc r="C654">
      <v>4</v>
    </nc>
    <odxf/>
    <ndxf/>
  </rcc>
  <rfmt sheetId="1" sqref="D654" start="0" length="0">
    <dxf/>
  </rfmt>
  <rcc rId="8408" sId="1" odxf="1" dxf="1">
    <nc r="E654" t="inlineStr">
      <is>
        <t>W1027699/1</t>
      </is>
    </nc>
    <odxf/>
    <ndxf/>
  </rcc>
  <rcc rId="8409" sId="1" odxf="1" dxf="1">
    <nc r="F654" t="inlineStr">
      <is>
        <t>VER1/0270-1005</t>
      </is>
    </nc>
    <odxf/>
    <ndxf/>
  </rcc>
  <rcc rId="8410" sId="1" odxf="1" dxf="1">
    <nc r="G654" t="inlineStr">
      <is>
        <t>Single Use Gliderite Stylet</t>
      </is>
    </nc>
    <odxf/>
    <ndxf/>
  </rcc>
  <rcc rId="8411" sId="1" odxf="1" dxf="1">
    <nc r="H654">
      <v>106.68</v>
    </nc>
    <odxf/>
    <ndxf/>
  </rcc>
  <rcc rId="8412" sId="1" odxf="1" dxf="1">
    <nc r="I654">
      <v>26.67</v>
    </nc>
    <odxf/>
    <ndxf/>
  </rcc>
  <rcc rId="8413" sId="1" odxf="1" dxf="1">
    <nc r="J654">
      <v>1500</v>
    </nc>
    <odxf/>
    <ndxf/>
  </rcc>
  <rcc rId="8414" sId="1" odxf="1" dxf="1">
    <nc r="K654">
      <v>0</v>
    </nc>
    <odxf/>
    <ndxf/>
  </rcc>
  <rcc rId="8415" sId="1" odxf="1" dxf="1" numFmtId="19">
    <nc r="L654">
      <v>46224.111111111109</v>
    </nc>
    <odxf/>
    <ndxf/>
  </rcc>
  <rcc rId="8416" sId="1" odxf="1" dxf="1" numFmtId="19">
    <nc r="M654">
      <v>46225.215277777781</v>
    </nc>
    <odxf/>
    <ndxf/>
  </rcc>
  <rfmt sheetId="1" sqref="N654" start="0" length="0">
    <dxf/>
  </rfmt>
  <rfmt sheetId="1" sqref="O654" start="0" length="0">
    <dxf/>
  </rfmt>
  <rfmt sheetId="1" sqref="P654" start="0" length="0">
    <dxf/>
  </rfmt>
  <rfmt sheetId="1" sqref="Q654" start="0" length="0">
    <dxf/>
  </rfmt>
  <rfmt sheetId="1" sqref="R654" start="0" length="0">
    <dxf/>
  </rfmt>
  <rfmt sheetId="1" sqref="S654" start="0" length="0">
    <dxf/>
  </rfmt>
  <rfmt sheetId="1" sqref="T654" start="0" length="0">
    <dxf/>
  </rfmt>
  <rfmt sheetId="1" sqref="U654" start="0" length="0">
    <dxf/>
  </rfmt>
  <rfmt sheetId="1" sqref="V654" start="0" length="0">
    <dxf/>
  </rfmt>
  <rfmt sheetId="1" sqref="W654" start="0" length="0">
    <dxf/>
  </rfmt>
  <rfmt sheetId="1" sqref="X654" start="0" length="0">
    <dxf/>
  </rfmt>
  <rfmt sheetId="1" sqref="Y654" start="0" length="0">
    <dxf/>
  </rfmt>
  <rfmt sheetId="1" sqref="Z654" start="0" length="0">
    <dxf/>
  </rfmt>
  <rcc rId="8417" sId="1" odxf="1" dxf="1">
    <nc r="AA654" t="inlineStr">
      <is>
        <t>1</t>
      </is>
    </nc>
    <odxf/>
    <ndxf/>
  </rcc>
  <rcc rId="8418" sId="1" odxf="1" dxf="1">
    <nc r="AB654" t="inlineStr">
      <is>
        <t>0</t>
      </is>
    </nc>
    <odxf/>
    <ndxf/>
  </rcc>
  <rfmt sheetId="1" sqref="AC654" start="0" length="0">
    <dxf/>
  </rfmt>
  <rfmt sheetId="1" sqref="AD654" start="0" length="0">
    <dxf/>
  </rfmt>
  <rfmt sheetId="1" sqref="AE654" start="0" length="0">
    <dxf/>
  </rfmt>
  <rfmt sheetId="1" sqref="AF654" start="0" length="0">
    <dxf/>
  </rfmt>
  <rfmt sheetId="1" sqref="AG654" start="0" length="0">
    <dxf/>
  </rfmt>
  <rfmt sheetId="1" sqref="AH654" start="0" length="0">
    <dxf/>
  </rfmt>
  <rfmt sheetId="1" sqref="A654:XFD654" start="0" length="0">
    <dxf/>
  </rfmt>
  <rcc rId="8419" sId="1" odxf="1" dxf="1">
    <nc r="A655" t="inlineStr">
      <is>
        <t>Zone 3</t>
      </is>
    </nc>
    <odxf/>
    <ndxf/>
  </rcc>
  <rcc rId="8420" sId="1" odxf="1" dxf="1">
    <nc r="B655" t="inlineStr">
      <is>
        <t>Multivac 2</t>
      </is>
    </nc>
    <odxf/>
    <ndxf/>
  </rcc>
  <rcc rId="8421" sId="1" odxf="1" dxf="1">
    <nc r="C655">
      <v>4</v>
    </nc>
    <odxf/>
    <ndxf/>
  </rcc>
  <rfmt sheetId="1" sqref="D655" start="0" length="0">
    <dxf/>
  </rfmt>
  <rcc rId="8422" sId="1" odxf="1" dxf="1">
    <nc r="E655" t="inlineStr">
      <is>
        <t>W1027700/1</t>
      </is>
    </nc>
    <odxf/>
    <ndxf/>
  </rcc>
  <rcc rId="8423" sId="1" odxf="1" dxf="1">
    <nc r="F655" t="inlineStr">
      <is>
        <t>VER1/0270-1005</t>
      </is>
    </nc>
    <odxf/>
    <ndxf/>
  </rcc>
  <rcc rId="8424" sId="1" odxf="1" dxf="1">
    <nc r="G655" t="inlineStr">
      <is>
        <t>Single Use Gliderite Stylet</t>
      </is>
    </nc>
    <odxf/>
    <ndxf/>
  </rcc>
  <rcc rId="8425" sId="1" odxf="1" dxf="1">
    <nc r="H655">
      <v>106.68</v>
    </nc>
    <odxf/>
    <ndxf/>
  </rcc>
  <rcc rId="8426" sId="1" odxf="1" dxf="1">
    <nc r="I655">
      <v>26.67</v>
    </nc>
    <odxf/>
    <ndxf/>
  </rcc>
  <rcc rId="8427" sId="1" odxf="1" dxf="1">
    <nc r="J655">
      <v>1500</v>
    </nc>
    <odxf/>
    <ndxf/>
  </rcc>
  <rcc rId="8428" sId="1" odxf="1" dxf="1">
    <nc r="K655">
      <v>0</v>
    </nc>
    <odxf/>
    <ndxf/>
  </rcc>
  <rcc rId="8429" sId="1" odxf="1" dxf="1" numFmtId="19">
    <nc r="L655">
      <v>46225.222222222219</v>
    </nc>
    <odxf/>
    <ndxf/>
  </rcc>
  <rcc rId="8430" sId="1" odxf="1" dxf="1" numFmtId="19">
    <nc r="M655">
      <v>46226.326388888891</v>
    </nc>
    <odxf/>
    <ndxf/>
  </rcc>
  <rfmt sheetId="1" sqref="N655" start="0" length="0">
    <dxf/>
  </rfmt>
  <rfmt sheetId="1" sqref="O655" start="0" length="0">
    <dxf/>
  </rfmt>
  <rfmt sheetId="1" sqref="P655" start="0" length="0">
    <dxf/>
  </rfmt>
  <rfmt sheetId="1" sqref="Q655" start="0" length="0">
    <dxf/>
  </rfmt>
  <rfmt sheetId="1" sqref="R655" start="0" length="0">
    <dxf/>
  </rfmt>
  <rfmt sheetId="1" sqref="S655" start="0" length="0">
    <dxf/>
  </rfmt>
  <rfmt sheetId="1" sqref="T655" start="0" length="0">
    <dxf/>
  </rfmt>
  <rfmt sheetId="1" sqref="U655" start="0" length="0">
    <dxf/>
  </rfmt>
  <rfmt sheetId="1" sqref="V655" start="0" length="0">
    <dxf/>
  </rfmt>
  <rfmt sheetId="1" sqref="W655" start="0" length="0">
    <dxf/>
  </rfmt>
  <rfmt sheetId="1" sqref="X655" start="0" length="0">
    <dxf/>
  </rfmt>
  <rfmt sheetId="1" sqref="Y655" start="0" length="0">
    <dxf/>
  </rfmt>
  <rfmt sheetId="1" sqref="Z655" start="0" length="0">
    <dxf/>
  </rfmt>
  <rcc rId="8431" sId="1" odxf="1" dxf="1">
    <nc r="AA655" t="inlineStr">
      <is>
        <t>1</t>
      </is>
    </nc>
    <odxf/>
    <ndxf/>
  </rcc>
  <rcc rId="8432" sId="1" odxf="1" dxf="1">
    <nc r="AB655" t="inlineStr">
      <is>
        <t>0</t>
      </is>
    </nc>
    <odxf/>
    <ndxf/>
  </rcc>
  <rfmt sheetId="1" sqref="AC655" start="0" length="0">
    <dxf/>
  </rfmt>
  <rfmt sheetId="1" sqref="AD655" start="0" length="0">
    <dxf/>
  </rfmt>
  <rfmt sheetId="1" sqref="AE655" start="0" length="0">
    <dxf/>
  </rfmt>
  <rfmt sheetId="1" sqref="AF655" start="0" length="0">
    <dxf/>
  </rfmt>
  <rfmt sheetId="1" sqref="AG655" start="0" length="0">
    <dxf/>
  </rfmt>
  <rfmt sheetId="1" sqref="AH655" start="0" length="0">
    <dxf/>
  </rfmt>
  <rfmt sheetId="1" sqref="A655:XFD655" start="0" length="0">
    <dxf/>
  </rfmt>
  <rcc rId="8433" sId="1" odxf="1" dxf="1">
    <nc r="A656" t="inlineStr">
      <is>
        <t>Zone 3</t>
      </is>
    </nc>
    <odxf/>
    <ndxf/>
  </rcc>
  <rcc rId="8434" sId="1" odxf="1" dxf="1">
    <nc r="B656" t="inlineStr">
      <is>
        <t>Multivac 2</t>
      </is>
    </nc>
    <odxf/>
    <ndxf/>
  </rcc>
  <rcc rId="8435" sId="1" odxf="1" dxf="1">
    <nc r="C656">
      <v>4</v>
    </nc>
    <odxf/>
    <ndxf/>
  </rcc>
  <rfmt sheetId="1" sqref="D656" start="0" length="0">
    <dxf/>
  </rfmt>
  <rcc rId="8436" sId="1" odxf="1" dxf="1">
    <nc r="E656" t="inlineStr">
      <is>
        <t>W1027701/1</t>
      </is>
    </nc>
    <odxf/>
    <ndxf/>
  </rcc>
  <rcc rId="8437" sId="1" odxf="1" dxf="1">
    <nc r="F656" t="inlineStr">
      <is>
        <t>VER1/0270-1005</t>
      </is>
    </nc>
    <odxf/>
    <ndxf/>
  </rcc>
  <rcc rId="8438" sId="1" odxf="1" dxf="1">
    <nc r="G656" t="inlineStr">
      <is>
        <t>Single Use Gliderite Stylet</t>
      </is>
    </nc>
    <odxf/>
    <ndxf/>
  </rcc>
  <rcc rId="8439" sId="1" odxf="1" dxf="1">
    <nc r="H656">
      <v>106.68</v>
    </nc>
    <odxf/>
    <ndxf/>
  </rcc>
  <rcc rId="8440" sId="1" odxf="1" dxf="1">
    <nc r="I656">
      <v>26.67</v>
    </nc>
    <odxf/>
    <ndxf/>
  </rcc>
  <rcc rId="8441" sId="1" odxf="1" dxf="1">
    <nc r="J656">
      <v>1500</v>
    </nc>
    <odxf/>
    <ndxf/>
  </rcc>
  <rcc rId="8442" sId="1" odxf="1" dxf="1">
    <nc r="K656">
      <v>0</v>
    </nc>
    <odxf/>
    <ndxf/>
  </rcc>
  <rcc rId="8443" sId="1" odxf="1" dxf="1" numFmtId="19">
    <nc r="L656">
      <v>46226.333333333336</v>
    </nc>
    <odxf/>
    <ndxf/>
  </rcc>
  <rcc rId="8444" sId="1" odxf="1" dxf="1" numFmtId="19">
    <nc r="M656">
      <v>46227.4375</v>
    </nc>
    <odxf/>
    <ndxf/>
  </rcc>
  <rfmt sheetId="1" sqref="N656" start="0" length="0">
    <dxf/>
  </rfmt>
  <rfmt sheetId="1" sqref="O656" start="0" length="0">
    <dxf/>
  </rfmt>
  <rfmt sheetId="1" sqref="P656" start="0" length="0">
    <dxf/>
  </rfmt>
  <rfmt sheetId="1" sqref="Q656" start="0" length="0">
    <dxf/>
  </rfmt>
  <rfmt sheetId="1" sqref="R656" start="0" length="0">
    <dxf/>
  </rfmt>
  <rfmt sheetId="1" sqref="S656" start="0" length="0">
    <dxf/>
  </rfmt>
  <rfmt sheetId="1" sqref="T656" start="0" length="0">
    <dxf/>
  </rfmt>
  <rfmt sheetId="1" sqref="U656" start="0" length="0">
    <dxf/>
  </rfmt>
  <rfmt sheetId="1" sqref="V656" start="0" length="0">
    <dxf/>
  </rfmt>
  <rfmt sheetId="1" sqref="W656" start="0" length="0">
    <dxf/>
  </rfmt>
  <rfmt sheetId="1" sqref="X656" start="0" length="0">
    <dxf/>
  </rfmt>
  <rfmt sheetId="1" sqref="Y656" start="0" length="0">
    <dxf/>
  </rfmt>
  <rfmt sheetId="1" sqref="Z656" start="0" length="0">
    <dxf/>
  </rfmt>
  <rcc rId="8445" sId="1" odxf="1" dxf="1">
    <nc r="AA656" t="inlineStr">
      <is>
        <t>1</t>
      </is>
    </nc>
    <odxf/>
    <ndxf/>
  </rcc>
  <rcc rId="8446" sId="1" odxf="1" dxf="1">
    <nc r="AB656" t="inlineStr">
      <is>
        <t>0</t>
      </is>
    </nc>
    <odxf/>
    <ndxf/>
  </rcc>
  <rfmt sheetId="1" sqref="AC656" start="0" length="0">
    <dxf/>
  </rfmt>
  <rfmt sheetId="1" sqref="AD656" start="0" length="0">
    <dxf/>
  </rfmt>
  <rfmt sheetId="1" sqref="AE656" start="0" length="0">
    <dxf/>
  </rfmt>
  <rfmt sheetId="1" sqref="AF656" start="0" length="0">
    <dxf/>
  </rfmt>
  <rfmt sheetId="1" sqref="AG656" start="0" length="0">
    <dxf/>
  </rfmt>
  <rfmt sheetId="1" sqref="AH656" start="0" length="0">
    <dxf/>
  </rfmt>
  <rfmt sheetId="1" sqref="A656:XFD656" start="0" length="0">
    <dxf/>
  </rfmt>
  <rcc rId="8447" sId="1" odxf="1" dxf="1">
    <nc r="A657" t="inlineStr">
      <is>
        <t>Zone 3</t>
      </is>
    </nc>
    <odxf/>
    <ndxf/>
  </rcc>
  <rcc rId="8448" sId="1" odxf="1" dxf="1">
    <nc r="B657" t="inlineStr">
      <is>
        <t>Multivac 2</t>
      </is>
    </nc>
    <odxf/>
    <ndxf/>
  </rcc>
  <rcc rId="8449" sId="1" odxf="1" dxf="1">
    <nc r="C657">
      <v>4</v>
    </nc>
    <odxf/>
    <ndxf/>
  </rcc>
  <rfmt sheetId="1" sqref="D657" start="0" length="0">
    <dxf/>
  </rfmt>
  <rcc rId="8450" sId="1" odxf="1" dxf="1">
    <nc r="E657" t="inlineStr">
      <is>
        <t>W1027702/1</t>
      </is>
    </nc>
    <odxf/>
    <ndxf/>
  </rcc>
  <rcc rId="8451" sId="1" odxf="1" dxf="1">
    <nc r="F657" t="inlineStr">
      <is>
        <t>VER1/0270-1005</t>
      </is>
    </nc>
    <odxf/>
    <ndxf/>
  </rcc>
  <rcc rId="8452" sId="1" odxf="1" dxf="1">
    <nc r="G657" t="inlineStr">
      <is>
        <t>Single Use Gliderite Stylet</t>
      </is>
    </nc>
    <odxf/>
    <ndxf/>
  </rcc>
  <rcc rId="8453" sId="1" odxf="1" dxf="1">
    <nc r="H657">
      <v>106.68</v>
    </nc>
    <odxf/>
    <ndxf/>
  </rcc>
  <rcc rId="8454" sId="1" odxf="1" dxf="1">
    <nc r="I657">
      <v>26.67</v>
    </nc>
    <odxf/>
    <ndxf/>
  </rcc>
  <rcc rId="8455" sId="1" odxf="1" dxf="1">
    <nc r="J657">
      <v>1500</v>
    </nc>
    <odxf/>
    <ndxf/>
  </rcc>
  <rcc rId="8456" sId="1" odxf="1" dxf="1">
    <nc r="K657">
      <v>0</v>
    </nc>
    <odxf/>
    <ndxf/>
  </rcc>
  <rcc rId="8457" sId="1" odxf="1" dxf="1" numFmtId="19">
    <nc r="L657">
      <v>46227.444444444445</v>
    </nc>
    <odxf/>
    <ndxf/>
  </rcc>
  <rcc rId="8458" sId="1" odxf="1" dxf="1" numFmtId="19">
    <nc r="M657">
      <v>46228.548611111109</v>
    </nc>
    <odxf/>
    <ndxf/>
  </rcc>
  <rfmt sheetId="1" sqref="N657" start="0" length="0">
    <dxf/>
  </rfmt>
  <rfmt sheetId="1" sqref="O657" start="0" length="0">
    <dxf/>
  </rfmt>
  <rfmt sheetId="1" sqref="P657" start="0" length="0">
    <dxf/>
  </rfmt>
  <rfmt sheetId="1" sqref="Q657" start="0" length="0">
    <dxf/>
  </rfmt>
  <rfmt sheetId="1" sqref="R657" start="0" length="0">
    <dxf/>
  </rfmt>
  <rfmt sheetId="1" sqref="S657" start="0" length="0">
    <dxf/>
  </rfmt>
  <rfmt sheetId="1" sqref="T657" start="0" length="0">
    <dxf/>
  </rfmt>
  <rfmt sheetId="1" sqref="U657" start="0" length="0">
    <dxf/>
  </rfmt>
  <rfmt sheetId="1" sqref="V657" start="0" length="0">
    <dxf/>
  </rfmt>
  <rfmt sheetId="1" sqref="W657" start="0" length="0">
    <dxf/>
  </rfmt>
  <rfmt sheetId="1" sqref="X657" start="0" length="0">
    <dxf/>
  </rfmt>
  <rfmt sheetId="1" sqref="Y657" start="0" length="0">
    <dxf/>
  </rfmt>
  <rfmt sheetId="1" sqref="Z657" start="0" length="0">
    <dxf/>
  </rfmt>
  <rcc rId="8459" sId="1" odxf="1" dxf="1">
    <nc r="AA657" t="inlineStr">
      <is>
        <t>1</t>
      </is>
    </nc>
    <odxf/>
    <ndxf/>
  </rcc>
  <rcc rId="8460" sId="1" odxf="1" dxf="1">
    <nc r="AB657" t="inlineStr">
      <is>
        <t>0</t>
      </is>
    </nc>
    <odxf/>
    <ndxf/>
  </rcc>
  <rfmt sheetId="1" sqref="AC657" start="0" length="0">
    <dxf/>
  </rfmt>
  <rfmt sheetId="1" sqref="AD657" start="0" length="0">
    <dxf/>
  </rfmt>
  <rfmt sheetId="1" sqref="AE657" start="0" length="0">
    <dxf/>
  </rfmt>
  <rfmt sheetId="1" sqref="AF657" start="0" length="0">
    <dxf/>
  </rfmt>
  <rfmt sheetId="1" sqref="AG657" start="0" length="0">
    <dxf/>
  </rfmt>
  <rfmt sheetId="1" sqref="AH657" start="0" length="0">
    <dxf/>
  </rfmt>
  <rfmt sheetId="1" sqref="A657:XFD657" start="0" length="0">
    <dxf/>
  </rfmt>
  <rcc rId="8461" sId="1" odxf="1" dxf="1">
    <nc r="A658" t="inlineStr">
      <is>
        <t>Zone 3</t>
      </is>
    </nc>
    <odxf/>
    <ndxf/>
  </rcc>
  <rcc rId="8462" sId="1" odxf="1" dxf="1">
    <nc r="B658" t="inlineStr">
      <is>
        <t>Multivac 2</t>
      </is>
    </nc>
    <odxf/>
    <ndxf/>
  </rcc>
  <rcc rId="8463" sId="1" odxf="1" dxf="1">
    <nc r="C658">
      <v>4</v>
    </nc>
    <odxf/>
    <ndxf/>
  </rcc>
  <rfmt sheetId="1" sqref="D658" start="0" length="0">
    <dxf/>
  </rfmt>
  <rcc rId="8464" sId="1" odxf="1" dxf="1">
    <nc r="E658" t="inlineStr">
      <is>
        <t>W1027707/1</t>
      </is>
    </nc>
    <odxf/>
    <ndxf/>
  </rcc>
  <rcc rId="8465" sId="1" odxf="1" dxf="1">
    <nc r="F658" t="inlineStr">
      <is>
        <t>VER1/0270-1093</t>
      </is>
    </nc>
    <odxf/>
    <ndxf/>
  </rcc>
  <rcc rId="8466" sId="1" odxf="1" dxf="1">
    <nc r="G658" t="inlineStr">
      <is>
        <t>Pediatric SU Metal Stylet</t>
      </is>
    </nc>
    <odxf/>
    <ndxf/>
  </rcc>
  <rcc rId="8467" sId="1" odxf="1" dxf="1">
    <nc r="H658">
      <v>50</v>
    </nc>
    <odxf/>
    <ndxf/>
  </rcc>
  <rcc rId="8468" sId="1" odxf="1" dxf="1">
    <nc r="I658">
      <v>12.5</v>
    </nc>
    <odxf/>
    <ndxf/>
  </rcc>
  <rcc rId="8469" sId="1" odxf="1" dxf="1">
    <nc r="J658">
      <v>300</v>
    </nc>
    <odxf/>
    <ndxf/>
  </rcc>
  <rcc rId="8470" sId="1" odxf="1" dxf="1">
    <nc r="K658">
      <v>0</v>
    </nc>
    <odxf/>
    <ndxf/>
  </rcc>
  <rcc rId="8471" sId="1" odxf="1" dxf="1" numFmtId="19">
    <nc r="L658">
      <v>46228.555555555555</v>
    </nc>
    <odxf/>
    <ndxf/>
  </rcc>
  <rcc rId="8472" sId="1" odxf="1" dxf="1" numFmtId="19">
    <nc r="M658">
      <v>46229.069444444445</v>
    </nc>
    <odxf/>
    <ndxf/>
  </rcc>
  <rfmt sheetId="1" sqref="N658" start="0" length="0">
    <dxf/>
  </rfmt>
  <rfmt sheetId="1" sqref="O658" start="0" length="0">
    <dxf/>
  </rfmt>
  <rfmt sheetId="1" sqref="P658" start="0" length="0">
    <dxf/>
  </rfmt>
  <rfmt sheetId="1" sqref="Q658" start="0" length="0">
    <dxf/>
  </rfmt>
  <rfmt sheetId="1" sqref="R658" start="0" length="0">
    <dxf/>
  </rfmt>
  <rfmt sheetId="1" sqref="S658" start="0" length="0">
    <dxf/>
  </rfmt>
  <rfmt sheetId="1" sqref="T658" start="0" length="0">
    <dxf/>
  </rfmt>
  <rfmt sheetId="1" sqref="U658" start="0" length="0">
    <dxf/>
  </rfmt>
  <rfmt sheetId="1" sqref="V658" start="0" length="0">
    <dxf/>
  </rfmt>
  <rfmt sheetId="1" sqref="W658" start="0" length="0">
    <dxf/>
  </rfmt>
  <rfmt sheetId="1" sqref="X658" start="0" length="0">
    <dxf/>
  </rfmt>
  <rfmt sheetId="1" sqref="Y658" start="0" length="0">
    <dxf/>
  </rfmt>
  <rfmt sheetId="1" sqref="Z658" start="0" length="0">
    <dxf/>
  </rfmt>
  <rcc rId="8473" sId="1" odxf="1" dxf="1">
    <nc r="AA658" t="inlineStr">
      <is>
        <t>1</t>
      </is>
    </nc>
    <odxf/>
    <ndxf/>
  </rcc>
  <rcc rId="8474" sId="1" odxf="1" dxf="1">
    <nc r="AB658" t="inlineStr">
      <is>
        <t>0</t>
      </is>
    </nc>
    <odxf/>
    <ndxf/>
  </rcc>
  <rfmt sheetId="1" sqref="AC658" start="0" length="0">
    <dxf/>
  </rfmt>
  <rfmt sheetId="1" sqref="AD658" start="0" length="0">
    <dxf/>
  </rfmt>
  <rfmt sheetId="1" sqref="AE658" start="0" length="0">
    <dxf/>
  </rfmt>
  <rfmt sheetId="1" sqref="AF658" start="0" length="0">
    <dxf/>
  </rfmt>
  <rfmt sheetId="1" sqref="AG658" start="0" length="0">
    <dxf/>
  </rfmt>
  <rfmt sheetId="1" sqref="AH658" start="0" length="0">
    <dxf/>
  </rfmt>
  <rfmt sheetId="1" sqref="A658:XFD658" start="0" length="0">
    <dxf/>
  </rfmt>
  <rcc rId="8475" sId="1" odxf="1" dxf="1">
    <nc r="A659" t="inlineStr">
      <is>
        <t>Zone 3</t>
      </is>
    </nc>
    <odxf/>
    <ndxf/>
  </rcc>
  <rcc rId="8476" sId="1" odxf="1" dxf="1">
    <nc r="B659" t="inlineStr">
      <is>
        <t>Multivac 2</t>
      </is>
    </nc>
    <odxf/>
    <ndxf/>
  </rcc>
  <rcc rId="8477" sId="1" odxf="1" dxf="1">
    <nc r="C659">
      <v>4</v>
    </nc>
    <odxf/>
    <ndxf/>
  </rcc>
  <rfmt sheetId="1" sqref="D659" start="0" length="0">
    <dxf/>
  </rfmt>
  <rcc rId="8478" sId="1" odxf="1" dxf="1">
    <nc r="E659" t="inlineStr">
      <is>
        <t>W1027708/1</t>
      </is>
    </nc>
    <odxf/>
    <ndxf/>
  </rcc>
  <rcc rId="8479" sId="1" odxf="1" dxf="1">
    <nc r="F659" t="inlineStr">
      <is>
        <t>VER1/0270-1093</t>
      </is>
    </nc>
    <odxf/>
    <ndxf/>
  </rcc>
  <rcc rId="8480" sId="1" odxf="1" dxf="1">
    <nc r="G659" t="inlineStr">
      <is>
        <t>Pediatric SU Metal Stylet</t>
      </is>
    </nc>
    <odxf/>
    <ndxf/>
  </rcc>
  <rcc rId="8481" sId="1" odxf="1" dxf="1">
    <nc r="H659">
      <v>50</v>
    </nc>
    <odxf/>
    <ndxf/>
  </rcc>
  <rcc rId="8482" sId="1" odxf="1" dxf="1">
    <nc r="I659">
      <v>12.5</v>
    </nc>
    <odxf/>
    <ndxf/>
  </rcc>
  <rcc rId="8483" sId="1" odxf="1" dxf="1">
    <nc r="J659">
      <v>300</v>
    </nc>
    <odxf/>
    <ndxf/>
  </rcc>
  <rcc rId="8484" sId="1" odxf="1" dxf="1">
    <nc r="K659">
      <v>0</v>
    </nc>
    <odxf/>
    <ndxf/>
  </rcc>
  <rcc rId="8485" sId="1" odxf="1" dxf="1" numFmtId="19">
    <nc r="L659">
      <v>46229.076388888891</v>
    </nc>
    <odxf/>
    <ndxf/>
  </rcc>
  <rcc rId="8486" sId="1" odxf="1" dxf="1" numFmtId="19">
    <nc r="M659">
      <v>46229.590277777781</v>
    </nc>
    <odxf/>
    <ndxf/>
  </rcc>
  <rfmt sheetId="1" sqref="N659" start="0" length="0">
    <dxf/>
  </rfmt>
  <rfmt sheetId="1" sqref="O659" start="0" length="0">
    <dxf/>
  </rfmt>
  <rfmt sheetId="1" sqref="P659" start="0" length="0">
    <dxf/>
  </rfmt>
  <rfmt sheetId="1" sqref="Q659" start="0" length="0">
    <dxf/>
  </rfmt>
  <rfmt sheetId="1" sqref="R659" start="0" length="0">
    <dxf/>
  </rfmt>
  <rfmt sheetId="1" sqref="S659" start="0" length="0">
    <dxf/>
  </rfmt>
  <rfmt sheetId="1" sqref="T659" start="0" length="0">
    <dxf/>
  </rfmt>
  <rfmt sheetId="1" sqref="U659" start="0" length="0">
    <dxf/>
  </rfmt>
  <rfmt sheetId="1" sqref="V659" start="0" length="0">
    <dxf/>
  </rfmt>
  <rfmt sheetId="1" sqref="W659" start="0" length="0">
    <dxf/>
  </rfmt>
  <rfmt sheetId="1" sqref="X659" start="0" length="0">
    <dxf/>
  </rfmt>
  <rfmt sheetId="1" sqref="Y659" start="0" length="0">
    <dxf/>
  </rfmt>
  <rfmt sheetId="1" sqref="Z659" start="0" length="0">
    <dxf/>
  </rfmt>
  <rcc rId="8487" sId="1" odxf="1" dxf="1">
    <nc r="AA659" t="inlineStr">
      <is>
        <t>1</t>
      </is>
    </nc>
    <odxf/>
    <ndxf/>
  </rcc>
  <rcc rId="8488" sId="1" odxf="1" dxf="1">
    <nc r="AB659" t="inlineStr">
      <is>
        <t>0</t>
      </is>
    </nc>
    <odxf/>
    <ndxf/>
  </rcc>
  <rfmt sheetId="1" sqref="AC659" start="0" length="0">
    <dxf/>
  </rfmt>
  <rfmt sheetId="1" sqref="AD659" start="0" length="0">
    <dxf/>
  </rfmt>
  <rfmt sheetId="1" sqref="AE659" start="0" length="0">
    <dxf/>
  </rfmt>
  <rfmt sheetId="1" sqref="AF659" start="0" length="0">
    <dxf/>
  </rfmt>
  <rfmt sheetId="1" sqref="AG659" start="0" length="0">
    <dxf/>
  </rfmt>
  <rfmt sheetId="1" sqref="AH659" start="0" length="0">
    <dxf/>
  </rfmt>
  <rfmt sheetId="1" sqref="A659:XFD659" start="0" length="0">
    <dxf/>
  </rfmt>
  <rcc rId="8489" sId="1" odxf="1" dxf="1">
    <nc r="A660" t="inlineStr">
      <is>
        <t>Zone 3</t>
      </is>
    </nc>
    <odxf/>
    <ndxf/>
  </rcc>
  <rcc rId="8490" sId="1" odxf="1" dxf="1">
    <nc r="B660" t="inlineStr">
      <is>
        <t>Multivac 2</t>
      </is>
    </nc>
    <odxf/>
    <ndxf/>
  </rcc>
  <rcc rId="8491" sId="1" odxf="1" dxf="1">
    <nc r="C660">
      <v>4</v>
    </nc>
    <odxf/>
    <ndxf/>
  </rcc>
  <rfmt sheetId="1" sqref="D660" start="0" length="0">
    <dxf/>
  </rfmt>
  <rcc rId="8492" sId="1" odxf="1" dxf="1">
    <nc r="E660" t="inlineStr">
      <is>
        <t>W1028500/1</t>
      </is>
    </nc>
    <odxf>
      <border outline="0">
        <bottom/>
      </border>
    </odxf>
    <ndxf>
      <border outline="0">
        <bottom style="thin">
          <color indexed="64"/>
        </bottom>
      </border>
    </ndxf>
  </rcc>
  <rcc rId="8493" sId="1" odxf="1" dxf="1">
    <nc r="F660" t="inlineStr">
      <is>
        <t>VER1/0270-1005</t>
      </is>
    </nc>
    <odxf/>
    <ndxf/>
  </rcc>
  <rcc rId="8494" sId="1" odxf="1" dxf="1">
    <nc r="G660" t="inlineStr">
      <is>
        <t>Single Use Gliderite Stylet</t>
      </is>
    </nc>
    <odxf/>
    <ndxf/>
  </rcc>
  <rcc rId="8495" sId="1" odxf="1" dxf="1">
    <nc r="H660">
      <v>106.68</v>
    </nc>
    <odxf/>
    <ndxf/>
  </rcc>
  <rcc rId="8496" sId="1" odxf="1" dxf="1">
    <nc r="I660">
      <v>26.67</v>
    </nc>
    <odxf/>
    <ndxf/>
  </rcc>
  <rcc rId="8497" sId="1" odxf="1" dxf="1">
    <nc r="J660">
      <v>1500</v>
    </nc>
    <odxf/>
    <ndxf/>
  </rcc>
  <rcc rId="8498" sId="1" odxf="1" dxf="1">
    <nc r="K660">
      <v>0</v>
    </nc>
    <odxf/>
    <ndxf/>
  </rcc>
  <rcc rId="8499" sId="1" odxf="1" dxf="1" numFmtId="19">
    <nc r="L660">
      <v>46230</v>
    </nc>
    <odxf/>
    <ndxf/>
  </rcc>
  <rcc rId="8500" sId="1" odxf="1" dxf="1" numFmtId="19">
    <nc r="M660">
      <v>46231.104166666664</v>
    </nc>
    <odxf/>
    <ndxf/>
  </rcc>
  <rfmt sheetId="1" sqref="N660" start="0" length="0">
    <dxf>
      <border outline="0">
        <bottom style="thin">
          <color indexed="64"/>
        </bottom>
      </border>
    </dxf>
  </rfmt>
  <rfmt sheetId="1" sqref="O660" start="0" length="0">
    <dxf>
      <border outline="0">
        <bottom style="thin">
          <color indexed="64"/>
        </bottom>
      </border>
    </dxf>
  </rfmt>
  <rfmt sheetId="1" sqref="P660" start="0" length="0">
    <dxf>
      <border outline="0">
        <bottom style="thin">
          <color indexed="64"/>
        </bottom>
      </border>
    </dxf>
  </rfmt>
  <rfmt sheetId="1" sqref="Q660" start="0" length="0">
    <dxf>
      <border outline="0">
        <bottom style="thin">
          <color indexed="64"/>
        </bottom>
      </border>
    </dxf>
  </rfmt>
  <rfmt sheetId="1" sqref="R660" start="0" length="0">
    <dxf>
      <border outline="0">
        <bottom style="thin">
          <color indexed="64"/>
        </bottom>
      </border>
    </dxf>
  </rfmt>
  <rfmt sheetId="1" sqref="S660" start="0" length="0">
    <dxf>
      <border outline="0">
        <bottom style="thin">
          <color indexed="64"/>
        </bottom>
      </border>
    </dxf>
  </rfmt>
  <rfmt sheetId="1" sqref="T660" start="0" length="0">
    <dxf/>
  </rfmt>
  <rfmt sheetId="1" sqref="U660" start="0" length="0">
    <dxf/>
  </rfmt>
  <rfmt sheetId="1" sqref="V660" start="0" length="0">
    <dxf/>
  </rfmt>
  <rfmt sheetId="1" sqref="W660" start="0" length="0">
    <dxf/>
  </rfmt>
  <rfmt sheetId="1" sqref="X660" start="0" length="0">
    <dxf/>
  </rfmt>
  <rfmt sheetId="1" sqref="Y660" start="0" length="0">
    <dxf/>
  </rfmt>
  <rfmt sheetId="1" sqref="Z660" start="0" length="0">
    <dxf/>
  </rfmt>
  <rcc rId="8501" sId="1" odxf="1" dxf="1">
    <nc r="AA660" t="inlineStr">
      <is>
        <t>1</t>
      </is>
    </nc>
    <odxf/>
    <ndxf/>
  </rcc>
  <rcc rId="8502" sId="1" odxf="1" dxf="1">
    <nc r="AB660" t="inlineStr">
      <is>
        <t>0</t>
      </is>
    </nc>
    <odxf/>
    <ndxf/>
  </rcc>
  <rfmt sheetId="1" sqref="AC660" start="0" length="0">
    <dxf/>
  </rfmt>
  <rfmt sheetId="1" sqref="AD660" start="0" length="0">
    <dxf/>
  </rfmt>
  <rfmt sheetId="1" sqref="AE660" start="0" length="0">
    <dxf/>
  </rfmt>
  <rfmt sheetId="1" sqref="AF660" start="0" length="0">
    <dxf/>
  </rfmt>
  <rfmt sheetId="1" sqref="AG660" start="0" length="0">
    <dxf/>
  </rfmt>
  <rfmt sheetId="1" sqref="AH660" start="0" length="0">
    <dxf/>
  </rfmt>
  <rfmt sheetId="1" sqref="A660:XFD660" start="0" length="0">
    <dxf/>
  </rfmt>
  <rcc rId="8503" sId="1" odxf="1" dxf="1">
    <nc r="A661" t="inlineStr">
      <is>
        <t>Zone 3</t>
      </is>
    </nc>
    <odxf/>
    <ndxf/>
  </rcc>
  <rcc rId="8504" sId="1" odxf="1" dxf="1">
    <nc r="B661" t="inlineStr">
      <is>
        <t>Multivac 2</t>
      </is>
    </nc>
    <odxf/>
    <ndxf/>
  </rcc>
  <rcc rId="8505" sId="1" odxf="1" dxf="1">
    <nc r="C661">
      <v>4</v>
    </nc>
    <odxf/>
    <ndxf/>
  </rcc>
  <rfmt sheetId="1" sqref="D661" start="0" length="0">
    <dxf/>
  </rfmt>
  <rcc rId="8506" sId="1" odxf="1" dxf="1">
    <nc r="E661" t="inlineStr">
      <is>
        <t>W1028501/1</t>
      </is>
    </nc>
    <odxf/>
    <ndxf/>
  </rcc>
  <rcc rId="8507" sId="1" odxf="1" dxf="1">
    <nc r="F661" t="inlineStr">
      <is>
        <t>VER1/0270-1005</t>
      </is>
    </nc>
    <odxf/>
    <ndxf/>
  </rcc>
  <rcc rId="8508" sId="1" odxf="1" dxf="1">
    <nc r="G661" t="inlineStr">
      <is>
        <t>Single Use Gliderite Stylet</t>
      </is>
    </nc>
    <odxf/>
    <ndxf/>
  </rcc>
  <rcc rId="8509" sId="1" odxf="1" dxf="1">
    <nc r="H661">
      <v>106.68</v>
    </nc>
    <odxf/>
    <ndxf/>
  </rcc>
  <rcc rId="8510" sId="1" odxf="1" dxf="1">
    <nc r="I661">
      <v>26.67</v>
    </nc>
    <odxf/>
    <ndxf/>
  </rcc>
  <rcc rId="8511" sId="1" odxf="1" dxf="1">
    <nc r="J661">
      <v>1500</v>
    </nc>
    <odxf/>
    <ndxf/>
  </rcc>
  <rcc rId="8512" sId="1" odxf="1" dxf="1">
    <nc r="K661">
      <v>0</v>
    </nc>
    <odxf/>
    <ndxf/>
  </rcc>
  <rcc rId="8513" sId="1" odxf="1" dxf="1" numFmtId="19">
    <nc r="L661">
      <v>46231.111111111109</v>
    </nc>
    <odxf/>
    <ndxf/>
  </rcc>
  <rcc rId="8514" sId="1" odxf="1" dxf="1" numFmtId="19">
    <nc r="M661">
      <v>46232.215277777781</v>
    </nc>
    <odxf/>
    <ndxf/>
  </rcc>
  <rfmt sheetId="1" sqref="N661" start="0" length="0">
    <dxf/>
  </rfmt>
  <rfmt sheetId="1" sqref="O661" start="0" length="0">
    <dxf/>
  </rfmt>
  <rfmt sheetId="1" sqref="P661" start="0" length="0">
    <dxf/>
  </rfmt>
  <rfmt sheetId="1" sqref="Q661" start="0" length="0">
    <dxf/>
  </rfmt>
  <rfmt sheetId="1" sqref="R661" start="0" length="0">
    <dxf/>
  </rfmt>
  <rfmt sheetId="1" sqref="S661" start="0" length="0">
    <dxf/>
  </rfmt>
  <rfmt sheetId="1" sqref="T661" start="0" length="0">
    <dxf/>
  </rfmt>
  <rfmt sheetId="1" sqref="U661" start="0" length="0">
    <dxf/>
  </rfmt>
  <rfmt sheetId="1" sqref="V661" start="0" length="0">
    <dxf/>
  </rfmt>
  <rfmt sheetId="1" sqref="W661" start="0" length="0">
    <dxf/>
  </rfmt>
  <rfmt sheetId="1" sqref="X661" start="0" length="0">
    <dxf/>
  </rfmt>
  <rfmt sheetId="1" sqref="Y661" start="0" length="0">
    <dxf/>
  </rfmt>
  <rfmt sheetId="1" sqref="Z661" start="0" length="0">
    <dxf/>
  </rfmt>
  <rcc rId="8515" sId="1" odxf="1" dxf="1">
    <nc r="AA661" t="inlineStr">
      <is>
        <t>1</t>
      </is>
    </nc>
    <odxf/>
    <ndxf/>
  </rcc>
  <rcc rId="8516" sId="1" odxf="1" dxf="1">
    <nc r="AB661" t="inlineStr">
      <is>
        <t>0</t>
      </is>
    </nc>
    <odxf/>
    <ndxf/>
  </rcc>
  <rfmt sheetId="1" sqref="AC661" start="0" length="0">
    <dxf/>
  </rfmt>
  <rfmt sheetId="1" sqref="AD661" start="0" length="0">
    <dxf/>
  </rfmt>
  <rfmt sheetId="1" sqref="AE661" start="0" length="0">
    <dxf/>
  </rfmt>
  <rfmt sheetId="1" sqref="AF661" start="0" length="0">
    <dxf/>
  </rfmt>
  <rfmt sheetId="1" sqref="AG661" start="0" length="0">
    <dxf/>
  </rfmt>
  <rfmt sheetId="1" sqref="AH661" start="0" length="0">
    <dxf/>
  </rfmt>
  <rfmt sheetId="1" sqref="A661:XFD661" start="0" length="0">
    <dxf/>
  </rfmt>
  <rcc rId="8517" sId="1" odxf="1" dxf="1">
    <nc r="A662" t="inlineStr">
      <is>
        <t>Zone 3</t>
      </is>
    </nc>
    <odxf/>
    <ndxf/>
  </rcc>
  <rcc rId="8518" sId="1" odxf="1" dxf="1">
    <nc r="B662" t="inlineStr">
      <is>
        <t>Multivac 2</t>
      </is>
    </nc>
    <odxf/>
    <ndxf/>
  </rcc>
  <rcc rId="8519" sId="1" odxf="1" dxf="1">
    <nc r="C662">
      <v>4</v>
    </nc>
    <odxf/>
    <ndxf/>
  </rcc>
  <rfmt sheetId="1" sqref="D662" start="0" length="0">
    <dxf/>
  </rfmt>
  <rcc rId="8520" sId="1" odxf="1" dxf="1">
    <nc r="E662" t="inlineStr">
      <is>
        <t>W1028502/1</t>
      </is>
    </nc>
    <odxf/>
    <ndxf/>
  </rcc>
  <rcc rId="8521" sId="1" odxf="1" dxf="1">
    <nc r="F662" t="inlineStr">
      <is>
        <t>VER1/0270-1005</t>
      </is>
    </nc>
    <odxf/>
    <ndxf/>
  </rcc>
  <rcc rId="8522" sId="1" odxf="1" dxf="1">
    <nc r="G662" t="inlineStr">
      <is>
        <t>Single Use Gliderite Stylet</t>
      </is>
    </nc>
    <odxf/>
    <ndxf/>
  </rcc>
  <rcc rId="8523" sId="1" odxf="1" dxf="1">
    <nc r="H662">
      <v>106.68</v>
    </nc>
    <odxf/>
    <ndxf/>
  </rcc>
  <rcc rId="8524" sId="1" odxf="1" dxf="1">
    <nc r="I662">
      <v>26.67</v>
    </nc>
    <odxf/>
    <ndxf/>
  </rcc>
  <rcc rId="8525" sId="1" odxf="1" dxf="1">
    <nc r="J662">
      <v>1500</v>
    </nc>
    <odxf/>
    <ndxf/>
  </rcc>
  <rcc rId="8526" sId="1" odxf="1" dxf="1">
    <nc r="K662">
      <v>0</v>
    </nc>
    <odxf/>
    <ndxf/>
  </rcc>
  <rcc rId="8527" sId="1" odxf="1" dxf="1" numFmtId="19">
    <nc r="L662">
      <v>46232.222222222219</v>
    </nc>
    <odxf/>
    <ndxf/>
  </rcc>
  <rcc rId="8528" sId="1" odxf="1" dxf="1" numFmtId="19">
    <nc r="M662">
      <v>46233.326388888891</v>
    </nc>
    <odxf/>
    <ndxf/>
  </rcc>
  <rfmt sheetId="1" sqref="N662" start="0" length="0">
    <dxf/>
  </rfmt>
  <rfmt sheetId="1" sqref="O662" start="0" length="0">
    <dxf/>
  </rfmt>
  <rfmt sheetId="1" sqref="P662" start="0" length="0">
    <dxf/>
  </rfmt>
  <rfmt sheetId="1" sqref="Q662" start="0" length="0">
    <dxf/>
  </rfmt>
  <rfmt sheetId="1" sqref="R662" start="0" length="0">
    <dxf/>
  </rfmt>
  <rfmt sheetId="1" sqref="S662" start="0" length="0">
    <dxf/>
  </rfmt>
  <rfmt sheetId="1" sqref="T662" start="0" length="0">
    <dxf/>
  </rfmt>
  <rfmt sheetId="1" sqref="U662" start="0" length="0">
    <dxf/>
  </rfmt>
  <rfmt sheetId="1" sqref="V662" start="0" length="0">
    <dxf/>
  </rfmt>
  <rfmt sheetId="1" sqref="W662" start="0" length="0">
    <dxf/>
  </rfmt>
  <rfmt sheetId="1" sqref="X662" start="0" length="0">
    <dxf/>
  </rfmt>
  <rfmt sheetId="1" sqref="Y662" start="0" length="0">
    <dxf/>
  </rfmt>
  <rfmt sheetId="1" sqref="Z662" start="0" length="0">
    <dxf/>
  </rfmt>
  <rcc rId="8529" sId="1" odxf="1" dxf="1">
    <nc r="AA662" t="inlineStr">
      <is>
        <t>1</t>
      </is>
    </nc>
    <odxf/>
    <ndxf/>
  </rcc>
  <rcc rId="8530" sId="1" odxf="1" dxf="1">
    <nc r="AB662" t="inlineStr">
      <is>
        <t>0</t>
      </is>
    </nc>
    <odxf/>
    <ndxf/>
  </rcc>
  <rfmt sheetId="1" sqref="AC662" start="0" length="0">
    <dxf/>
  </rfmt>
  <rfmt sheetId="1" sqref="AD662" start="0" length="0">
    <dxf/>
  </rfmt>
  <rfmt sheetId="1" sqref="AE662" start="0" length="0">
    <dxf/>
  </rfmt>
  <rfmt sheetId="1" sqref="AF662" start="0" length="0">
    <dxf/>
  </rfmt>
  <rfmt sheetId="1" sqref="AG662" start="0" length="0">
    <dxf/>
  </rfmt>
  <rfmt sheetId="1" sqref="AH662" start="0" length="0">
    <dxf/>
  </rfmt>
  <rfmt sheetId="1" sqref="A662:XFD662" start="0" length="0">
    <dxf/>
  </rfmt>
  <rcc rId="8531" sId="1" odxf="1" dxf="1">
    <nc r="A663" t="inlineStr">
      <is>
        <t>Zone 3</t>
      </is>
    </nc>
    <odxf/>
    <ndxf/>
  </rcc>
  <rcc rId="8532" sId="1" odxf="1" dxf="1">
    <nc r="B663" t="inlineStr">
      <is>
        <t>Multivac 2</t>
      </is>
    </nc>
    <odxf/>
    <ndxf/>
  </rcc>
  <rcc rId="8533" sId="1" odxf="1" dxf="1">
    <nc r="C663">
      <v>4</v>
    </nc>
    <odxf/>
    <ndxf/>
  </rcc>
  <rfmt sheetId="1" sqref="D663" start="0" length="0">
    <dxf/>
  </rfmt>
  <rcc rId="8534" sId="1" odxf="1" dxf="1">
    <nc r="E663" t="inlineStr">
      <is>
        <t>W1028503/1</t>
      </is>
    </nc>
    <odxf/>
    <ndxf/>
  </rcc>
  <rcc rId="8535" sId="1" odxf="1" dxf="1">
    <nc r="F663" t="inlineStr">
      <is>
        <t>VER1/0270-1005</t>
      </is>
    </nc>
    <odxf/>
    <ndxf/>
  </rcc>
  <rcc rId="8536" sId="1" odxf="1" dxf="1">
    <nc r="G663" t="inlineStr">
      <is>
        <t>Single Use Gliderite Stylet</t>
      </is>
    </nc>
    <odxf/>
    <ndxf/>
  </rcc>
  <rcc rId="8537" sId="1" odxf="1" dxf="1">
    <nc r="H663">
      <v>106.68</v>
    </nc>
    <odxf/>
    <ndxf/>
  </rcc>
  <rcc rId="8538" sId="1" odxf="1" dxf="1">
    <nc r="I663">
      <v>26.67</v>
    </nc>
    <odxf/>
    <ndxf/>
  </rcc>
  <rcc rId="8539" sId="1" odxf="1" dxf="1">
    <nc r="J663">
      <v>1500</v>
    </nc>
    <odxf/>
    <ndxf/>
  </rcc>
  <rcc rId="8540" sId="1" odxf="1" dxf="1">
    <nc r="K663">
      <v>0</v>
    </nc>
    <odxf/>
    <ndxf/>
  </rcc>
  <rcc rId="8541" sId="1" odxf="1" dxf="1" numFmtId="19">
    <nc r="L663">
      <v>46233.333333333336</v>
    </nc>
    <odxf/>
    <ndxf/>
  </rcc>
  <rcc rId="8542" sId="1" odxf="1" dxf="1" numFmtId="19">
    <nc r="M663">
      <v>46234.4375</v>
    </nc>
    <odxf/>
    <ndxf/>
  </rcc>
  <rfmt sheetId="1" sqref="N663" start="0" length="0">
    <dxf/>
  </rfmt>
  <rfmt sheetId="1" sqref="O663" start="0" length="0">
    <dxf/>
  </rfmt>
  <rfmt sheetId="1" sqref="P663" start="0" length="0">
    <dxf/>
  </rfmt>
  <rfmt sheetId="1" sqref="Q663" start="0" length="0">
    <dxf/>
  </rfmt>
  <rfmt sheetId="1" sqref="R663" start="0" length="0">
    <dxf/>
  </rfmt>
  <rfmt sheetId="1" sqref="S663" start="0" length="0">
    <dxf/>
  </rfmt>
  <rfmt sheetId="1" sqref="T663" start="0" length="0">
    <dxf/>
  </rfmt>
  <rfmt sheetId="1" sqref="U663" start="0" length="0">
    <dxf/>
  </rfmt>
  <rfmt sheetId="1" sqref="V663" start="0" length="0">
    <dxf/>
  </rfmt>
  <rfmt sheetId="1" sqref="W663" start="0" length="0">
    <dxf/>
  </rfmt>
  <rfmt sheetId="1" sqref="X663" start="0" length="0">
    <dxf/>
  </rfmt>
  <rfmt sheetId="1" sqref="Y663" start="0" length="0">
    <dxf/>
  </rfmt>
  <rfmt sheetId="1" sqref="Z663" start="0" length="0">
    <dxf/>
  </rfmt>
  <rcc rId="8543" sId="1" odxf="1" dxf="1">
    <nc r="AA663" t="inlineStr">
      <is>
        <t>1</t>
      </is>
    </nc>
    <odxf/>
    <ndxf/>
  </rcc>
  <rcc rId="8544" sId="1" odxf="1" dxf="1">
    <nc r="AB663" t="inlineStr">
      <is>
        <t>0</t>
      </is>
    </nc>
    <odxf/>
    <ndxf/>
  </rcc>
  <rfmt sheetId="1" sqref="AC663" start="0" length="0">
    <dxf/>
  </rfmt>
  <rfmt sheetId="1" sqref="AD663" start="0" length="0">
    <dxf/>
  </rfmt>
  <rfmt sheetId="1" sqref="AE663" start="0" length="0">
    <dxf/>
  </rfmt>
  <rfmt sheetId="1" sqref="AF663" start="0" length="0">
    <dxf/>
  </rfmt>
  <rfmt sheetId="1" sqref="AG663" start="0" length="0">
    <dxf/>
  </rfmt>
  <rfmt sheetId="1" sqref="AH663" start="0" length="0">
    <dxf/>
  </rfmt>
  <rfmt sheetId="1" sqref="A663:XFD663" start="0" length="0">
    <dxf/>
  </rfmt>
  <rcc rId="8545" sId="1" odxf="1" dxf="1">
    <nc r="A664" t="inlineStr">
      <is>
        <t>Zone 3</t>
      </is>
    </nc>
    <odxf/>
    <ndxf/>
  </rcc>
  <rcc rId="8546" sId="1" odxf="1" dxf="1">
    <nc r="B664" t="inlineStr">
      <is>
        <t>Multivac 2</t>
      </is>
    </nc>
    <odxf/>
    <ndxf/>
  </rcc>
  <rcc rId="8547" sId="1" odxf="1" dxf="1">
    <nc r="C664">
      <v>4</v>
    </nc>
    <odxf/>
    <ndxf/>
  </rcc>
  <rfmt sheetId="1" sqref="D664" start="0" length="0">
    <dxf/>
  </rfmt>
  <rcc rId="8548" sId="1" odxf="1" dxf="1">
    <nc r="E664" t="inlineStr">
      <is>
        <t>W1028504/1</t>
      </is>
    </nc>
    <odxf/>
    <ndxf/>
  </rcc>
  <rcc rId="8549" sId="1" odxf="1" dxf="1">
    <nc r="F664" t="inlineStr">
      <is>
        <t>VER1/0270-1005</t>
      </is>
    </nc>
    <odxf/>
    <ndxf/>
  </rcc>
  <rcc rId="8550" sId="1" odxf="1" dxf="1">
    <nc r="G664" t="inlineStr">
      <is>
        <t>Single Use Gliderite Stylet</t>
      </is>
    </nc>
    <odxf/>
    <ndxf/>
  </rcc>
  <rcc rId="8551" sId="1" odxf="1" dxf="1">
    <nc r="H664">
      <v>106.68</v>
    </nc>
    <odxf/>
    <ndxf/>
  </rcc>
  <rcc rId="8552" sId="1" odxf="1" dxf="1">
    <nc r="I664">
      <v>26.67</v>
    </nc>
    <odxf/>
    <ndxf/>
  </rcc>
  <rcc rId="8553" sId="1" odxf="1" dxf="1">
    <nc r="J664">
      <v>1500</v>
    </nc>
    <odxf/>
    <ndxf/>
  </rcc>
  <rcc rId="8554" sId="1" odxf="1" dxf="1">
    <nc r="K664">
      <v>0</v>
    </nc>
    <odxf/>
    <ndxf/>
  </rcc>
  <rcc rId="8555" sId="1" odxf="1" dxf="1" numFmtId="19">
    <nc r="L664">
      <v>46234.444444444445</v>
    </nc>
    <odxf/>
    <ndxf/>
  </rcc>
  <rcc rId="8556" sId="1" odxf="1" dxf="1" numFmtId="19">
    <nc r="M664">
      <v>46235.548611111109</v>
    </nc>
    <odxf/>
    <ndxf/>
  </rcc>
  <rfmt sheetId="1" sqref="N664" start="0" length="0">
    <dxf/>
  </rfmt>
  <rfmt sheetId="1" sqref="O664" start="0" length="0">
    <dxf/>
  </rfmt>
  <rfmt sheetId="1" sqref="P664" start="0" length="0">
    <dxf/>
  </rfmt>
  <rfmt sheetId="1" sqref="Q664" start="0" length="0">
    <dxf/>
  </rfmt>
  <rfmt sheetId="1" sqref="R664" start="0" length="0">
    <dxf/>
  </rfmt>
  <rfmt sheetId="1" sqref="S664" start="0" length="0">
    <dxf/>
  </rfmt>
  <rfmt sheetId="1" sqref="T664" start="0" length="0">
    <dxf/>
  </rfmt>
  <rfmt sheetId="1" sqref="U664" start="0" length="0">
    <dxf/>
  </rfmt>
  <rfmt sheetId="1" sqref="V664" start="0" length="0">
    <dxf/>
  </rfmt>
  <rfmt sheetId="1" sqref="W664" start="0" length="0">
    <dxf/>
  </rfmt>
  <rfmt sheetId="1" sqref="X664" start="0" length="0">
    <dxf/>
  </rfmt>
  <rfmt sheetId="1" sqref="Y664" start="0" length="0">
    <dxf/>
  </rfmt>
  <rfmt sheetId="1" sqref="Z664" start="0" length="0">
    <dxf/>
  </rfmt>
  <rcc rId="8557" sId="1" odxf="1" dxf="1">
    <nc r="AA664" t="inlineStr">
      <is>
        <t>1</t>
      </is>
    </nc>
    <odxf/>
    <ndxf/>
  </rcc>
  <rcc rId="8558" sId="1" odxf="1" dxf="1">
    <nc r="AB664" t="inlineStr">
      <is>
        <t>0</t>
      </is>
    </nc>
    <odxf/>
    <ndxf/>
  </rcc>
  <rfmt sheetId="1" sqref="AC664" start="0" length="0">
    <dxf/>
  </rfmt>
  <rfmt sheetId="1" sqref="AD664" start="0" length="0">
    <dxf/>
  </rfmt>
  <rfmt sheetId="1" sqref="AE664" start="0" length="0">
    <dxf/>
  </rfmt>
  <rfmt sheetId="1" sqref="AF664" start="0" length="0">
    <dxf/>
  </rfmt>
  <rfmt sheetId="1" sqref="AG664" start="0" length="0">
    <dxf/>
  </rfmt>
  <rfmt sheetId="1" sqref="AH664" start="0" length="0">
    <dxf/>
  </rfmt>
  <rfmt sheetId="1" sqref="A664:XFD664" start="0" length="0">
    <dxf/>
  </rfmt>
  <rcc rId="8559" sId="1" odxf="1" dxf="1">
    <nc r="A665" t="inlineStr">
      <is>
        <t>Zone 3</t>
      </is>
    </nc>
    <odxf/>
    <ndxf/>
  </rcc>
  <rcc rId="8560" sId="1" odxf="1" dxf="1">
    <nc r="B665" t="inlineStr">
      <is>
        <t>Multivac 2</t>
      </is>
    </nc>
    <odxf/>
    <ndxf/>
  </rcc>
  <rcc rId="8561" sId="1" odxf="1" dxf="1">
    <nc r="C665">
      <v>4</v>
    </nc>
    <odxf/>
    <ndxf/>
  </rcc>
  <rfmt sheetId="1" sqref="D665" start="0" length="0">
    <dxf/>
  </rfmt>
  <rcc rId="8562" sId="1" odxf="1" dxf="1">
    <nc r="E665" t="inlineStr">
      <is>
        <t>W1028505/1</t>
      </is>
    </nc>
    <odxf/>
    <ndxf/>
  </rcc>
  <rcc rId="8563" sId="1" odxf="1" dxf="1">
    <nc r="F665" t="inlineStr">
      <is>
        <t>VER1/0270-1005</t>
      </is>
    </nc>
    <odxf/>
    <ndxf/>
  </rcc>
  <rcc rId="8564" sId="1" odxf="1" dxf="1">
    <nc r="G665" t="inlineStr">
      <is>
        <t>Single Use Gliderite Stylet</t>
      </is>
    </nc>
    <odxf/>
    <ndxf/>
  </rcc>
  <rcc rId="8565" sId="1" odxf="1" dxf="1">
    <nc r="H665">
      <v>106.68</v>
    </nc>
    <odxf/>
    <ndxf/>
  </rcc>
  <rcc rId="8566" sId="1" odxf="1" dxf="1">
    <nc r="I665">
      <v>26.67</v>
    </nc>
    <odxf/>
    <ndxf/>
  </rcc>
  <rcc rId="8567" sId="1" odxf="1" dxf="1">
    <nc r="J665">
      <v>1500</v>
    </nc>
    <odxf/>
    <ndxf/>
  </rcc>
  <rcc rId="8568" sId="1" odxf="1" dxf="1">
    <nc r="K665">
      <v>0</v>
    </nc>
    <odxf/>
    <ndxf/>
  </rcc>
  <rcc rId="8569" sId="1" odxf="1" dxf="1" numFmtId="19">
    <nc r="L665">
      <v>46237.958333333336</v>
    </nc>
    <odxf/>
    <ndxf/>
  </rcc>
  <rcc rId="8570" sId="1" odxf="1" dxf="1" numFmtId="19">
    <nc r="M665">
      <v>46239.0625</v>
    </nc>
    <odxf/>
    <ndxf/>
  </rcc>
  <rfmt sheetId="1" sqref="N665" start="0" length="0">
    <dxf/>
  </rfmt>
  <rfmt sheetId="1" sqref="O665" start="0" length="0">
    <dxf/>
  </rfmt>
  <rfmt sheetId="1" sqref="P665" start="0" length="0">
    <dxf/>
  </rfmt>
  <rfmt sheetId="1" sqref="Q665" start="0" length="0">
    <dxf/>
  </rfmt>
  <rfmt sheetId="1" sqref="R665" start="0" length="0">
    <dxf/>
  </rfmt>
  <rfmt sheetId="1" sqref="S665" start="0" length="0">
    <dxf/>
  </rfmt>
  <rfmt sheetId="1" sqref="T665" start="0" length="0">
    <dxf/>
  </rfmt>
  <rfmt sheetId="1" sqref="U665" start="0" length="0">
    <dxf/>
  </rfmt>
  <rfmt sheetId="1" sqref="V665" start="0" length="0">
    <dxf/>
  </rfmt>
  <rfmt sheetId="1" sqref="W665" start="0" length="0">
    <dxf/>
  </rfmt>
  <rfmt sheetId="1" sqref="X665" start="0" length="0">
    <dxf/>
  </rfmt>
  <rfmt sheetId="1" sqref="Y665" start="0" length="0">
    <dxf/>
  </rfmt>
  <rfmt sheetId="1" sqref="Z665" start="0" length="0">
    <dxf/>
  </rfmt>
  <rcc rId="8571" sId="1" odxf="1" dxf="1">
    <nc r="AA665" t="inlineStr">
      <is>
        <t>1</t>
      </is>
    </nc>
    <odxf/>
    <ndxf/>
  </rcc>
  <rcc rId="8572" sId="1" odxf="1" dxf="1">
    <nc r="AB665" t="inlineStr">
      <is>
        <t>0</t>
      </is>
    </nc>
    <odxf/>
    <ndxf/>
  </rcc>
  <rfmt sheetId="1" sqref="AC665" start="0" length="0">
    <dxf/>
  </rfmt>
  <rfmt sheetId="1" sqref="AD665" start="0" length="0">
    <dxf/>
  </rfmt>
  <rfmt sheetId="1" sqref="AE665" start="0" length="0">
    <dxf/>
  </rfmt>
  <rfmt sheetId="1" sqref="AF665" start="0" length="0">
    <dxf/>
  </rfmt>
  <rfmt sheetId="1" sqref="AG665" start="0" length="0">
    <dxf/>
  </rfmt>
  <rfmt sheetId="1" sqref="AH665" start="0" length="0">
    <dxf/>
  </rfmt>
  <rfmt sheetId="1" sqref="A665:XFD665" start="0" length="0">
    <dxf/>
  </rfmt>
  <rcc rId="8573" sId="1" odxf="1" dxf="1">
    <nc r="A666" t="inlineStr">
      <is>
        <t>Zone 3</t>
      </is>
    </nc>
    <odxf/>
    <ndxf/>
  </rcc>
  <rcc rId="8574" sId="1" odxf="1" dxf="1">
    <nc r="B666" t="inlineStr">
      <is>
        <t>Multivac 2</t>
      </is>
    </nc>
    <odxf/>
    <ndxf/>
  </rcc>
  <rcc rId="8575" sId="1" odxf="1" dxf="1">
    <nc r="C666">
      <v>4</v>
    </nc>
    <odxf/>
    <ndxf/>
  </rcc>
  <rfmt sheetId="1" sqref="D666" start="0" length="0">
    <dxf/>
  </rfmt>
  <rcc rId="8576" sId="1" odxf="1" dxf="1">
    <nc r="E666" t="inlineStr">
      <is>
        <t>W1028506/1</t>
      </is>
    </nc>
    <odxf/>
    <ndxf/>
  </rcc>
  <rcc rId="8577" sId="1" odxf="1" dxf="1">
    <nc r="F666" t="inlineStr">
      <is>
        <t>VER1/0270-1005</t>
      </is>
    </nc>
    <odxf/>
    <ndxf/>
  </rcc>
  <rcc rId="8578" sId="1" odxf="1" dxf="1">
    <nc r="G666" t="inlineStr">
      <is>
        <t>Single Use Gliderite Stylet</t>
      </is>
    </nc>
    <odxf/>
    <ndxf/>
  </rcc>
  <rcc rId="8579" sId="1" odxf="1" dxf="1">
    <nc r="H666">
      <v>106.68</v>
    </nc>
    <odxf/>
    <ndxf/>
  </rcc>
  <rcc rId="8580" sId="1" odxf="1" dxf="1">
    <nc r="I666">
      <v>26.67</v>
    </nc>
    <odxf/>
    <ndxf/>
  </rcc>
  <rcc rId="8581" sId="1" odxf="1" dxf="1">
    <nc r="J666">
      <v>1500</v>
    </nc>
    <odxf/>
    <ndxf/>
  </rcc>
  <rcc rId="8582" sId="1" odxf="1" dxf="1">
    <nc r="K666">
      <v>0</v>
    </nc>
    <odxf/>
    <ndxf/>
  </rcc>
  <rcc rId="8583" sId="1" odxf="1" dxf="1" numFmtId="19">
    <nc r="L666">
      <v>46239.069444444445</v>
    </nc>
    <odxf/>
    <ndxf/>
  </rcc>
  <rcc rId="8584" sId="1" odxf="1" dxf="1" numFmtId="19">
    <nc r="M666">
      <v>46240.173611111109</v>
    </nc>
    <odxf/>
    <ndxf/>
  </rcc>
  <rfmt sheetId="1" sqref="N666" start="0" length="0">
    <dxf/>
  </rfmt>
  <rfmt sheetId="1" sqref="O666" start="0" length="0">
    <dxf/>
  </rfmt>
  <rfmt sheetId="1" sqref="P666" start="0" length="0">
    <dxf/>
  </rfmt>
  <rfmt sheetId="1" sqref="Q666" start="0" length="0">
    <dxf/>
  </rfmt>
  <rfmt sheetId="1" sqref="R666" start="0" length="0">
    <dxf/>
  </rfmt>
  <rfmt sheetId="1" sqref="S666" start="0" length="0">
    <dxf/>
  </rfmt>
  <rfmt sheetId="1" sqref="T666" start="0" length="0">
    <dxf/>
  </rfmt>
  <rfmt sheetId="1" sqref="U666" start="0" length="0">
    <dxf/>
  </rfmt>
  <rfmt sheetId="1" sqref="V666" start="0" length="0">
    <dxf/>
  </rfmt>
  <rfmt sheetId="1" sqref="W666" start="0" length="0">
    <dxf/>
  </rfmt>
  <rfmt sheetId="1" sqref="X666" start="0" length="0">
    <dxf/>
  </rfmt>
  <rfmt sheetId="1" sqref="Y666" start="0" length="0">
    <dxf/>
  </rfmt>
  <rfmt sheetId="1" sqref="Z666" start="0" length="0">
    <dxf/>
  </rfmt>
  <rcc rId="8585" sId="1" odxf="1" dxf="1">
    <nc r="AA666" t="inlineStr">
      <is>
        <t>1</t>
      </is>
    </nc>
    <odxf/>
    <ndxf/>
  </rcc>
  <rcc rId="8586" sId="1" odxf="1" dxf="1">
    <nc r="AB666" t="inlineStr">
      <is>
        <t>0</t>
      </is>
    </nc>
    <odxf/>
    <ndxf/>
  </rcc>
  <rfmt sheetId="1" sqref="AC666" start="0" length="0">
    <dxf/>
  </rfmt>
  <rfmt sheetId="1" sqref="AD666" start="0" length="0">
    <dxf/>
  </rfmt>
  <rfmt sheetId="1" sqref="AE666" start="0" length="0">
    <dxf/>
  </rfmt>
  <rfmt sheetId="1" sqref="AF666" start="0" length="0">
    <dxf/>
  </rfmt>
  <rfmt sheetId="1" sqref="AG666" start="0" length="0">
    <dxf/>
  </rfmt>
  <rfmt sheetId="1" sqref="AH666" start="0" length="0">
    <dxf/>
  </rfmt>
  <rfmt sheetId="1" sqref="A666:XFD666" start="0" length="0">
    <dxf/>
  </rfmt>
  <rcc rId="8587" sId="1" odxf="1" dxf="1">
    <nc r="A667" t="inlineStr">
      <is>
        <t>Zone 3</t>
      </is>
    </nc>
    <odxf/>
    <ndxf/>
  </rcc>
  <rcc rId="8588" sId="1" odxf="1" dxf="1">
    <nc r="B667" t="inlineStr">
      <is>
        <t>Multivac 2</t>
      </is>
    </nc>
    <odxf/>
    <ndxf/>
  </rcc>
  <rcc rId="8589" sId="1" odxf="1" dxf="1">
    <nc r="C667">
      <v>4</v>
    </nc>
    <odxf/>
    <ndxf/>
  </rcc>
  <rfmt sheetId="1" sqref="D667" start="0" length="0">
    <dxf/>
  </rfmt>
  <rcc rId="8590" sId="1" odxf="1" dxf="1">
    <nc r="E667" t="inlineStr">
      <is>
        <t>W1028507/1</t>
      </is>
    </nc>
    <odxf/>
    <ndxf/>
  </rcc>
  <rcc rId="8591" sId="1" odxf="1" dxf="1">
    <nc r="F667" t="inlineStr">
      <is>
        <t>VER1/0270-1005</t>
      </is>
    </nc>
    <odxf/>
    <ndxf/>
  </rcc>
  <rcc rId="8592" sId="1" odxf="1" dxf="1">
    <nc r="G667" t="inlineStr">
      <is>
        <t>Single Use Gliderite Stylet</t>
      </is>
    </nc>
    <odxf/>
    <ndxf/>
  </rcc>
  <rcc rId="8593" sId="1" odxf="1" dxf="1">
    <nc r="H667">
      <v>106.68</v>
    </nc>
    <odxf/>
    <ndxf/>
  </rcc>
  <rcc rId="8594" sId="1" odxf="1" dxf="1">
    <nc r="I667">
      <v>26.67</v>
    </nc>
    <odxf/>
    <ndxf/>
  </rcc>
  <rcc rId="8595" sId="1" odxf="1" dxf="1">
    <nc r="J667">
      <v>1500</v>
    </nc>
    <odxf/>
    <ndxf/>
  </rcc>
  <rcc rId="8596" sId="1" odxf="1" dxf="1">
    <nc r="K667">
      <v>0</v>
    </nc>
    <odxf/>
    <ndxf/>
  </rcc>
  <rcc rId="8597" sId="1" odxf="1" dxf="1" numFmtId="19">
    <nc r="L667">
      <v>46240.180555555555</v>
    </nc>
    <odxf/>
    <ndxf/>
  </rcc>
  <rcc rId="8598" sId="1" odxf="1" dxf="1" numFmtId="19">
    <nc r="M667">
      <v>46241.284722222219</v>
    </nc>
    <odxf/>
    <ndxf/>
  </rcc>
  <rfmt sheetId="1" sqref="N667" start="0" length="0">
    <dxf/>
  </rfmt>
  <rfmt sheetId="1" sqref="O667" start="0" length="0">
    <dxf/>
  </rfmt>
  <rfmt sheetId="1" sqref="P667" start="0" length="0">
    <dxf/>
  </rfmt>
  <rfmt sheetId="1" sqref="Q667" start="0" length="0">
    <dxf/>
  </rfmt>
  <rfmt sheetId="1" sqref="R667" start="0" length="0">
    <dxf/>
  </rfmt>
  <rfmt sheetId="1" sqref="S667" start="0" length="0">
    <dxf/>
  </rfmt>
  <rfmt sheetId="1" sqref="T667" start="0" length="0">
    <dxf/>
  </rfmt>
  <rfmt sheetId="1" sqref="U667" start="0" length="0">
    <dxf/>
  </rfmt>
  <rfmt sheetId="1" sqref="V667" start="0" length="0">
    <dxf/>
  </rfmt>
  <rfmt sheetId="1" sqref="W667" start="0" length="0">
    <dxf/>
  </rfmt>
  <rfmt sheetId="1" sqref="X667" start="0" length="0">
    <dxf/>
  </rfmt>
  <rfmt sheetId="1" sqref="Y667" start="0" length="0">
    <dxf/>
  </rfmt>
  <rfmt sheetId="1" sqref="Z667" start="0" length="0">
    <dxf/>
  </rfmt>
  <rcc rId="8599" sId="1" odxf="1" dxf="1">
    <nc r="AA667" t="inlineStr">
      <is>
        <t>1</t>
      </is>
    </nc>
    <odxf/>
    <ndxf/>
  </rcc>
  <rcc rId="8600" sId="1" odxf="1" dxf="1">
    <nc r="AB667" t="inlineStr">
      <is>
        <t>0</t>
      </is>
    </nc>
    <odxf/>
    <ndxf/>
  </rcc>
  <rfmt sheetId="1" sqref="AC667" start="0" length="0">
    <dxf/>
  </rfmt>
  <rfmt sheetId="1" sqref="AD667" start="0" length="0">
    <dxf/>
  </rfmt>
  <rfmt sheetId="1" sqref="AE667" start="0" length="0">
    <dxf/>
  </rfmt>
  <rfmt sheetId="1" sqref="AF667" start="0" length="0">
    <dxf/>
  </rfmt>
  <rfmt sheetId="1" sqref="AG667" start="0" length="0">
    <dxf/>
  </rfmt>
  <rfmt sheetId="1" sqref="AH667" start="0" length="0">
    <dxf/>
  </rfmt>
  <rfmt sheetId="1" sqref="A667:XFD667" start="0" length="0">
    <dxf/>
  </rfmt>
  <rcc rId="8601" sId="1" odxf="1" dxf="1">
    <nc r="A668" t="inlineStr">
      <is>
        <t>Zone 3</t>
      </is>
    </nc>
    <odxf/>
    <ndxf/>
  </rcc>
  <rcc rId="8602" sId="1" odxf="1" dxf="1">
    <nc r="B668" t="inlineStr">
      <is>
        <t>Multivac 2</t>
      </is>
    </nc>
    <odxf/>
    <ndxf/>
  </rcc>
  <rcc rId="8603" sId="1" odxf="1" dxf="1">
    <nc r="C668">
      <v>4</v>
    </nc>
    <odxf/>
    <ndxf/>
  </rcc>
  <rfmt sheetId="1" sqref="D668" start="0" length="0">
    <dxf/>
  </rfmt>
  <rcc rId="8604" sId="1" odxf="1" dxf="1">
    <nc r="E668" t="inlineStr">
      <is>
        <t>W1028508/1</t>
      </is>
    </nc>
    <odxf/>
    <ndxf/>
  </rcc>
  <rcc rId="8605" sId="1" odxf="1" dxf="1">
    <nc r="F668" t="inlineStr">
      <is>
        <t>VER1/0270-1005</t>
      </is>
    </nc>
    <odxf/>
    <ndxf/>
  </rcc>
  <rcc rId="8606" sId="1" odxf="1" dxf="1">
    <nc r="G668" t="inlineStr">
      <is>
        <t>Single Use Gliderite Stylet</t>
      </is>
    </nc>
    <odxf/>
    <ndxf/>
  </rcc>
  <rcc rId="8607" sId="1" odxf="1" dxf="1">
    <nc r="H668">
      <v>106.68</v>
    </nc>
    <odxf/>
    <ndxf/>
  </rcc>
  <rcc rId="8608" sId="1" odxf="1" dxf="1">
    <nc r="I668">
      <v>26.67</v>
    </nc>
    <odxf/>
    <ndxf/>
  </rcc>
  <rcc rId="8609" sId="1" odxf="1" dxf="1">
    <nc r="J668">
      <v>1500</v>
    </nc>
    <odxf/>
    <ndxf/>
  </rcc>
  <rcc rId="8610" sId="1" odxf="1" dxf="1">
    <nc r="K668">
      <v>0</v>
    </nc>
    <odxf/>
    <ndxf/>
  </rcc>
  <rcc rId="8611" sId="1" odxf="1" dxf="1" numFmtId="19">
    <nc r="L668">
      <v>46241.291666666664</v>
    </nc>
    <odxf/>
    <ndxf/>
  </rcc>
  <rcc rId="8612" sId="1" odxf="1" dxf="1" numFmtId="19">
    <nc r="M668">
      <v>46242.395833333336</v>
    </nc>
    <odxf/>
    <ndxf/>
  </rcc>
  <rfmt sheetId="1" sqref="N668" start="0" length="0">
    <dxf/>
  </rfmt>
  <rfmt sheetId="1" sqref="O668" start="0" length="0">
    <dxf/>
  </rfmt>
  <rfmt sheetId="1" sqref="P668" start="0" length="0">
    <dxf/>
  </rfmt>
  <rfmt sheetId="1" sqref="Q668" start="0" length="0">
    <dxf/>
  </rfmt>
  <rfmt sheetId="1" sqref="R668" start="0" length="0">
    <dxf/>
  </rfmt>
  <rfmt sheetId="1" sqref="S668" start="0" length="0">
    <dxf/>
  </rfmt>
  <rfmt sheetId="1" sqref="T668" start="0" length="0">
    <dxf/>
  </rfmt>
  <rfmt sheetId="1" sqref="U668" start="0" length="0">
    <dxf/>
  </rfmt>
  <rfmt sheetId="1" sqref="V668" start="0" length="0">
    <dxf/>
  </rfmt>
  <rfmt sheetId="1" sqref="W668" start="0" length="0">
    <dxf/>
  </rfmt>
  <rfmt sheetId="1" sqref="X668" start="0" length="0">
    <dxf/>
  </rfmt>
  <rfmt sheetId="1" sqref="Y668" start="0" length="0">
    <dxf/>
  </rfmt>
  <rfmt sheetId="1" sqref="Z668" start="0" length="0">
    <dxf/>
  </rfmt>
  <rcc rId="8613" sId="1" odxf="1" dxf="1">
    <nc r="AA668" t="inlineStr">
      <is>
        <t>1</t>
      </is>
    </nc>
    <odxf/>
    <ndxf/>
  </rcc>
  <rcc rId="8614" sId="1" odxf="1" dxf="1">
    <nc r="AB668" t="inlineStr">
      <is>
        <t>0</t>
      </is>
    </nc>
    <odxf/>
    <ndxf/>
  </rcc>
  <rfmt sheetId="1" sqref="AC668" start="0" length="0">
    <dxf/>
  </rfmt>
  <rfmt sheetId="1" sqref="AD668" start="0" length="0">
    <dxf/>
  </rfmt>
  <rfmt sheetId="1" sqref="AE668" start="0" length="0">
    <dxf/>
  </rfmt>
  <rfmt sheetId="1" sqref="AF668" start="0" length="0">
    <dxf/>
  </rfmt>
  <rfmt sheetId="1" sqref="AG668" start="0" length="0">
    <dxf/>
  </rfmt>
  <rfmt sheetId="1" sqref="AH668" start="0" length="0">
    <dxf/>
  </rfmt>
  <rfmt sheetId="1" sqref="A668:XFD668" start="0" length="0">
    <dxf/>
  </rfmt>
  <rcc rId="8615" sId="1" odxf="1" dxf="1">
    <nc r="A669" t="inlineStr">
      <is>
        <t>Zone 3</t>
      </is>
    </nc>
    <odxf/>
    <ndxf/>
  </rcc>
  <rcc rId="8616" sId="1" odxf="1" dxf="1">
    <nc r="B669" t="inlineStr">
      <is>
        <t>Multivac 2</t>
      </is>
    </nc>
    <odxf/>
    <ndxf/>
  </rcc>
  <rcc rId="8617" sId="1" odxf="1" dxf="1">
    <nc r="C669">
      <v>4</v>
    </nc>
    <odxf/>
    <ndxf/>
  </rcc>
  <rfmt sheetId="1" sqref="D669" start="0" length="0">
    <dxf/>
  </rfmt>
  <rcc rId="8618" sId="1" odxf="1" dxf="1">
    <nc r="E669" t="inlineStr">
      <is>
        <t>W1028509/1</t>
      </is>
    </nc>
    <odxf/>
    <ndxf/>
  </rcc>
  <rcc rId="8619" sId="1" odxf="1" dxf="1">
    <nc r="F669" t="inlineStr">
      <is>
        <t>VER1/0270-1005</t>
      </is>
    </nc>
    <odxf/>
    <ndxf/>
  </rcc>
  <rcc rId="8620" sId="1" odxf="1" dxf="1">
    <nc r="G669" t="inlineStr">
      <is>
        <t>Single Use Gliderite Stylet</t>
      </is>
    </nc>
    <odxf/>
    <ndxf/>
  </rcc>
  <rcc rId="8621" sId="1" odxf="1" dxf="1">
    <nc r="H669">
      <v>106.68</v>
    </nc>
    <odxf/>
    <ndxf/>
  </rcc>
  <rcc rId="8622" sId="1" odxf="1" dxf="1">
    <nc r="I669">
      <v>26.67</v>
    </nc>
    <odxf/>
    <ndxf/>
  </rcc>
  <rcc rId="8623" sId="1" odxf="1" dxf="1">
    <nc r="J669">
      <v>1500</v>
    </nc>
    <odxf/>
    <ndxf/>
  </rcc>
  <rcc rId="8624" sId="1" odxf="1" dxf="1">
    <nc r="K669">
      <v>0</v>
    </nc>
    <odxf/>
    <ndxf/>
  </rcc>
  <rcc rId="8625" sId="1" odxf="1" dxf="1" numFmtId="19">
    <nc r="L669">
      <v>46244</v>
    </nc>
    <odxf/>
    <ndxf/>
  </rcc>
  <rcc rId="8626" sId="1" odxf="1" dxf="1" numFmtId="19">
    <nc r="M669">
      <v>46245.104166666664</v>
    </nc>
    <odxf/>
    <ndxf/>
  </rcc>
  <rfmt sheetId="1" sqref="N669" start="0" length="0">
    <dxf/>
  </rfmt>
  <rfmt sheetId="1" sqref="O669" start="0" length="0">
    <dxf/>
  </rfmt>
  <rfmt sheetId="1" sqref="P669" start="0" length="0">
    <dxf/>
  </rfmt>
  <rfmt sheetId="1" sqref="Q669" start="0" length="0">
    <dxf/>
  </rfmt>
  <rfmt sheetId="1" sqref="R669" start="0" length="0">
    <dxf/>
  </rfmt>
  <rfmt sheetId="1" sqref="S669" start="0" length="0">
    <dxf/>
  </rfmt>
  <rfmt sheetId="1" sqref="T669" start="0" length="0">
    <dxf/>
  </rfmt>
  <rfmt sheetId="1" sqref="U669" start="0" length="0">
    <dxf/>
  </rfmt>
  <rfmt sheetId="1" sqref="V669" start="0" length="0">
    <dxf/>
  </rfmt>
  <rfmt sheetId="1" sqref="W669" start="0" length="0">
    <dxf/>
  </rfmt>
  <rfmt sheetId="1" sqref="X669" start="0" length="0">
    <dxf/>
  </rfmt>
  <rfmt sheetId="1" sqref="Y669" start="0" length="0">
    <dxf/>
  </rfmt>
  <rfmt sheetId="1" sqref="Z669" start="0" length="0">
    <dxf/>
  </rfmt>
  <rcc rId="8627" sId="1" odxf="1" dxf="1">
    <nc r="AA669" t="inlineStr">
      <is>
        <t>1</t>
      </is>
    </nc>
    <odxf/>
    <ndxf/>
  </rcc>
  <rcc rId="8628" sId="1" odxf="1" dxf="1">
    <nc r="AB669" t="inlineStr">
      <is>
        <t>0</t>
      </is>
    </nc>
    <odxf/>
    <ndxf/>
  </rcc>
  <rfmt sheetId="1" sqref="AC669" start="0" length="0">
    <dxf/>
  </rfmt>
  <rfmt sheetId="1" sqref="AD669" start="0" length="0">
    <dxf/>
  </rfmt>
  <rfmt sheetId="1" sqref="AE669" start="0" length="0">
    <dxf/>
  </rfmt>
  <rfmt sheetId="1" sqref="AF669" start="0" length="0">
    <dxf/>
  </rfmt>
  <rfmt sheetId="1" sqref="AG669" start="0" length="0">
    <dxf/>
  </rfmt>
  <rfmt sheetId="1" sqref="AH669" start="0" length="0">
    <dxf/>
  </rfmt>
  <rfmt sheetId="1" sqref="A669:XFD669" start="0" length="0">
    <dxf/>
  </rfmt>
  <rcc rId="8629" sId="1" odxf="1" dxf="1">
    <nc r="A670" t="inlineStr">
      <is>
        <t>Zone 3</t>
      </is>
    </nc>
    <odxf/>
    <ndxf/>
  </rcc>
  <rcc rId="8630" sId="1" odxf="1" dxf="1">
    <nc r="B670" t="inlineStr">
      <is>
        <t>Multivac 2</t>
      </is>
    </nc>
    <odxf/>
    <ndxf/>
  </rcc>
  <rcc rId="8631" sId="1" odxf="1" dxf="1">
    <nc r="C670">
      <v>4</v>
    </nc>
    <odxf/>
    <ndxf/>
  </rcc>
  <rfmt sheetId="1" sqref="D670" start="0" length="0">
    <dxf/>
  </rfmt>
  <rcc rId="8632" sId="1" odxf="1" dxf="1">
    <nc r="E670" t="inlineStr">
      <is>
        <t>W1028510/1</t>
      </is>
    </nc>
    <odxf/>
    <ndxf/>
  </rcc>
  <rcc rId="8633" sId="1" odxf="1" dxf="1">
    <nc r="F670" t="inlineStr">
      <is>
        <t>VER1/0270-1005</t>
      </is>
    </nc>
    <odxf/>
    <ndxf/>
  </rcc>
  <rcc rId="8634" sId="1" odxf="1" dxf="1">
    <nc r="G670" t="inlineStr">
      <is>
        <t>Single Use Gliderite Stylet</t>
      </is>
    </nc>
    <odxf/>
    <ndxf/>
  </rcc>
  <rcc rId="8635" sId="1" odxf="1" dxf="1">
    <nc r="H670">
      <v>106.68</v>
    </nc>
    <odxf/>
    <ndxf/>
  </rcc>
  <rcc rId="8636" sId="1" odxf="1" dxf="1">
    <nc r="I670">
      <v>26.67</v>
    </nc>
    <odxf/>
    <ndxf/>
  </rcc>
  <rcc rId="8637" sId="1" odxf="1" dxf="1">
    <nc r="J670">
      <v>1500</v>
    </nc>
    <odxf/>
    <ndxf/>
  </rcc>
  <rcc rId="8638" sId="1" odxf="1" dxf="1">
    <nc r="K670">
      <v>0</v>
    </nc>
    <odxf/>
    <ndxf/>
  </rcc>
  <rcc rId="8639" sId="1" odxf="1" dxf="1" numFmtId="19">
    <nc r="L670">
      <v>46245.111111111109</v>
    </nc>
    <odxf/>
    <ndxf/>
  </rcc>
  <rcc rId="8640" sId="1" odxf="1" dxf="1" numFmtId="19">
    <nc r="M670">
      <v>46246.215277777781</v>
    </nc>
    <odxf/>
    <ndxf/>
  </rcc>
  <rfmt sheetId="1" sqref="N670" start="0" length="0">
    <dxf/>
  </rfmt>
  <rfmt sheetId="1" sqref="O670" start="0" length="0">
    <dxf/>
  </rfmt>
  <rfmt sheetId="1" sqref="P670" start="0" length="0">
    <dxf/>
  </rfmt>
  <rfmt sheetId="1" sqref="Q670" start="0" length="0">
    <dxf/>
  </rfmt>
  <rfmt sheetId="1" sqref="R670" start="0" length="0">
    <dxf/>
  </rfmt>
  <rfmt sheetId="1" sqref="S670" start="0" length="0">
    <dxf/>
  </rfmt>
  <rfmt sheetId="1" sqref="T670" start="0" length="0">
    <dxf/>
  </rfmt>
  <rfmt sheetId="1" sqref="U670" start="0" length="0">
    <dxf/>
  </rfmt>
  <rfmt sheetId="1" sqref="V670" start="0" length="0">
    <dxf/>
  </rfmt>
  <rfmt sheetId="1" sqref="W670" start="0" length="0">
    <dxf/>
  </rfmt>
  <rfmt sheetId="1" sqref="X670" start="0" length="0">
    <dxf/>
  </rfmt>
  <rfmt sheetId="1" sqref="Y670" start="0" length="0">
    <dxf/>
  </rfmt>
  <rfmt sheetId="1" sqref="Z670" start="0" length="0">
    <dxf/>
  </rfmt>
  <rcc rId="8641" sId="1" odxf="1" dxf="1">
    <nc r="AA670" t="inlineStr">
      <is>
        <t>1</t>
      </is>
    </nc>
    <odxf/>
    <ndxf/>
  </rcc>
  <rcc rId="8642" sId="1" odxf="1" dxf="1">
    <nc r="AB670" t="inlineStr">
      <is>
        <t>0</t>
      </is>
    </nc>
    <odxf/>
    <ndxf/>
  </rcc>
  <rfmt sheetId="1" sqref="AC670" start="0" length="0">
    <dxf/>
  </rfmt>
  <rfmt sheetId="1" sqref="AD670" start="0" length="0">
    <dxf/>
  </rfmt>
  <rfmt sheetId="1" sqref="AE670" start="0" length="0">
    <dxf/>
  </rfmt>
  <rfmt sheetId="1" sqref="AF670" start="0" length="0">
    <dxf/>
  </rfmt>
  <rfmt sheetId="1" sqref="AG670" start="0" length="0">
    <dxf/>
  </rfmt>
  <rfmt sheetId="1" sqref="AH670" start="0" length="0">
    <dxf/>
  </rfmt>
  <rfmt sheetId="1" sqref="A670:XFD670" start="0" length="0">
    <dxf/>
  </rfmt>
  <rrc rId="8643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W1027685/1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46208.958333333336</v>
      </nc>
      <ndxf>
        <numFmt numFmtId="164" formatCode="mm\-dd\-yyyy"/>
      </ndxf>
    </rcc>
    <rcc rId="0" sId="1" dxf="1" numFmtId="19">
      <nc r="M671">
        <v>46210.0625</v>
      </nc>
      <ndxf>
        <numFmt numFmtId="164" formatCode="mm\-dd\-yyyy"/>
      </ndxf>
    </rcc>
    <rcc rId="0" sId="1" dxf="1">
      <nc r="O671" t="inlineStr">
        <is>
          <t>P</t>
        </is>
      </nc>
      <ndxf>
        <fill>
          <patternFill patternType="solid">
            <bgColor rgb="FF00B050"/>
          </patternFill>
        </fill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44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 dxf="1">
      <nc r="E671" t="inlineStr">
        <is>
          <t>W1027686/1</t>
        </is>
      </nc>
      <ndxf>
        <fill>
          <patternFill patternType="solid">
            <bgColor theme="8" tint="0.39997558519241921"/>
          </patternFill>
        </fill>
      </ndxf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46210.069444444445</v>
      </nc>
      <ndxf>
        <numFmt numFmtId="164" formatCode="mm\-dd\-yyyy"/>
      </ndxf>
    </rcc>
    <rcc rId="0" sId="1" dxf="1" numFmtId="19">
      <nc r="M671">
        <v>46211.173611111109</v>
      </nc>
      <ndxf>
        <numFmt numFmtId="164" formatCode="mm\-dd\-yyyy"/>
      </ndxf>
    </rcc>
    <rfmt sheetId="1" sqref="N671" start="0" length="0">
      <dxf>
        <fill>
          <patternFill patternType="solid">
            <bgColor theme="8" tint="0.39997558519241921"/>
          </patternFill>
        </fill>
      </dxf>
    </rfmt>
    <rcc rId="0" sId="1" dxf="1">
      <nc r="O671" t="inlineStr">
        <is>
          <t>P</t>
        </is>
      </nc>
      <ndxf>
        <fill>
          <patternFill patternType="solid">
            <bgColor theme="8" tint="0.39997558519241921"/>
          </patternFill>
        </fill>
      </ndxf>
    </rcc>
    <rfmt sheetId="1" sqref="P671" start="0" length="0">
      <dxf>
        <fill>
          <patternFill patternType="solid">
            <bgColor theme="8" tint="0.39997558519241921"/>
          </patternFill>
        </fill>
      </dxf>
    </rfmt>
    <rfmt sheetId="1" sqref="Q671" start="0" length="0">
      <dxf>
        <fill>
          <patternFill patternType="solid">
            <bgColor theme="8" tint="0.39997558519241921"/>
          </patternFill>
        </fill>
      </dxf>
    </rfmt>
    <rfmt sheetId="1" sqref="R671" start="0" length="0">
      <dxf>
        <fill>
          <patternFill patternType="solid">
            <bgColor theme="8" tint="0.39997558519241921"/>
          </patternFill>
        </fill>
      </dxf>
    </rfmt>
    <rfmt sheetId="1" sqref="S671" start="0" length="0">
      <dxf>
        <fill>
          <patternFill patternType="solid">
            <bgColor theme="8" tint="0.39997558519241921"/>
          </patternFill>
        </fill>
      </dxf>
    </rfmt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45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W1027689/1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46211.180555555555</v>
      </nc>
      <ndxf>
        <numFmt numFmtId="164" formatCode="mm\-dd\-yyyy"/>
      </ndxf>
    </rcc>
    <rcc rId="0" sId="1" dxf="1" numFmtId="19">
      <nc r="M671">
        <v>46212.284722222219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46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W1027690/1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46212.291666666664</v>
      </nc>
      <ndxf>
        <numFmt numFmtId="164" formatCode="mm\-dd\-yyyy"/>
      </ndxf>
    </rcc>
    <rcc rId="0" sId="1" dxf="1" numFmtId="19">
      <nc r="M671">
        <v>46213.395833333336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47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W1027691/1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46213.402777777781</v>
      </nc>
      <ndxf>
        <numFmt numFmtId="164" formatCode="mm\-dd\-yyyy"/>
      </ndxf>
    </rcc>
    <rcc rId="0" sId="1" dxf="1" numFmtId="19">
      <nc r="M671">
        <v>46214.506944444445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48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W1027692/1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46214.513888888891</v>
      </nc>
      <ndxf>
        <numFmt numFmtId="164" formatCode="mm\-dd\-yyyy"/>
      </ndxf>
    </rcc>
    <rcc rId="0" sId="1" dxf="1" numFmtId="19">
      <nc r="M671">
        <v>46215.618055555555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49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 dxf="1">
      <nc r="E671" t="inlineStr">
        <is>
          <t>W1027693/1</t>
        </is>
      </nc>
      <ndxf>
        <border outline="0">
          <bottom style="medium">
            <color indexed="64"/>
          </bottom>
        </border>
      </ndxf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46215.625</v>
      </nc>
      <ndxf>
        <numFmt numFmtId="164" formatCode="mm\-dd\-yyyy"/>
      </ndxf>
    </rcc>
    <rcc rId="0" sId="1" dxf="1" numFmtId="19">
      <nc r="M671">
        <v>46216.729166666664</v>
      </nc>
      <ndxf>
        <numFmt numFmtId="164" formatCode="mm\-dd\-yyyy"/>
      </ndxf>
    </rcc>
    <rfmt sheetId="1" sqref="N671" start="0" length="0">
      <dxf>
        <border outline="0">
          <bottom style="medium">
            <color indexed="64"/>
          </bottom>
        </border>
      </dxf>
    </rfmt>
    <rfmt sheetId="1" sqref="O671" start="0" length="0">
      <dxf>
        <border outline="0">
          <bottom style="medium">
            <color indexed="64"/>
          </bottom>
        </border>
      </dxf>
    </rfmt>
    <rfmt sheetId="1" sqref="P671" start="0" length="0">
      <dxf>
        <border outline="0">
          <bottom style="medium">
            <color indexed="64"/>
          </bottom>
        </border>
      </dxf>
    </rfmt>
    <rfmt sheetId="1" sqref="Q671" start="0" length="0">
      <dxf>
        <border outline="0">
          <bottom style="medium">
            <color indexed="64"/>
          </bottom>
        </border>
      </dxf>
    </rfmt>
    <rfmt sheetId="1" sqref="R671" start="0" length="0">
      <dxf>
        <border outline="0">
          <bottom style="medium">
            <color indexed="64"/>
          </bottom>
        </border>
      </dxf>
    </rfmt>
    <rfmt sheetId="1" sqref="S671" start="0" length="0">
      <dxf>
        <border outline="0">
          <bottom style="medium">
            <color indexed="64"/>
          </bottom>
        </border>
      </dxf>
    </rfmt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50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W1027694/1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46216.736111111109</v>
      </nc>
      <ndxf>
        <numFmt numFmtId="164" formatCode="mm\-dd\-yyyy"/>
      </ndxf>
    </rcc>
    <rcc rId="0" sId="1" dxf="1" numFmtId="19">
      <nc r="M671">
        <v>46217.840277777781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51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W1027695/1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46217.847222222219</v>
      </nc>
      <ndxf>
        <numFmt numFmtId="164" formatCode="mm\-dd\-yyyy"/>
      </ndxf>
    </rcc>
    <rcc rId="0" sId="1" dxf="1" numFmtId="19">
      <nc r="M671">
        <v>46218.951388888891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52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W1027696/1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46218.958333333336</v>
      </nc>
      <ndxf>
        <numFmt numFmtId="164" formatCode="mm\-dd\-yyyy"/>
      </ndxf>
    </rcc>
    <rcc rId="0" sId="1" dxf="1" numFmtId="19">
      <nc r="M671">
        <v>46220.0625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53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W1027697/1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46220.069444444445</v>
      </nc>
      <ndxf>
        <numFmt numFmtId="164" formatCode="mm\-dd\-yyyy"/>
      </ndxf>
    </rcc>
    <rcc rId="0" sId="1" dxf="1" numFmtId="19">
      <nc r="M671">
        <v>46221.173611111109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54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W1029969/1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46221.180555555555</v>
      </nc>
      <ndxf>
        <numFmt numFmtId="164" formatCode="mm\-dd\-yyyy"/>
      </ndxf>
    </rcc>
    <rcc rId="0" sId="1" dxf="1" numFmtId="19">
      <nc r="M671">
        <v>46222.284722222219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55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6</v>
      </nc>
    </rcc>
    <rcc rId="0" sId="1">
      <nc r="E671" t="inlineStr">
        <is>
          <t>W1025983/1</t>
        </is>
      </nc>
    </rcc>
    <rcc rId="0" sId="1">
      <nc r="F671" t="inlineStr">
        <is>
          <t>SMI3/SUSTYQDA</t>
        </is>
      </nc>
    </rcc>
    <rcc rId="0" sId="1">
      <nc r="G671" t="inlineStr">
        <is>
          <t>SU Stylet QDA Test Pack</t>
        </is>
      </nc>
    </rcc>
    <rcc rId="0" sId="1">
      <nc r="H671">
        <v>0.3</v>
      </nc>
    </rcc>
    <rcc rId="0" sId="1">
      <nc r="I671">
        <v>0.05</v>
      </nc>
    </rcc>
    <rcc rId="0" sId="1">
      <nc r="J671">
        <v>5</v>
      </nc>
    </rcc>
    <rcc rId="0" sId="1">
      <nc r="K671">
        <v>0</v>
      </nc>
    </rcc>
    <rcc rId="0" sId="1" dxf="1" numFmtId="19">
      <nc r="L671">
        <v>46222.291666666664</v>
      </nc>
      <ndxf>
        <numFmt numFmtId="164" formatCode="mm\-dd\-yyyy"/>
      </ndxf>
    </rcc>
    <rcc rId="0" sId="1" dxf="1" numFmtId="19">
      <nc r="M671">
        <v>46222.291666666664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56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W1027698/1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46223</v>
      </nc>
      <ndxf>
        <numFmt numFmtId="164" formatCode="mm\-dd\-yyyy"/>
      </ndxf>
    </rcc>
    <rcc rId="0" sId="1" dxf="1" numFmtId="19">
      <nc r="M671">
        <v>46224.104166666664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57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W1027699/1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46224.111111111109</v>
      </nc>
      <ndxf>
        <numFmt numFmtId="164" formatCode="mm\-dd\-yyyy"/>
      </ndxf>
    </rcc>
    <rcc rId="0" sId="1" dxf="1" numFmtId="19">
      <nc r="M671">
        <v>46225.215277777781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58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W1027700/1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46225.222222222219</v>
      </nc>
      <ndxf>
        <numFmt numFmtId="164" formatCode="mm\-dd\-yyyy"/>
      </ndxf>
    </rcc>
    <rcc rId="0" sId="1" dxf="1" numFmtId="19">
      <nc r="M671">
        <v>46226.326388888891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59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W1027701/1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46226.333333333336</v>
      </nc>
      <ndxf>
        <numFmt numFmtId="164" formatCode="mm\-dd\-yyyy"/>
      </ndxf>
    </rcc>
    <rcc rId="0" sId="1" dxf="1" numFmtId="19">
      <nc r="M671">
        <v>46227.4375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60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W1027702/1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46227.444444444445</v>
      </nc>
      <ndxf>
        <numFmt numFmtId="164" formatCode="mm\-dd\-yyyy"/>
      </ndxf>
    </rcc>
    <rcc rId="0" sId="1" dxf="1" numFmtId="19">
      <nc r="M671">
        <v>46228.548611111109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61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W1027707/1</t>
        </is>
      </nc>
    </rcc>
    <rcc rId="0" sId="1">
      <nc r="F671" t="inlineStr">
        <is>
          <t>VER1/0270-1093</t>
        </is>
      </nc>
    </rcc>
    <rcc rId="0" sId="1">
      <nc r="G671" t="inlineStr">
        <is>
          <t>Pediatric SU Metal Stylet</t>
        </is>
      </nc>
    </rcc>
    <rcc rId="0" sId="1">
      <nc r="H671">
        <v>50</v>
      </nc>
    </rcc>
    <rcc rId="0" sId="1">
      <nc r="I671">
        <v>12.5</v>
      </nc>
    </rcc>
    <rcc rId="0" sId="1">
      <nc r="J671">
        <v>300</v>
      </nc>
    </rcc>
    <rcc rId="0" sId="1">
      <nc r="K671">
        <v>0</v>
      </nc>
    </rcc>
    <rcc rId="0" sId="1" dxf="1" numFmtId="19">
      <nc r="L671">
        <v>46228.555555555555</v>
      </nc>
      <ndxf>
        <numFmt numFmtId="164" formatCode="mm\-dd\-yyyy"/>
      </ndxf>
    </rcc>
    <rcc rId="0" sId="1" dxf="1" numFmtId="19">
      <nc r="M671">
        <v>46229.069444444445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62" sId="1" ref="A671:XFD671" action="deleteRow">
    <rfmt sheetId="1" xfDxf="1" sqref="A671:XFD671" start="0" length="0"/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W1027708/1</t>
        </is>
      </nc>
    </rcc>
    <rcc rId="0" sId="1">
      <nc r="F671" t="inlineStr">
        <is>
          <t>VER1/0270-1093</t>
        </is>
      </nc>
    </rcc>
    <rcc rId="0" sId="1">
      <nc r="G671" t="inlineStr">
        <is>
          <t>Pediatric SU Metal Stylet</t>
        </is>
      </nc>
    </rcc>
    <rcc rId="0" sId="1">
      <nc r="H671">
        <v>50</v>
      </nc>
    </rcc>
    <rcc rId="0" sId="1">
      <nc r="I671">
        <v>12.5</v>
      </nc>
    </rcc>
    <rcc rId="0" sId="1">
      <nc r="J671">
        <v>300</v>
      </nc>
    </rcc>
    <rcc rId="0" sId="1">
      <nc r="K671">
        <v>0</v>
      </nc>
    </rcc>
    <rcc rId="0" sId="1" dxf="1" numFmtId="19">
      <nc r="L671">
        <v>46229.076388888891</v>
      </nc>
      <ndxf>
        <numFmt numFmtId="164" formatCode="mm\-dd\-yyyy"/>
      </ndxf>
    </rcc>
    <rcc rId="0" sId="1" dxf="1" numFmtId="19">
      <nc r="M671">
        <v>46229.590277777781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rc rId="8663" sId="1" ref="A671:XFD671" action="deleteRow">
    <rfmt sheetId="1" xfDxf="1" sqref="A671:XFD671" start="0" length="0">
      <dxf>
        <border outline="0">
          <bottom style="thin">
            <color indexed="64"/>
          </bottom>
        </border>
      </dxf>
    </rfmt>
    <rcc rId="0" sId="1">
      <nc r="A671" t="inlineStr">
        <is>
          <t>Zone 3</t>
        </is>
      </nc>
    </rcc>
    <rcc rId="0" sId="1">
      <nc r="B671" t="inlineStr">
        <is>
          <t>Multivac 2</t>
        </is>
      </nc>
    </rcc>
    <rcc rId="0" sId="1">
      <nc r="C671">
        <v>4</v>
      </nc>
    </rcc>
    <rcc rId="0" sId="1">
      <nc r="E671" t="inlineStr">
        <is>
          <t>W1028500/1</t>
        </is>
      </nc>
    </rcc>
    <rcc rId="0" sId="1">
      <nc r="F671" t="inlineStr">
        <is>
          <t>VER1/0270-1005</t>
        </is>
      </nc>
    </rcc>
    <rcc rId="0" sId="1">
      <nc r="G671" t="inlineStr">
        <is>
          <t>Single Use Gliderite Stylet</t>
        </is>
      </nc>
    </rcc>
    <rcc rId="0" sId="1">
      <nc r="H671">
        <v>106.68</v>
      </nc>
    </rcc>
    <rcc rId="0" sId="1">
      <nc r="I671">
        <v>26.67</v>
      </nc>
    </rcc>
    <rcc rId="0" sId="1">
      <nc r="J671">
        <v>1500</v>
      </nc>
    </rcc>
    <rcc rId="0" sId="1">
      <nc r="K671">
        <v>0</v>
      </nc>
    </rcc>
    <rcc rId="0" sId="1" dxf="1" numFmtId="19">
      <nc r="L671">
        <v>46230</v>
      </nc>
      <ndxf>
        <numFmt numFmtId="164" formatCode="mm\-dd\-yyyy"/>
      </ndxf>
    </rcc>
    <rcc rId="0" sId="1" dxf="1" numFmtId="19">
      <nc r="M671">
        <v>46231.104166666664</v>
      </nc>
      <ndxf>
        <numFmt numFmtId="164" formatCode="mm\-dd\-yyyy"/>
      </ndxf>
    </rcc>
    <rcc rId="0" sId="1">
      <nc r="AA671" t="inlineStr">
        <is>
          <t>1</t>
        </is>
      </nc>
    </rcc>
    <rcc rId="0" sId="1">
      <nc r="AB671" t="inlineStr">
        <is>
          <t>0</t>
        </is>
      </nc>
    </rcc>
  </rrc>
  <rfmt sheetId="1" sqref="A670:XFD670" start="0" length="0">
    <dxf>
      <border>
        <bottom style="medium">
          <color indexed="64"/>
        </bottom>
      </border>
    </dxf>
  </rfmt>
  <rfmt sheetId="1" sqref="A660:XFD660" start="0" length="0">
    <dxf>
      <border>
        <bottom/>
      </border>
    </dxf>
  </rfmt>
  <rrc rId="8664" sId="1" ref="A653:XFD653" action="insertRow"/>
  <rm rId="8665" sheetId="1" source="A642:XFD642" destination="A653:XFD653" sourceSheetId="1">
    <rfmt sheetId="1" xfDxf="1" sqref="A653:XFD653" start="0" length="0"/>
    <rfmt sheetId="1" sqref="L653" start="0" length="0">
      <dxf>
        <numFmt numFmtId="164" formatCode="mm\-dd\-yyyy"/>
      </dxf>
    </rfmt>
    <rfmt sheetId="1" sqref="M653" start="0" length="0">
      <dxf>
        <numFmt numFmtId="164" formatCode="mm\-dd\-yyyy"/>
      </dxf>
    </rfmt>
  </rm>
  <rrc rId="8666" sId="1" ref="A642:XFD642" action="deleteRow">
    <rfmt sheetId="1" xfDxf="1" sqref="A642:XFD642" start="0" length="0"/>
    <rfmt sheetId="1" sqref="L642" start="0" length="0">
      <dxf>
        <numFmt numFmtId="164" formatCode="mm\-dd\-yyyy"/>
      </dxf>
    </rfmt>
    <rfmt sheetId="1" sqref="M642" start="0" length="0">
      <dxf>
        <numFmt numFmtId="164" formatCode="mm\-dd\-yyyy"/>
      </dxf>
    </rfmt>
  </rrc>
  <rfmt sheetId="1" sqref="A643:XFD643">
    <dxf>
      <fill>
        <patternFill patternType="none">
          <bgColor auto="1"/>
        </patternFill>
      </fill>
    </dxf>
  </rfmt>
  <rfmt sheetId="1" sqref="A642:XFD642">
    <dxf>
      <fill>
        <patternFill>
          <bgColor theme="8" tint="0.39997558519241921"/>
        </patternFill>
      </fill>
    </dxf>
  </rfmt>
  <rfmt sheetId="1" sqref="A721:XFD721" start="0" length="0">
    <dxf>
      <border>
        <bottom style="medium">
          <color indexed="64"/>
        </bottom>
      </border>
    </dxf>
  </rfmt>
  <rrc rId="8667" sId="1" ref="A718:XFD728" action="insertRow"/>
  <rcc rId="8668" sId="1" odxf="1" dxf="1">
    <nc r="A718" t="inlineStr">
      <is>
        <t>Zone 3</t>
      </is>
    </nc>
    <odxf/>
    <ndxf/>
  </rcc>
  <rcc rId="8669" sId="1" odxf="1" dxf="1">
    <nc r="B718" t="inlineStr">
      <is>
        <t>SC Sub Assembly</t>
      </is>
    </nc>
    <odxf/>
    <ndxf/>
  </rcc>
  <rcc rId="8670" sId="1" odxf="1" dxf="1">
    <nc r="C718">
      <v>3</v>
    </nc>
    <odxf/>
    <ndxf/>
  </rcc>
  <rfmt sheetId="1" sqref="D718" start="0" length="0">
    <dxf/>
  </rfmt>
  <rcc rId="8671" sId="1" odxf="1" dxf="1">
    <nc r="E718" t="inlineStr">
      <is>
        <t>W1027071/1</t>
      </is>
    </nc>
    <odxf>
      <fill>
        <patternFill patternType="none">
          <bgColor indexed="65"/>
        </patternFill>
      </fill>
    </odxf>
    <ndxf>
      <fill>
        <patternFill patternType="solid">
          <bgColor rgb="FFFFFF00"/>
        </patternFill>
      </fill>
    </ndxf>
  </rcc>
  <rcc rId="8672" sId="1" odxf="1" dxf="1">
    <nc r="F718" t="inlineStr">
      <is>
        <t>VER1/0142-1133</t>
      </is>
    </nc>
    <odxf/>
    <ndxf/>
  </rcc>
  <rcc rId="8673" sId="1" odxf="1" dxf="1">
    <nc r="G718" t="inlineStr">
      <is>
        <t>Sub-Assy,Irrigation, Orion</t>
      </is>
    </nc>
    <odxf/>
    <ndxf/>
  </rcc>
  <rcc rId="8674" sId="1" odxf="1" dxf="1">
    <nc r="H718">
      <v>216</v>
    </nc>
    <odxf/>
    <ndxf/>
  </rcc>
  <rcc rId="8675" sId="1" odxf="1" dxf="1">
    <nc r="I718">
      <v>9</v>
    </nc>
    <odxf/>
    <ndxf/>
  </rcc>
  <rcc rId="8676" sId="1" odxf="1" dxf="1">
    <nc r="J718">
      <v>5760</v>
    </nc>
    <odxf/>
    <ndxf/>
  </rcc>
  <rcc rId="8677" sId="1" odxf="1" dxf="1">
    <nc r="K718">
      <v>5040</v>
    </nc>
    <odxf/>
    <ndxf/>
  </rcc>
  <rcc rId="8678" sId="1" odxf="1" dxf="1" numFmtId="19">
    <nc r="L718">
      <v>46209.291666666664</v>
    </nc>
    <odxf/>
    <ndxf/>
  </rcc>
  <rcc rId="8679" sId="1" odxf="1" dxf="1" numFmtId="19">
    <nc r="M718">
      <v>46209.659722222219</v>
    </nc>
    <odxf/>
    <ndxf/>
  </rcc>
  <rfmt sheetId="1" sqref="N718" start="0" length="0">
    <dxf/>
  </rfmt>
  <rcc rId="8680" sId="1" odxf="1" dxf="1">
    <nc r="O718" t="inlineStr">
      <is>
        <t>P</t>
      </is>
    </nc>
    <odxf/>
    <ndxf/>
  </rcc>
  <rfmt sheetId="1" sqref="P718" start="0" length="0">
    <dxf/>
  </rfmt>
  <rfmt sheetId="1" sqref="Q718" start="0" length="0">
    <dxf/>
  </rfmt>
  <rfmt sheetId="1" sqref="R718" start="0" length="0">
    <dxf/>
  </rfmt>
  <rfmt sheetId="1" sqref="S718" start="0" length="0">
    <dxf/>
  </rfmt>
  <rfmt sheetId="1" sqref="T718" start="0" length="0">
    <dxf/>
  </rfmt>
  <rfmt sheetId="1" sqref="U718" start="0" length="0">
    <dxf/>
  </rfmt>
  <rfmt sheetId="1" sqref="V718" start="0" length="0">
    <dxf/>
  </rfmt>
  <rfmt sheetId="1" sqref="W718" start="0" length="0">
    <dxf/>
  </rfmt>
  <rfmt sheetId="1" sqref="X718" start="0" length="0">
    <dxf/>
  </rfmt>
  <rfmt sheetId="1" sqref="Y718" start="0" length="0">
    <dxf/>
  </rfmt>
  <rfmt sheetId="1" sqref="Z718" start="0" length="0">
    <dxf/>
  </rfmt>
  <rcc rId="8681" sId="1" odxf="1" dxf="1">
    <nc r="AA718" t="inlineStr">
      <is>
        <t>1</t>
      </is>
    </nc>
    <odxf/>
    <ndxf/>
  </rcc>
  <rcc rId="8682" sId="1" odxf="1" dxf="1">
    <nc r="AB718" t="inlineStr">
      <is>
        <t>0</t>
      </is>
    </nc>
    <odxf/>
    <ndxf/>
  </rcc>
  <rfmt sheetId="1" sqref="AC718" start="0" length="0">
    <dxf/>
  </rfmt>
  <rfmt sheetId="1" sqref="AD718" start="0" length="0">
    <dxf/>
  </rfmt>
  <rfmt sheetId="1" sqref="AE718" start="0" length="0">
    <dxf/>
  </rfmt>
  <rfmt sheetId="1" sqref="AF718" start="0" length="0">
    <dxf/>
  </rfmt>
  <rfmt sheetId="1" sqref="AG718" start="0" length="0">
    <dxf/>
  </rfmt>
  <rfmt sheetId="1" sqref="AH718" start="0" length="0">
    <dxf/>
  </rfmt>
  <rfmt sheetId="1" sqref="A718:XFD718" start="0" length="0">
    <dxf/>
  </rfmt>
  <rcc rId="8683" sId="1" odxf="1" dxf="1">
    <nc r="A719" t="inlineStr">
      <is>
        <t>Zone 3</t>
      </is>
    </nc>
    <odxf/>
    <ndxf/>
  </rcc>
  <rcc rId="8684" sId="1" odxf="1" dxf="1">
    <nc r="B719" t="inlineStr">
      <is>
        <t>SC Sub Assembly</t>
      </is>
    </nc>
    <odxf/>
    <ndxf/>
  </rcc>
  <rcc rId="8685" sId="1" odxf="1" dxf="1">
    <nc r="C719">
      <v>2</v>
    </nc>
    <odxf/>
    <ndxf/>
  </rcc>
  <rfmt sheetId="1" sqref="D719" start="0" length="0">
    <dxf/>
  </rfmt>
  <rcc rId="8686" sId="1" odxf="1" dxf="1">
    <nc r="E719" t="inlineStr">
      <is>
        <t>W1028235/1</t>
      </is>
    </nc>
    <odxf/>
    <ndxf/>
  </rcc>
  <rcc rId="8687" sId="1" odxf="1" dxf="1">
    <nc r="F719" t="inlineStr">
      <is>
        <t>VER3/0142-1166</t>
      </is>
    </nc>
    <odxf/>
    <ndxf/>
  </rcc>
  <rcc rId="8688" sId="1" odxf="1" dxf="1">
    <nc r="G719" t="inlineStr">
      <is>
        <t>Orion Sub-Assy, Yomura Stopcock</t>
      </is>
    </nc>
    <odxf/>
    <ndxf/>
  </rcc>
  <rcc rId="8689" sId="1" odxf="1" dxf="1">
    <nc r="H719">
      <v>2.8</v>
    </nc>
    <odxf/>
    <ndxf/>
  </rcc>
  <rcc rId="8690" sId="1" odxf="1" dxf="1">
    <nc r="I719">
      <v>1.4</v>
    </nc>
    <odxf/>
    <ndxf/>
  </rcc>
  <rcc rId="8691" sId="1" odxf="1" dxf="1">
    <nc r="J719">
      <v>210</v>
    </nc>
    <odxf/>
    <ndxf/>
  </rcc>
  <rcc rId="8692" sId="1" odxf="1" dxf="1">
    <nc r="K719">
      <v>0</v>
    </nc>
    <odxf/>
    <ndxf/>
  </rcc>
  <rcc rId="8693" sId="1" odxf="1" dxf="1" numFmtId="19">
    <nc r="L719">
      <v>46209.666666666664</v>
    </nc>
    <odxf/>
    <ndxf/>
  </rcc>
  <rcc rId="8694" sId="1" odxf="1" dxf="1" numFmtId="19">
    <nc r="M719">
      <v>46209.722222222219</v>
    </nc>
    <odxf/>
    <ndxf/>
  </rcc>
  <rfmt sheetId="1" sqref="N719" start="0" length="0">
    <dxf/>
  </rfmt>
  <rfmt sheetId="1" sqref="O719" start="0" length="0">
    <dxf/>
  </rfmt>
  <rfmt sheetId="1" sqref="P719" start="0" length="0">
    <dxf/>
  </rfmt>
  <rfmt sheetId="1" sqref="Q719" start="0" length="0">
    <dxf/>
  </rfmt>
  <rfmt sheetId="1" sqref="R719" start="0" length="0">
    <dxf/>
  </rfmt>
  <rfmt sheetId="1" sqref="S719" start="0" length="0">
    <dxf/>
  </rfmt>
  <rfmt sheetId="1" sqref="T719" start="0" length="0">
    <dxf/>
  </rfmt>
  <rfmt sheetId="1" sqref="U719" start="0" length="0">
    <dxf/>
  </rfmt>
  <rfmt sheetId="1" sqref="V719" start="0" length="0">
    <dxf/>
  </rfmt>
  <rfmt sheetId="1" sqref="W719" start="0" length="0">
    <dxf/>
  </rfmt>
  <rfmt sheetId="1" sqref="X719" start="0" length="0">
    <dxf/>
  </rfmt>
  <rfmt sheetId="1" sqref="Y719" start="0" length="0">
    <dxf/>
  </rfmt>
  <rfmt sheetId="1" sqref="Z719" start="0" length="0">
    <dxf/>
  </rfmt>
  <rcc rId="8695" sId="1" odxf="1" dxf="1">
    <nc r="AA719" t="inlineStr">
      <is>
        <t>1</t>
      </is>
    </nc>
    <odxf/>
    <ndxf/>
  </rcc>
  <rcc rId="8696" sId="1" odxf="1" dxf="1">
    <nc r="AB719" t="inlineStr">
      <is>
        <t>0</t>
      </is>
    </nc>
    <odxf/>
    <ndxf/>
  </rcc>
  <rfmt sheetId="1" sqref="AC719" start="0" length="0">
    <dxf/>
  </rfmt>
  <rfmt sheetId="1" sqref="AD719" start="0" length="0">
    <dxf/>
  </rfmt>
  <rfmt sheetId="1" sqref="AE719" start="0" length="0">
    <dxf/>
  </rfmt>
  <rfmt sheetId="1" sqref="AF719" start="0" length="0">
    <dxf/>
  </rfmt>
  <rfmt sheetId="1" sqref="AG719" start="0" length="0">
    <dxf/>
  </rfmt>
  <rfmt sheetId="1" sqref="AH719" start="0" length="0">
    <dxf/>
  </rfmt>
  <rfmt sheetId="1" sqref="A719:XFD719" start="0" length="0">
    <dxf/>
  </rfmt>
  <rcc rId="8697" sId="1" odxf="1" dxf="1">
    <nc r="A720" t="inlineStr">
      <is>
        <t>Zone 3</t>
      </is>
    </nc>
    <odxf/>
    <ndxf/>
  </rcc>
  <rcc rId="8698" sId="1" odxf="1" dxf="1">
    <nc r="B720" t="inlineStr">
      <is>
        <t>SC Sub Assembly</t>
      </is>
    </nc>
    <odxf/>
    <ndxf/>
  </rcc>
  <rcc rId="8699" sId="1" odxf="1" dxf="1">
    <nc r="C720">
      <v>3</v>
    </nc>
    <odxf/>
    <ndxf/>
  </rcc>
  <rfmt sheetId="1" sqref="D720" start="0" length="0">
    <dxf/>
  </rfmt>
  <rcc rId="8700" sId="1" odxf="1" dxf="1">
    <nc r="E720" t="inlineStr">
      <is>
        <t>W1022446/1</t>
      </is>
    </nc>
    <odxf/>
    <ndxf/>
  </rcc>
  <rcc rId="8701" sId="1" odxf="1" dxf="1">
    <nc r="F720" t="inlineStr">
      <is>
        <t>VER3/0142-1119</t>
      </is>
    </nc>
    <odxf/>
    <ndxf/>
  </rcc>
  <rcc rId="8702" sId="1" odxf="1" dxf="1">
    <nc r="G720" t="inlineStr">
      <is>
        <t>BFlex Sampler Bridge Assembly</t>
      </is>
    </nc>
    <odxf/>
    <ndxf/>
  </rcc>
  <rcc rId="8703" sId="1" odxf="1" dxf="1">
    <nc r="H720">
      <v>116.67</v>
    </nc>
    <odxf/>
    <ndxf/>
  </rcc>
  <rcc rId="8704" sId="1" odxf="1" dxf="1">
    <nc r="I720">
      <v>38.89</v>
    </nc>
    <odxf/>
    <ndxf/>
  </rcc>
  <rcc rId="8705" sId="1" odxf="1" dxf="1">
    <nc r="J720">
      <v>2800</v>
    </nc>
    <odxf/>
    <ndxf/>
  </rcc>
  <rcc rId="8706" sId="1" odxf="1" dxf="1">
    <nc r="K720">
      <v>0</v>
    </nc>
    <odxf/>
    <ndxf/>
  </rcc>
  <rcc rId="8707" sId="1" odxf="1" dxf="1" numFmtId="19">
    <nc r="L720">
      <v>46209.736111111109</v>
    </nc>
    <odxf/>
    <ndxf/>
  </rcc>
  <rcc rId="8708" sId="1" odxf="1" dxf="1" numFmtId="19">
    <nc r="M720">
      <v>46212.354166666664</v>
    </nc>
    <odxf/>
    <ndxf/>
  </rcc>
  <rfmt sheetId="1" sqref="N720" start="0" length="0">
    <dxf/>
  </rfmt>
  <rfmt sheetId="1" sqref="O720" start="0" length="0">
    <dxf/>
  </rfmt>
  <rfmt sheetId="1" sqref="P720" start="0" length="0">
    <dxf/>
  </rfmt>
  <rfmt sheetId="1" sqref="Q720" start="0" length="0">
    <dxf/>
  </rfmt>
  <rfmt sheetId="1" sqref="R720" start="0" length="0">
    <dxf/>
  </rfmt>
  <rfmt sheetId="1" sqref="S720" start="0" length="0">
    <dxf/>
  </rfmt>
  <rfmt sheetId="1" sqref="T720" start="0" length="0">
    <dxf/>
  </rfmt>
  <rfmt sheetId="1" sqref="U720" start="0" length="0">
    <dxf/>
  </rfmt>
  <rfmt sheetId="1" sqref="V720" start="0" length="0">
    <dxf/>
  </rfmt>
  <rfmt sheetId="1" sqref="W720" start="0" length="0">
    <dxf/>
  </rfmt>
  <rfmt sheetId="1" sqref="X720" start="0" length="0">
    <dxf/>
  </rfmt>
  <rfmt sheetId="1" sqref="Y720" start="0" length="0">
    <dxf/>
  </rfmt>
  <rfmt sheetId="1" sqref="Z720" start="0" length="0">
    <dxf/>
  </rfmt>
  <rcc rId="8709" sId="1" odxf="1" dxf="1">
    <nc r="AA720" t="inlineStr">
      <is>
        <t>1</t>
      </is>
    </nc>
    <odxf/>
    <ndxf/>
  </rcc>
  <rcc rId="8710" sId="1" odxf="1" dxf="1">
    <nc r="AB720" t="inlineStr">
      <is>
        <t>0</t>
      </is>
    </nc>
    <odxf/>
    <ndxf/>
  </rcc>
  <rfmt sheetId="1" sqref="AC720" start="0" length="0">
    <dxf/>
  </rfmt>
  <rfmt sheetId="1" sqref="AD720" start="0" length="0">
    <dxf/>
  </rfmt>
  <rfmt sheetId="1" sqref="AE720" start="0" length="0">
    <dxf/>
  </rfmt>
  <rfmt sheetId="1" sqref="AF720" start="0" length="0">
    <dxf/>
  </rfmt>
  <rfmt sheetId="1" sqref="AG720" start="0" length="0">
    <dxf/>
  </rfmt>
  <rfmt sheetId="1" sqref="AH720" start="0" length="0">
    <dxf/>
  </rfmt>
  <rfmt sheetId="1" sqref="A720:XFD720" start="0" length="0">
    <dxf/>
  </rfmt>
  <rcc rId="8711" sId="1" odxf="1" dxf="1">
    <nc r="A721" t="inlineStr">
      <is>
        <t>Zone 3</t>
      </is>
    </nc>
    <odxf/>
    <ndxf/>
  </rcc>
  <rcc rId="8712" sId="1" odxf="1" dxf="1">
    <nc r="B721" t="inlineStr">
      <is>
        <t>SC Sub Assembly</t>
      </is>
    </nc>
    <odxf/>
    <ndxf/>
  </rcc>
  <rcc rId="8713" sId="1" odxf="1" dxf="1">
    <nc r="C721">
      <v>2</v>
    </nc>
    <odxf/>
    <ndxf/>
  </rcc>
  <rfmt sheetId="1" sqref="D721" start="0" length="0">
    <dxf/>
  </rfmt>
  <rcc rId="8714" sId="1" odxf="1" dxf="1">
    <nc r="E721" t="inlineStr">
      <is>
        <t>W1029480/1</t>
      </is>
    </nc>
    <odxf>
      <border outline="0">
        <bottom/>
      </border>
    </odxf>
    <ndxf>
      <border outline="0">
        <bottom style="medium">
          <color indexed="64"/>
        </bottom>
      </border>
    </ndxf>
  </rcc>
  <rcc rId="8715" sId="1" odxf="1" dxf="1">
    <nc r="F721" t="inlineStr">
      <is>
        <t>VER3/0142-1120</t>
      </is>
    </nc>
    <odxf/>
    <ndxf/>
  </rcc>
  <rcc rId="8716" sId="1" odxf="1" dxf="1">
    <nc r="G721" t="inlineStr">
      <is>
        <t>BFlex Sampler Container Sub Assembly</t>
      </is>
    </nc>
    <odxf/>
    <ndxf/>
  </rcc>
  <rcc rId="8717" sId="1" odxf="1" dxf="1">
    <nc r="H721">
      <v>56</v>
    </nc>
    <odxf/>
    <ndxf/>
  </rcc>
  <rcc rId="8718" sId="1" odxf="1" dxf="1">
    <nc r="I721">
      <v>28</v>
    </nc>
    <odxf/>
    <ndxf/>
  </rcc>
  <rcc rId="8719" sId="1" odxf="1" dxf="1">
    <nc r="J721">
      <v>4200</v>
    </nc>
    <odxf/>
    <ndxf/>
  </rcc>
  <rcc rId="8720" sId="1" odxf="1" dxf="1">
    <nc r="K721">
      <v>0</v>
    </nc>
    <odxf/>
    <ndxf/>
  </rcc>
  <rcc rId="8721" sId="1" odxf="1" dxf="1" numFmtId="19">
    <nc r="L721">
      <v>46212.361111111109</v>
    </nc>
    <odxf/>
    <ndxf/>
  </rcc>
  <rcc rId="8722" sId="1" odxf="1" dxf="1" numFmtId="19">
    <nc r="M721">
      <v>46213.854166666664</v>
    </nc>
    <odxf/>
    <ndxf/>
  </rcc>
  <rfmt sheetId="1" sqref="N721" start="0" length="0">
    <dxf>
      <border outline="0">
        <bottom style="medium">
          <color indexed="64"/>
        </bottom>
      </border>
    </dxf>
  </rfmt>
  <rfmt sheetId="1" sqref="O721" start="0" length="0">
    <dxf>
      <border outline="0">
        <bottom style="medium">
          <color indexed="64"/>
        </bottom>
      </border>
    </dxf>
  </rfmt>
  <rfmt sheetId="1" sqref="P721" start="0" length="0">
    <dxf>
      <border outline="0">
        <bottom style="medium">
          <color indexed="64"/>
        </bottom>
      </border>
    </dxf>
  </rfmt>
  <rfmt sheetId="1" sqref="Q721" start="0" length="0">
    <dxf>
      <border outline="0">
        <bottom style="medium">
          <color indexed="64"/>
        </bottom>
      </border>
    </dxf>
  </rfmt>
  <rfmt sheetId="1" sqref="R721" start="0" length="0">
    <dxf>
      <border outline="0">
        <bottom style="medium">
          <color indexed="64"/>
        </bottom>
      </border>
    </dxf>
  </rfmt>
  <rfmt sheetId="1" sqref="S721" start="0" length="0">
    <dxf>
      <border outline="0">
        <bottom style="medium">
          <color indexed="64"/>
        </bottom>
      </border>
    </dxf>
  </rfmt>
  <rfmt sheetId="1" sqref="T721" start="0" length="0">
    <dxf/>
  </rfmt>
  <rfmt sheetId="1" sqref="U721" start="0" length="0">
    <dxf/>
  </rfmt>
  <rfmt sheetId="1" sqref="V721" start="0" length="0">
    <dxf/>
  </rfmt>
  <rfmt sheetId="1" sqref="W721" start="0" length="0">
    <dxf/>
  </rfmt>
  <rfmt sheetId="1" sqref="X721" start="0" length="0">
    <dxf/>
  </rfmt>
  <rfmt sheetId="1" sqref="Y721" start="0" length="0">
    <dxf/>
  </rfmt>
  <rfmt sheetId="1" sqref="Z721" start="0" length="0">
    <dxf/>
  </rfmt>
  <rcc rId="8723" sId="1" odxf="1" dxf="1">
    <nc r="AA721" t="inlineStr">
      <is>
        <t>1</t>
      </is>
    </nc>
    <odxf/>
    <ndxf/>
  </rcc>
  <rcc rId="8724" sId="1" odxf="1" dxf="1">
    <nc r="AB721" t="inlineStr">
      <is>
        <t>0</t>
      </is>
    </nc>
    <odxf/>
    <ndxf/>
  </rcc>
  <rfmt sheetId="1" sqref="AC721" start="0" length="0">
    <dxf/>
  </rfmt>
  <rfmt sheetId="1" sqref="AD721" start="0" length="0">
    <dxf/>
  </rfmt>
  <rfmt sheetId="1" sqref="AE721" start="0" length="0">
    <dxf/>
  </rfmt>
  <rfmt sheetId="1" sqref="AF721" start="0" length="0">
    <dxf/>
  </rfmt>
  <rfmt sheetId="1" sqref="AG721" start="0" length="0">
    <dxf/>
  </rfmt>
  <rfmt sheetId="1" sqref="AH721" start="0" length="0">
    <dxf/>
  </rfmt>
  <rfmt sheetId="1" sqref="A721:XFD721" start="0" length="0">
    <dxf/>
  </rfmt>
  <rcc rId="8725" sId="1" odxf="1" dxf="1">
    <nc r="A722" t="inlineStr">
      <is>
        <t>Zone 3</t>
      </is>
    </nc>
    <odxf/>
    <ndxf/>
  </rcc>
  <rcc rId="8726" sId="1" odxf="1" dxf="1">
    <nc r="B722" t="inlineStr">
      <is>
        <t>SC Sub Assembly</t>
      </is>
    </nc>
    <odxf/>
    <ndxf/>
  </rcc>
  <rcc rId="8727" sId="1" odxf="1" dxf="1">
    <nc r="C722">
      <v>2</v>
    </nc>
    <odxf/>
    <ndxf/>
  </rcc>
  <rfmt sheetId="1" sqref="D722" start="0" length="0">
    <dxf/>
  </rfmt>
  <rcc rId="8728" sId="1" odxf="1" dxf="1">
    <nc r="E722" t="inlineStr">
      <is>
        <t>W1030261/SAM</t>
      </is>
    </nc>
    <odxf/>
    <ndxf/>
  </rcc>
  <rcc rId="8729" sId="1" odxf="1" dxf="1">
    <nc r="F722" t="inlineStr">
      <is>
        <t>VER3/0142-1120</t>
      </is>
    </nc>
    <odxf/>
    <ndxf/>
  </rcc>
  <rcc rId="8730" sId="1" odxf="1" dxf="1">
    <nc r="G722" t="inlineStr">
      <is>
        <t>BFlex Sampler Container Sub Assembly</t>
      </is>
    </nc>
    <odxf/>
    <ndxf/>
  </rcc>
  <rcc rId="8731" sId="1" odxf="1" dxf="1">
    <nc r="H722">
      <v>2</v>
    </nc>
    <odxf/>
    <ndxf/>
  </rcc>
  <rcc rId="8732" sId="1" odxf="1" dxf="1">
    <nc r="I722">
      <v>1</v>
    </nc>
    <odxf/>
    <ndxf/>
  </rcc>
  <rcc rId="8733" sId="1" odxf="1" dxf="1">
    <nc r="J722">
      <v>150</v>
    </nc>
    <odxf/>
    <ndxf/>
  </rcc>
  <rcc rId="8734" sId="1" odxf="1" dxf="1">
    <nc r="K722">
      <v>0</v>
    </nc>
    <odxf/>
    <ndxf/>
  </rcc>
  <rcc rId="8735" sId="1" odxf="1" dxf="1" numFmtId="19">
    <nc r="L722">
      <v>46216.291666666664</v>
    </nc>
    <odxf/>
    <ndxf/>
  </rcc>
  <rcc rId="8736" sId="1" odxf="1" dxf="1" numFmtId="19">
    <nc r="M722">
      <v>46216.326388888891</v>
    </nc>
    <odxf/>
    <ndxf/>
  </rcc>
  <rfmt sheetId="1" sqref="N722" start="0" length="0">
    <dxf/>
  </rfmt>
  <rfmt sheetId="1" sqref="O722" start="0" length="0">
    <dxf/>
  </rfmt>
  <rfmt sheetId="1" sqref="P722" start="0" length="0">
    <dxf/>
  </rfmt>
  <rfmt sheetId="1" sqref="Q722" start="0" length="0">
    <dxf/>
  </rfmt>
  <rfmt sheetId="1" sqref="R722" start="0" length="0">
    <dxf/>
  </rfmt>
  <rfmt sheetId="1" sqref="S722" start="0" length="0">
    <dxf/>
  </rfmt>
  <rfmt sheetId="1" sqref="T722" start="0" length="0">
    <dxf/>
  </rfmt>
  <rfmt sheetId="1" sqref="U722" start="0" length="0">
    <dxf/>
  </rfmt>
  <rfmt sheetId="1" sqref="V722" start="0" length="0">
    <dxf/>
  </rfmt>
  <rfmt sheetId="1" sqref="W722" start="0" length="0">
    <dxf/>
  </rfmt>
  <rfmt sheetId="1" sqref="X722" start="0" length="0">
    <dxf/>
  </rfmt>
  <rfmt sheetId="1" sqref="Y722" start="0" length="0">
    <dxf/>
  </rfmt>
  <rfmt sheetId="1" sqref="Z722" start="0" length="0">
    <dxf/>
  </rfmt>
  <rcc rId="8737" sId="1" odxf="1" dxf="1">
    <nc r="AA722" t="inlineStr">
      <is>
        <t>SAM</t>
      </is>
    </nc>
    <odxf/>
    <ndxf/>
  </rcc>
  <rcc rId="8738" sId="1" odxf="1" dxf="1">
    <nc r="AB722" t="inlineStr">
      <is>
        <t>0</t>
      </is>
    </nc>
    <odxf/>
    <ndxf/>
  </rcc>
  <rfmt sheetId="1" sqref="AC722" start="0" length="0">
    <dxf/>
  </rfmt>
  <rfmt sheetId="1" sqref="AD722" start="0" length="0">
    <dxf/>
  </rfmt>
  <rfmt sheetId="1" sqref="AE722" start="0" length="0">
    <dxf/>
  </rfmt>
  <rfmt sheetId="1" sqref="AF722" start="0" length="0">
    <dxf/>
  </rfmt>
  <rfmt sheetId="1" sqref="AG722" start="0" length="0">
    <dxf/>
  </rfmt>
  <rfmt sheetId="1" sqref="AH722" start="0" length="0">
    <dxf/>
  </rfmt>
  <rfmt sheetId="1" sqref="A722:XFD722" start="0" length="0">
    <dxf/>
  </rfmt>
  <rcc rId="8739" sId="1" odxf="1" dxf="1">
    <nc r="A723" t="inlineStr">
      <is>
        <t>Zone 3</t>
      </is>
    </nc>
    <odxf/>
    <ndxf/>
  </rcc>
  <rcc rId="8740" sId="1" odxf="1" dxf="1">
    <nc r="B723" t="inlineStr">
      <is>
        <t>SC Sub Assembly</t>
      </is>
    </nc>
    <odxf/>
    <ndxf/>
  </rcc>
  <rcc rId="8741" sId="1" odxf="1" dxf="1">
    <nc r="C723">
      <v>2</v>
    </nc>
    <odxf/>
    <ndxf/>
  </rcc>
  <rfmt sheetId="1" sqref="D723" start="0" length="0">
    <dxf/>
  </rfmt>
  <rcc rId="8742" sId="1" odxf="1" dxf="1">
    <nc r="E723" t="inlineStr">
      <is>
        <t>W1030245/PV1</t>
      </is>
    </nc>
    <odxf/>
    <ndxf/>
  </rcc>
  <rcc rId="8743" sId="1" odxf="1" dxf="1">
    <nc r="F723" t="inlineStr">
      <is>
        <t>VER3/0142-1134</t>
      </is>
    </nc>
    <odxf/>
    <ndxf/>
  </rcc>
  <rcc rId="8744" sId="1" odxf="1" dxf="1">
    <nc r="G723" t="inlineStr">
      <is>
        <t>Orion Sub-Assy, Stopcock</t>
      </is>
    </nc>
    <odxf/>
    <ndxf/>
  </rcc>
  <rcc rId="8745" sId="1" odxf="1" dxf="1">
    <nc r="H723">
      <v>6.66</v>
    </nc>
    <odxf/>
    <ndxf/>
  </rcc>
  <rcc rId="8746" sId="1" odxf="1" dxf="1">
    <nc r="I723">
      <v>3.33</v>
    </nc>
    <odxf/>
    <ndxf/>
  </rcc>
  <rcc rId="8747" sId="1" odxf="1" dxf="1">
    <nc r="J723">
      <v>500</v>
    </nc>
    <odxf/>
    <ndxf/>
  </rcc>
  <rcc rId="8748" sId="1" odxf="1" dxf="1">
    <nc r="K723">
      <v>0</v>
    </nc>
    <odxf/>
    <ndxf/>
  </rcc>
  <rcc rId="8749" sId="1" odxf="1" dxf="1" numFmtId="19">
    <nc r="L723">
      <v>46216.333333333336</v>
    </nc>
    <odxf/>
    <ndxf/>
  </rcc>
  <rcc rId="8750" sId="1" odxf="1" dxf="1" numFmtId="19">
    <nc r="M723">
      <v>46216.465277777781</v>
    </nc>
    <odxf/>
    <ndxf/>
  </rcc>
  <rfmt sheetId="1" sqref="N723" start="0" length="0">
    <dxf/>
  </rfmt>
  <rfmt sheetId="1" sqref="O723" start="0" length="0">
    <dxf/>
  </rfmt>
  <rfmt sheetId="1" sqref="P723" start="0" length="0">
    <dxf/>
  </rfmt>
  <rfmt sheetId="1" sqref="Q723" start="0" length="0">
    <dxf/>
  </rfmt>
  <rfmt sheetId="1" sqref="R723" start="0" length="0">
    <dxf/>
  </rfmt>
  <rfmt sheetId="1" sqref="S723" start="0" length="0">
    <dxf/>
  </rfmt>
  <rfmt sheetId="1" sqref="T723" start="0" length="0">
    <dxf/>
  </rfmt>
  <rfmt sheetId="1" sqref="U723" start="0" length="0">
    <dxf/>
  </rfmt>
  <rfmt sheetId="1" sqref="V723" start="0" length="0">
    <dxf/>
  </rfmt>
  <rfmt sheetId="1" sqref="W723" start="0" length="0">
    <dxf/>
  </rfmt>
  <rfmt sheetId="1" sqref="X723" start="0" length="0">
    <dxf/>
  </rfmt>
  <rfmt sheetId="1" sqref="Y723" start="0" length="0">
    <dxf/>
  </rfmt>
  <rfmt sheetId="1" sqref="Z723" start="0" length="0">
    <dxf/>
  </rfmt>
  <rcc rId="8751" sId="1" odxf="1" dxf="1">
    <nc r="AA723" t="inlineStr">
      <is>
        <t>PV1</t>
      </is>
    </nc>
    <odxf/>
    <ndxf/>
  </rcc>
  <rcc rId="8752" sId="1" odxf="1" dxf="1">
    <nc r="AB723" t="inlineStr">
      <is>
        <t>0</t>
      </is>
    </nc>
    <odxf/>
    <ndxf/>
  </rcc>
  <rfmt sheetId="1" sqref="AC723" start="0" length="0">
    <dxf/>
  </rfmt>
  <rfmt sheetId="1" sqref="AD723" start="0" length="0">
    <dxf/>
  </rfmt>
  <rfmt sheetId="1" sqref="AE723" start="0" length="0">
    <dxf/>
  </rfmt>
  <rfmt sheetId="1" sqref="AF723" start="0" length="0">
    <dxf/>
  </rfmt>
  <rfmt sheetId="1" sqref="AG723" start="0" length="0">
    <dxf/>
  </rfmt>
  <rfmt sheetId="1" sqref="AH723" start="0" length="0">
    <dxf/>
  </rfmt>
  <rfmt sheetId="1" sqref="A723:XFD723" start="0" length="0">
    <dxf/>
  </rfmt>
  <rcc rId="8753" sId="1" odxf="1" dxf="1">
    <nc r="A724" t="inlineStr">
      <is>
        <t>Zone 3</t>
      </is>
    </nc>
    <odxf/>
    <ndxf/>
  </rcc>
  <rcc rId="8754" sId="1" odxf="1" dxf="1">
    <nc r="B724" t="inlineStr">
      <is>
        <t>SC Sub Assembly</t>
      </is>
    </nc>
    <odxf/>
    <ndxf/>
  </rcc>
  <rcc rId="8755" sId="1" odxf="1" dxf="1">
    <nc r="C724">
      <v>2</v>
    </nc>
    <odxf/>
    <ndxf/>
  </rcc>
  <rfmt sheetId="1" sqref="D724" start="0" length="0">
    <dxf/>
  </rfmt>
  <rcc rId="8756" sId="1" odxf="1" dxf="1">
    <nc r="E724" t="inlineStr">
      <is>
        <t>W1030247/PV2</t>
      </is>
    </nc>
    <odxf/>
    <ndxf/>
  </rcc>
  <rcc rId="8757" sId="1" odxf="1" dxf="1">
    <nc r="F724" t="inlineStr">
      <is>
        <t>VER3/0142-1134</t>
      </is>
    </nc>
    <odxf/>
    <ndxf/>
  </rcc>
  <rcc rId="8758" sId="1" odxf="1" dxf="1">
    <nc r="G724" t="inlineStr">
      <is>
        <t>Orion Sub-Assy, Stopcock</t>
      </is>
    </nc>
    <odxf/>
    <ndxf/>
  </rcc>
  <rcc rId="8759" sId="1" odxf="1" dxf="1">
    <nc r="H724">
      <v>6.66</v>
    </nc>
    <odxf/>
    <ndxf/>
  </rcc>
  <rcc rId="8760" sId="1" odxf="1" dxf="1">
    <nc r="I724">
      <v>3.33</v>
    </nc>
    <odxf/>
    <ndxf/>
  </rcc>
  <rcc rId="8761" sId="1" odxf="1" dxf="1">
    <nc r="J724">
      <v>500</v>
    </nc>
    <odxf/>
    <ndxf/>
  </rcc>
  <rcc rId="8762" sId="1" odxf="1" dxf="1">
    <nc r="K724">
      <v>0</v>
    </nc>
    <odxf/>
    <ndxf/>
  </rcc>
  <rcc rId="8763" sId="1" odxf="1" dxf="1" numFmtId="19">
    <nc r="L724">
      <v>46216.472222222219</v>
    </nc>
    <odxf/>
    <ndxf/>
  </rcc>
  <rcc rId="8764" sId="1" odxf="1" dxf="1" numFmtId="19">
    <nc r="M724">
      <v>46216.604166666664</v>
    </nc>
    <odxf/>
    <ndxf/>
  </rcc>
  <rfmt sheetId="1" sqref="N724" start="0" length="0">
    <dxf/>
  </rfmt>
  <rfmt sheetId="1" sqref="O724" start="0" length="0">
    <dxf/>
  </rfmt>
  <rfmt sheetId="1" sqref="P724" start="0" length="0">
    <dxf/>
  </rfmt>
  <rfmt sheetId="1" sqref="Q724" start="0" length="0">
    <dxf/>
  </rfmt>
  <rfmt sheetId="1" sqref="R724" start="0" length="0">
    <dxf/>
  </rfmt>
  <rfmt sheetId="1" sqref="S724" start="0" length="0">
    <dxf/>
  </rfmt>
  <rfmt sheetId="1" sqref="T724" start="0" length="0">
    <dxf/>
  </rfmt>
  <rfmt sheetId="1" sqref="U724" start="0" length="0">
    <dxf/>
  </rfmt>
  <rfmt sheetId="1" sqref="V724" start="0" length="0">
    <dxf/>
  </rfmt>
  <rfmt sheetId="1" sqref="W724" start="0" length="0">
    <dxf/>
  </rfmt>
  <rfmt sheetId="1" sqref="X724" start="0" length="0">
    <dxf/>
  </rfmt>
  <rfmt sheetId="1" sqref="Y724" start="0" length="0">
    <dxf/>
  </rfmt>
  <rfmt sheetId="1" sqref="Z724" start="0" length="0">
    <dxf/>
  </rfmt>
  <rcc rId="8765" sId="1" odxf="1" dxf="1">
    <nc r="AA724" t="inlineStr">
      <is>
        <t>PV2</t>
      </is>
    </nc>
    <odxf/>
    <ndxf/>
  </rcc>
  <rcc rId="8766" sId="1" odxf="1" dxf="1">
    <nc r="AB724" t="inlineStr">
      <is>
        <t>0</t>
      </is>
    </nc>
    <odxf/>
    <ndxf/>
  </rcc>
  <rfmt sheetId="1" sqref="AC724" start="0" length="0">
    <dxf/>
  </rfmt>
  <rfmt sheetId="1" sqref="AD724" start="0" length="0">
    <dxf/>
  </rfmt>
  <rfmt sheetId="1" sqref="AE724" start="0" length="0">
    <dxf/>
  </rfmt>
  <rfmt sheetId="1" sqref="AF724" start="0" length="0">
    <dxf/>
  </rfmt>
  <rfmt sheetId="1" sqref="AG724" start="0" length="0">
    <dxf/>
  </rfmt>
  <rfmt sheetId="1" sqref="AH724" start="0" length="0">
    <dxf/>
  </rfmt>
  <rfmt sheetId="1" sqref="A724:XFD724" start="0" length="0">
    <dxf/>
  </rfmt>
  <rcc rId="8767" sId="1" odxf="1" dxf="1">
    <nc r="A725" t="inlineStr">
      <is>
        <t>Zone 3</t>
      </is>
    </nc>
    <odxf/>
    <ndxf/>
  </rcc>
  <rcc rId="8768" sId="1" odxf="1" dxf="1">
    <nc r="B725" t="inlineStr">
      <is>
        <t>SC Sub Assembly</t>
      </is>
    </nc>
    <odxf/>
    <ndxf/>
  </rcc>
  <rcc rId="8769" sId="1" odxf="1" dxf="1">
    <nc r="C725">
      <v>2</v>
    </nc>
    <odxf/>
    <ndxf/>
  </rcc>
  <rfmt sheetId="1" sqref="D725" start="0" length="0">
    <dxf/>
  </rfmt>
  <rcc rId="8770" sId="1" odxf="1" dxf="1">
    <nc r="E725" t="inlineStr">
      <is>
        <t>W1030248/PV3</t>
      </is>
    </nc>
    <odxf/>
    <ndxf/>
  </rcc>
  <rcc rId="8771" sId="1" odxf="1" dxf="1">
    <nc r="F725" t="inlineStr">
      <is>
        <t>VER3/0142-1134</t>
      </is>
    </nc>
    <odxf/>
    <ndxf/>
  </rcc>
  <rcc rId="8772" sId="1" odxf="1" dxf="1">
    <nc r="G725" t="inlineStr">
      <is>
        <t>Orion Sub-Assy, Stopcock</t>
      </is>
    </nc>
    <odxf/>
    <ndxf/>
  </rcc>
  <rcc rId="8773" sId="1" odxf="1" dxf="1">
    <nc r="H725">
      <v>6.66</v>
    </nc>
    <odxf/>
    <ndxf/>
  </rcc>
  <rcc rId="8774" sId="1" odxf="1" dxf="1">
    <nc r="I725">
      <v>3.33</v>
    </nc>
    <odxf/>
    <ndxf/>
  </rcc>
  <rcc rId="8775" sId="1" odxf="1" dxf="1">
    <nc r="J725">
      <v>500</v>
    </nc>
    <odxf/>
    <ndxf/>
  </rcc>
  <rcc rId="8776" sId="1" odxf="1" dxf="1">
    <nc r="K725">
      <v>0</v>
    </nc>
    <odxf/>
    <ndxf/>
  </rcc>
  <rcc rId="8777" sId="1" odxf="1" dxf="1" numFmtId="19">
    <nc r="L725">
      <v>46216.611111111109</v>
    </nc>
    <odxf/>
    <ndxf/>
  </rcc>
  <rcc rId="8778" sId="1" odxf="1" dxf="1" numFmtId="19">
    <nc r="M725">
      <v>46216.743055555555</v>
    </nc>
    <odxf/>
    <ndxf/>
  </rcc>
  <rfmt sheetId="1" sqref="N725" start="0" length="0">
    <dxf/>
  </rfmt>
  <rfmt sheetId="1" sqref="O725" start="0" length="0">
    <dxf/>
  </rfmt>
  <rfmt sheetId="1" sqref="P725" start="0" length="0">
    <dxf/>
  </rfmt>
  <rfmt sheetId="1" sqref="Q725" start="0" length="0">
    <dxf/>
  </rfmt>
  <rfmt sheetId="1" sqref="R725" start="0" length="0">
    <dxf/>
  </rfmt>
  <rfmt sheetId="1" sqref="S725" start="0" length="0">
    <dxf/>
  </rfmt>
  <rfmt sheetId="1" sqref="T725" start="0" length="0">
    <dxf/>
  </rfmt>
  <rfmt sheetId="1" sqref="U725" start="0" length="0">
    <dxf/>
  </rfmt>
  <rfmt sheetId="1" sqref="V725" start="0" length="0">
    <dxf/>
  </rfmt>
  <rfmt sheetId="1" sqref="W725" start="0" length="0">
    <dxf/>
  </rfmt>
  <rfmt sheetId="1" sqref="X725" start="0" length="0">
    <dxf/>
  </rfmt>
  <rfmt sheetId="1" sqref="Y725" start="0" length="0">
    <dxf/>
  </rfmt>
  <rfmt sheetId="1" sqref="Z725" start="0" length="0">
    <dxf/>
  </rfmt>
  <rcc rId="8779" sId="1" odxf="1" dxf="1">
    <nc r="AA725" t="inlineStr">
      <is>
        <t>PV3</t>
      </is>
    </nc>
    <odxf/>
    <ndxf/>
  </rcc>
  <rcc rId="8780" sId="1" odxf="1" dxf="1">
    <nc r="AB725" t="inlineStr">
      <is>
        <t>0</t>
      </is>
    </nc>
    <odxf/>
    <ndxf/>
  </rcc>
  <rfmt sheetId="1" sqref="AC725" start="0" length="0">
    <dxf/>
  </rfmt>
  <rfmt sheetId="1" sqref="AD725" start="0" length="0">
    <dxf/>
  </rfmt>
  <rfmt sheetId="1" sqref="AE725" start="0" length="0">
    <dxf/>
  </rfmt>
  <rfmt sheetId="1" sqref="AF725" start="0" length="0">
    <dxf/>
  </rfmt>
  <rfmt sheetId="1" sqref="AG725" start="0" length="0">
    <dxf/>
  </rfmt>
  <rfmt sheetId="1" sqref="AH725" start="0" length="0">
    <dxf/>
  </rfmt>
  <rfmt sheetId="1" sqref="A725:XFD725" start="0" length="0">
    <dxf/>
  </rfmt>
  <rcc rId="8781" sId="1" odxf="1" dxf="1">
    <nc r="A726" t="inlineStr">
      <is>
        <t>Zone 3</t>
      </is>
    </nc>
    <odxf/>
    <ndxf/>
  </rcc>
  <rcc rId="8782" sId="1" odxf="1" dxf="1">
    <nc r="B726" t="inlineStr">
      <is>
        <t>SC Sub Assembly</t>
      </is>
    </nc>
    <odxf/>
    <ndxf/>
  </rcc>
  <rcc rId="8783" sId="1" odxf="1" dxf="1">
    <nc r="C726">
      <v>3</v>
    </nc>
    <odxf/>
    <ndxf/>
  </rcc>
  <rfmt sheetId="1" sqref="D726" start="0" length="0">
    <dxf/>
  </rfmt>
  <rcc rId="8784" sId="1" odxf="1" dxf="1">
    <nc r="E726" t="inlineStr">
      <is>
        <t>W1027073/1</t>
      </is>
    </nc>
    <odxf/>
    <ndxf/>
  </rcc>
  <rcc rId="8785" sId="1" odxf="1" dxf="1">
    <nc r="F726" t="inlineStr">
      <is>
        <t>VER1/0142-1133</t>
      </is>
    </nc>
    <odxf/>
    <ndxf/>
  </rcc>
  <rcc rId="8786" sId="1" odxf="1" dxf="1">
    <nc r="G726" t="inlineStr">
      <is>
        <t>Sub-Assy,Irrigation, Orion</t>
      </is>
    </nc>
    <odxf/>
    <ndxf/>
  </rcc>
  <rcc rId="8787" sId="1" odxf="1" dxf="1">
    <nc r="H726">
      <v>108</v>
    </nc>
    <odxf/>
    <ndxf/>
  </rcc>
  <rcc rId="8788" sId="1" odxf="1" dxf="1">
    <nc r="I726">
      <v>36</v>
    </nc>
    <odxf/>
    <ndxf/>
  </rcc>
  <rcc rId="8789" sId="1" odxf="1" dxf="1">
    <nc r="J726">
      <v>2880</v>
    </nc>
    <odxf/>
    <ndxf/>
  </rcc>
  <rcc rId="8790" sId="1" odxf="1" dxf="1">
    <nc r="K726">
      <v>0</v>
    </nc>
    <odxf/>
    <ndxf/>
  </rcc>
  <rcc rId="8791" sId="1" odxf="1" dxf="1" numFmtId="19">
    <nc r="L726">
      <v>46230.291666666664</v>
    </nc>
    <odxf/>
    <ndxf/>
  </rcc>
  <rcc rId="8792" sId="1" odxf="1" dxf="1" numFmtId="19">
    <nc r="M726">
      <v>46232.451388888891</v>
    </nc>
    <odxf/>
    <ndxf/>
  </rcc>
  <rfmt sheetId="1" sqref="N726" start="0" length="0">
    <dxf/>
  </rfmt>
  <rfmt sheetId="1" sqref="O726" start="0" length="0">
    <dxf/>
  </rfmt>
  <rfmt sheetId="1" sqref="P726" start="0" length="0">
    <dxf/>
  </rfmt>
  <rfmt sheetId="1" sqref="Q726" start="0" length="0">
    <dxf/>
  </rfmt>
  <rfmt sheetId="1" sqref="R726" start="0" length="0">
    <dxf/>
  </rfmt>
  <rfmt sheetId="1" sqref="S726" start="0" length="0">
    <dxf/>
  </rfmt>
  <rfmt sheetId="1" sqref="T726" start="0" length="0">
    <dxf/>
  </rfmt>
  <rfmt sheetId="1" sqref="U726" start="0" length="0">
    <dxf/>
  </rfmt>
  <rfmt sheetId="1" sqref="V726" start="0" length="0">
    <dxf/>
  </rfmt>
  <rfmt sheetId="1" sqref="W726" start="0" length="0">
    <dxf/>
  </rfmt>
  <rfmt sheetId="1" sqref="X726" start="0" length="0">
    <dxf/>
  </rfmt>
  <rfmt sheetId="1" sqref="Y726" start="0" length="0">
    <dxf/>
  </rfmt>
  <rfmt sheetId="1" sqref="Z726" start="0" length="0">
    <dxf/>
  </rfmt>
  <rcc rId="8793" sId="1" odxf="1" dxf="1">
    <nc r="AA726" t="inlineStr">
      <is>
        <t>1</t>
      </is>
    </nc>
    <odxf/>
    <ndxf/>
  </rcc>
  <rcc rId="8794" sId="1" odxf="1" dxf="1">
    <nc r="AB726" t="inlineStr">
      <is>
        <t>0</t>
      </is>
    </nc>
    <odxf/>
    <ndxf/>
  </rcc>
  <rfmt sheetId="1" sqref="AC726" start="0" length="0">
    <dxf/>
  </rfmt>
  <rfmt sheetId="1" sqref="AD726" start="0" length="0">
    <dxf/>
  </rfmt>
  <rfmt sheetId="1" sqref="AE726" start="0" length="0">
    <dxf/>
  </rfmt>
  <rfmt sheetId="1" sqref="AF726" start="0" length="0">
    <dxf/>
  </rfmt>
  <rfmt sheetId="1" sqref="AG726" start="0" length="0">
    <dxf/>
  </rfmt>
  <rfmt sheetId="1" sqref="AH726" start="0" length="0">
    <dxf/>
  </rfmt>
  <rfmt sheetId="1" sqref="A726:XFD726" start="0" length="0">
    <dxf/>
  </rfmt>
  <rcc rId="8795" sId="1" odxf="1" dxf="1">
    <nc r="A727" t="inlineStr">
      <is>
        <t>Zone 3</t>
      </is>
    </nc>
    <odxf/>
    <ndxf/>
  </rcc>
  <rcc rId="8796" sId="1" odxf="1" dxf="1">
    <nc r="B727" t="inlineStr">
      <is>
        <t>SC Sub Assembly</t>
      </is>
    </nc>
    <odxf/>
    <ndxf/>
  </rcc>
  <rcc rId="8797" sId="1" odxf="1" dxf="1">
    <nc r="C727">
      <v>2</v>
    </nc>
    <odxf/>
    <ndxf/>
  </rcc>
  <rfmt sheetId="1" sqref="D727" start="0" length="0">
    <dxf/>
  </rfmt>
  <rcc rId="8798" sId="1" odxf="1" dxf="1">
    <nc r="E727" t="inlineStr">
      <is>
        <t>W1027078/1</t>
      </is>
    </nc>
    <odxf/>
    <ndxf/>
  </rcc>
  <rcc rId="8799" sId="1" odxf="1" dxf="1">
    <nc r="F727" t="inlineStr">
      <is>
        <t>VER3/0142-1127</t>
      </is>
    </nc>
    <odxf/>
    <ndxf/>
  </rcc>
  <rcc rId="8800" sId="1" odxf="1" dxf="1">
    <nc r="G727" t="inlineStr">
      <is>
        <t>Orion Sub-Assy, Accessory Port</t>
      </is>
    </nc>
    <odxf/>
    <ndxf/>
  </rcc>
  <rcc rId="8801" sId="1" odxf="1" dxf="1">
    <nc r="H727">
      <v>75</v>
    </nc>
    <odxf/>
    <ndxf/>
  </rcc>
  <rcc rId="8802" sId="1" odxf="1" dxf="1">
    <nc r="I727">
      <v>37.5</v>
    </nc>
    <odxf/>
    <ndxf/>
  </rcc>
  <rcc rId="8803" sId="1" odxf="1" dxf="1">
    <nc r="J727">
      <v>3000</v>
    </nc>
    <odxf/>
    <ndxf/>
  </rcc>
  <rcc rId="8804" sId="1" odxf="1" dxf="1">
    <nc r="K727">
      <v>0</v>
    </nc>
    <odxf/>
    <ndxf/>
  </rcc>
  <rcc rId="8805" sId="1" odxf="1" dxf="1" numFmtId="19">
    <nc r="L727">
      <v>46238.291666666664</v>
    </nc>
    <odxf/>
    <ndxf/>
  </rcc>
  <rcc rId="8806" sId="1" odxf="1" dxf="1" numFmtId="19">
    <nc r="M727">
      <v>46240.513888888891</v>
    </nc>
    <odxf/>
    <ndxf/>
  </rcc>
  <rfmt sheetId="1" sqref="N727" start="0" length="0">
    <dxf/>
  </rfmt>
  <rfmt sheetId="1" sqref="O727" start="0" length="0">
    <dxf/>
  </rfmt>
  <rfmt sheetId="1" sqref="P727" start="0" length="0">
    <dxf/>
  </rfmt>
  <rfmt sheetId="1" sqref="Q727" start="0" length="0">
    <dxf/>
  </rfmt>
  <rfmt sheetId="1" sqref="R727" start="0" length="0">
    <dxf/>
  </rfmt>
  <rfmt sheetId="1" sqref="S727" start="0" length="0">
    <dxf/>
  </rfmt>
  <rfmt sheetId="1" sqref="T727" start="0" length="0">
    <dxf/>
  </rfmt>
  <rfmt sheetId="1" sqref="U727" start="0" length="0">
    <dxf/>
  </rfmt>
  <rfmt sheetId="1" sqref="V727" start="0" length="0">
    <dxf/>
  </rfmt>
  <rfmt sheetId="1" sqref="W727" start="0" length="0">
    <dxf/>
  </rfmt>
  <rfmt sheetId="1" sqref="X727" start="0" length="0">
    <dxf/>
  </rfmt>
  <rfmt sheetId="1" sqref="Y727" start="0" length="0">
    <dxf/>
  </rfmt>
  <rfmt sheetId="1" sqref="Z727" start="0" length="0">
    <dxf/>
  </rfmt>
  <rcc rId="8807" sId="1" odxf="1" dxf="1">
    <nc r="AA727" t="inlineStr">
      <is>
        <t>1</t>
      </is>
    </nc>
    <odxf/>
    <ndxf/>
  </rcc>
  <rcc rId="8808" sId="1" odxf="1" dxf="1">
    <nc r="AB727" t="inlineStr">
      <is>
        <t>0</t>
      </is>
    </nc>
    <odxf/>
    <ndxf/>
  </rcc>
  <rfmt sheetId="1" sqref="AC727" start="0" length="0">
    <dxf/>
  </rfmt>
  <rfmt sheetId="1" sqref="AD727" start="0" length="0">
    <dxf/>
  </rfmt>
  <rfmt sheetId="1" sqref="AE727" start="0" length="0">
    <dxf/>
  </rfmt>
  <rfmt sheetId="1" sqref="AF727" start="0" length="0">
    <dxf/>
  </rfmt>
  <rfmt sheetId="1" sqref="AG727" start="0" length="0">
    <dxf/>
  </rfmt>
  <rfmt sheetId="1" sqref="AH727" start="0" length="0">
    <dxf/>
  </rfmt>
  <rfmt sheetId="1" sqref="A727:XFD727" start="0" length="0">
    <dxf/>
  </rfmt>
  <rcc rId="8809" sId="1" odxf="1" dxf="1">
    <nc r="A728" t="inlineStr">
      <is>
        <t>Zone 3</t>
      </is>
    </nc>
    <odxf/>
    <ndxf/>
  </rcc>
  <rcc rId="8810" sId="1" odxf="1" dxf="1">
    <nc r="B728" t="inlineStr">
      <is>
        <t>SC Sub Assembly</t>
      </is>
    </nc>
    <odxf/>
    <ndxf/>
  </rcc>
  <rcc rId="8811" sId="1" odxf="1" dxf="1">
    <nc r="C728">
      <v>3</v>
    </nc>
    <odxf/>
    <ndxf/>
  </rcc>
  <rfmt sheetId="1" sqref="D728" start="0" length="0">
    <dxf/>
  </rfmt>
  <rcc rId="8812" sId="1" odxf="1" dxf="1">
    <nc r="E728" t="inlineStr">
      <is>
        <t>W1022426/1</t>
      </is>
    </nc>
    <odxf/>
    <ndxf/>
  </rcc>
  <rcc rId="8813" sId="1" odxf="1" dxf="1">
    <nc r="F728" t="inlineStr">
      <is>
        <t>VER1/0270-1141</t>
      </is>
    </nc>
    <odxf/>
    <ndxf/>
  </rcc>
  <rcc rId="8814" sId="1" odxf="1" dxf="1">
    <nc r="G728" t="inlineStr">
      <is>
        <t>BFlex Sampler - Box of 5</t>
      </is>
    </nc>
    <odxf/>
    <ndxf/>
  </rcc>
  <rcc rId="8815" sId="1" odxf="1" dxf="1">
    <nc r="H728">
      <v>69.989999999999995</v>
    </nc>
    <odxf/>
    <ndxf/>
  </rcc>
  <rcc rId="8816" sId="1" odxf="1" dxf="1">
    <nc r="I728">
      <v>23.33</v>
    </nc>
    <odxf/>
    <ndxf/>
  </rcc>
  <rcc rId="8817" sId="1" odxf="1" dxf="1">
    <nc r="J728">
      <v>420</v>
    </nc>
    <odxf/>
    <ndxf/>
  </rcc>
  <rcc rId="8818" sId="1" odxf="1" dxf="1">
    <nc r="K728">
      <v>0</v>
    </nc>
    <odxf/>
    <ndxf/>
  </rcc>
  <rcc rId="8819" sId="1" odxf="1" dxf="1" numFmtId="19">
    <nc r="L728">
      <v>46244.291666666664</v>
    </nc>
    <odxf/>
    <ndxf/>
  </rcc>
  <rcc rId="8820" sId="1" odxf="1" dxf="1" numFmtId="19">
    <nc r="M728">
      <v>46245.611111111109</v>
    </nc>
    <odxf/>
    <ndxf/>
  </rcc>
  <rfmt sheetId="1" sqref="N728" start="0" length="0">
    <dxf/>
  </rfmt>
  <rfmt sheetId="1" sqref="O728" start="0" length="0">
    <dxf/>
  </rfmt>
  <rfmt sheetId="1" sqref="P728" start="0" length="0">
    <dxf/>
  </rfmt>
  <rfmt sheetId="1" sqref="Q728" start="0" length="0">
    <dxf/>
  </rfmt>
  <rfmt sheetId="1" sqref="R728" start="0" length="0">
    <dxf/>
  </rfmt>
  <rfmt sheetId="1" sqref="S728" start="0" length="0">
    <dxf/>
  </rfmt>
  <rfmt sheetId="1" sqref="T728" start="0" length="0">
    <dxf/>
  </rfmt>
  <rfmt sheetId="1" sqref="U728" start="0" length="0">
    <dxf/>
  </rfmt>
  <rfmt sheetId="1" sqref="V728" start="0" length="0">
    <dxf/>
  </rfmt>
  <rfmt sheetId="1" sqref="W728" start="0" length="0">
    <dxf/>
  </rfmt>
  <rfmt sheetId="1" sqref="X728" start="0" length="0">
    <dxf/>
  </rfmt>
  <rfmt sheetId="1" sqref="Y728" start="0" length="0">
    <dxf/>
  </rfmt>
  <rfmt sheetId="1" sqref="Z728" start="0" length="0">
    <dxf/>
  </rfmt>
  <rcc rId="8821" sId="1" odxf="1" dxf="1">
    <nc r="AA728" t="inlineStr">
      <is>
        <t>1</t>
      </is>
    </nc>
    <odxf/>
    <ndxf/>
  </rcc>
  <rcc rId="8822" sId="1" odxf="1" dxf="1">
    <nc r="AB728" t="inlineStr">
      <is>
        <t>0</t>
      </is>
    </nc>
    <odxf/>
    <ndxf/>
  </rcc>
  <rfmt sheetId="1" sqref="AC728" start="0" length="0">
    <dxf/>
  </rfmt>
  <rfmt sheetId="1" sqref="AD728" start="0" length="0">
    <dxf/>
  </rfmt>
  <rfmt sheetId="1" sqref="AE728" start="0" length="0">
    <dxf/>
  </rfmt>
  <rfmt sheetId="1" sqref="AF728" start="0" length="0">
    <dxf/>
  </rfmt>
  <rfmt sheetId="1" sqref="AG728" start="0" length="0">
    <dxf/>
  </rfmt>
  <rfmt sheetId="1" sqref="AH728" start="0" length="0">
    <dxf/>
  </rfmt>
  <rfmt sheetId="1" sqref="A728:XFD728" start="0" length="0">
    <dxf/>
  </rfmt>
  <rrc rId="8823" sId="1" ref="A729:XFD729" action="deleteRow">
    <rfmt sheetId="1" xfDxf="1" sqref="A729:XFD729" start="0" length="0"/>
    <rcc rId="0" sId="1">
      <nc r="A729" t="inlineStr">
        <is>
          <t>Zone 3</t>
        </is>
      </nc>
    </rcc>
    <rcc rId="0" sId="1">
      <nc r="B729" t="inlineStr">
        <is>
          <t>SC Sub Assembly</t>
        </is>
      </nc>
    </rcc>
    <rcc rId="0" sId="1">
      <nc r="C729">
        <v>2</v>
      </nc>
    </rcc>
    <rcc rId="0" sId="1">
      <nc r="E729" t="inlineStr">
        <is>
          <t>W1028235/1</t>
        </is>
      </nc>
    </rcc>
    <rcc rId="0" sId="1">
      <nc r="F729" t="inlineStr">
        <is>
          <t>VER3/0142-1166</t>
        </is>
      </nc>
    </rcc>
    <rcc rId="0" sId="1">
      <nc r="G729" t="inlineStr">
        <is>
          <t>Orion Sub-Assy, Yomura Stopcock</t>
        </is>
      </nc>
    </rcc>
    <rcc rId="0" sId="1">
      <nc r="H729">
        <v>2.8</v>
      </nc>
    </rcc>
    <rcc rId="0" sId="1">
      <nc r="I729">
        <v>1.4</v>
      </nc>
    </rcc>
    <rcc rId="0" sId="1">
      <nc r="J729">
        <v>210</v>
      </nc>
    </rcc>
    <rcc rId="0" sId="1">
      <nc r="K729">
        <v>0</v>
      </nc>
    </rcc>
    <rcc rId="0" sId="1" dxf="1" numFmtId="19">
      <nc r="L729">
        <v>46209.291666666664</v>
      </nc>
      <ndxf>
        <numFmt numFmtId="164" formatCode="mm\-dd\-yyyy"/>
      </ndxf>
    </rcc>
    <rcc rId="0" sId="1" dxf="1" numFmtId="19">
      <nc r="M729">
        <v>46209.347222222219</v>
      </nc>
      <ndxf>
        <numFmt numFmtId="164" formatCode="mm\-dd\-yyyy"/>
      </ndxf>
    </rcc>
    <rcc rId="0" sId="1">
      <nc r="AA729" t="inlineStr">
        <is>
          <t>1</t>
        </is>
      </nc>
    </rcc>
    <rcc rId="0" sId="1">
      <nc r="AB729" t="inlineStr">
        <is>
          <t>0</t>
        </is>
      </nc>
    </rcc>
  </rrc>
  <rrc rId="8824" sId="1" ref="A729:XFD729" action="deleteRow">
    <rfmt sheetId="1" xfDxf="1" sqref="A729:XFD729" start="0" length="0"/>
    <rcc rId="0" sId="1">
      <nc r="A729" t="inlineStr">
        <is>
          <t>Zone 3</t>
        </is>
      </nc>
    </rcc>
    <rcc rId="0" sId="1">
      <nc r="B729" t="inlineStr">
        <is>
          <t>SC Sub Assembly</t>
        </is>
      </nc>
    </rcc>
    <rcc rId="0" sId="1">
      <nc r="C729">
        <v>3</v>
      </nc>
    </rcc>
    <rcc rId="0" sId="1" dxf="1">
      <nc r="E729" t="inlineStr">
        <is>
          <t>W1027071/1</t>
        </is>
      </nc>
      <ndxf>
        <fill>
          <patternFill patternType="solid">
            <bgColor rgb="FFFFFF00"/>
          </patternFill>
        </fill>
      </ndxf>
    </rcc>
    <rcc rId="0" sId="1">
      <nc r="F729" t="inlineStr">
        <is>
          <t>VER1/0142-1133</t>
        </is>
      </nc>
    </rcc>
    <rcc rId="0" sId="1">
      <nc r="G729" t="inlineStr">
        <is>
          <t>Sub-Assy,Irrigation, Orion</t>
        </is>
      </nc>
    </rcc>
    <rcc rId="0" sId="1">
      <nc r="H729">
        <v>216</v>
      </nc>
    </rcc>
    <rcc rId="0" sId="1">
      <nc r="I729">
        <v>9</v>
      </nc>
    </rcc>
    <rcc rId="0" sId="1">
      <nc r="J729">
        <v>5760</v>
      </nc>
    </rcc>
    <rcc rId="0" sId="1">
      <nc r="K729">
        <v>5040</v>
      </nc>
    </rcc>
    <rcc rId="0" sId="1" dxf="1" numFmtId="19">
      <nc r="L729">
        <v>46209.354166666664</v>
      </nc>
      <ndxf>
        <numFmt numFmtId="164" formatCode="mm\-dd\-yyyy"/>
      </ndxf>
    </rcc>
    <rcc rId="0" sId="1" dxf="1" numFmtId="19">
      <nc r="M729">
        <v>46209.722222222219</v>
      </nc>
      <ndxf>
        <numFmt numFmtId="164" formatCode="mm\-dd\-yyyy"/>
      </ndxf>
    </rcc>
    <rcc rId="0" sId="1">
      <nc r="O729" t="inlineStr">
        <is>
          <t>P</t>
        </is>
      </nc>
    </rcc>
    <rcc rId="0" sId="1">
      <nc r="AA729" t="inlineStr">
        <is>
          <t>1</t>
        </is>
      </nc>
    </rcc>
    <rcc rId="0" sId="1">
      <nc r="AB729" t="inlineStr">
        <is>
          <t>0</t>
        </is>
      </nc>
    </rcc>
  </rrc>
  <rrc rId="8825" sId="1" ref="A729:XFD729" action="deleteRow">
    <rfmt sheetId="1" xfDxf="1" sqref="A729:XFD729" start="0" length="0"/>
    <rcc rId="0" sId="1">
      <nc r="A729" t="inlineStr">
        <is>
          <t>Zone 3</t>
        </is>
      </nc>
    </rcc>
    <rcc rId="0" sId="1">
      <nc r="B729" t="inlineStr">
        <is>
          <t>SC Sub Assembly</t>
        </is>
      </nc>
    </rcc>
    <rcc rId="0" sId="1">
      <nc r="C729">
        <v>2</v>
      </nc>
    </rcc>
    <rcc rId="0" sId="1" dxf="1">
      <nc r="E729" t="inlineStr">
        <is>
          <t>W1029480/1</t>
        </is>
      </nc>
      <ndxf>
        <border outline="0">
          <bottom style="medium">
            <color indexed="64"/>
          </bottom>
        </border>
      </ndxf>
    </rcc>
    <rcc rId="0" sId="1">
      <nc r="F729" t="inlineStr">
        <is>
          <t>VER3/0142-1120</t>
        </is>
      </nc>
    </rcc>
    <rcc rId="0" sId="1">
      <nc r="G729" t="inlineStr">
        <is>
          <t>BFlex Sampler Container Sub Assembly</t>
        </is>
      </nc>
    </rcc>
    <rcc rId="0" sId="1">
      <nc r="H729">
        <v>56</v>
      </nc>
    </rcc>
    <rcc rId="0" sId="1">
      <nc r="I729">
        <v>28</v>
      </nc>
    </rcc>
    <rcc rId="0" sId="1">
      <nc r="J729">
        <v>4200</v>
      </nc>
    </rcc>
    <rcc rId="0" sId="1">
      <nc r="K729">
        <v>0</v>
      </nc>
    </rcc>
    <rcc rId="0" sId="1" dxf="1" numFmtId="19">
      <nc r="L729">
        <v>46223.291666666664</v>
      </nc>
      <ndxf>
        <numFmt numFmtId="164" formatCode="mm\-dd\-yyyy"/>
      </ndxf>
    </rcc>
    <rcc rId="0" sId="1" dxf="1" numFmtId="19">
      <nc r="M729">
        <v>46224.784722222219</v>
      </nc>
      <ndxf>
        <numFmt numFmtId="164" formatCode="mm\-dd\-yyyy"/>
      </ndxf>
    </rcc>
    <rfmt sheetId="1" sqref="N729" start="0" length="0">
      <dxf>
        <border outline="0">
          <bottom style="medium">
            <color indexed="64"/>
          </bottom>
        </border>
      </dxf>
    </rfmt>
    <rfmt sheetId="1" sqref="O729" start="0" length="0">
      <dxf>
        <border outline="0">
          <bottom style="medium">
            <color indexed="64"/>
          </bottom>
        </border>
      </dxf>
    </rfmt>
    <rfmt sheetId="1" sqref="P729" start="0" length="0">
      <dxf>
        <border outline="0">
          <bottom style="medium">
            <color indexed="64"/>
          </bottom>
        </border>
      </dxf>
    </rfmt>
    <rfmt sheetId="1" sqref="Q729" start="0" length="0">
      <dxf>
        <border outline="0">
          <bottom style="medium">
            <color indexed="64"/>
          </bottom>
        </border>
      </dxf>
    </rfmt>
    <rfmt sheetId="1" sqref="R729" start="0" length="0">
      <dxf>
        <border outline="0">
          <bottom style="medium">
            <color indexed="64"/>
          </bottom>
        </border>
      </dxf>
    </rfmt>
    <rfmt sheetId="1" sqref="S729" start="0" length="0">
      <dxf>
        <border outline="0">
          <bottom style="medium">
            <color indexed="64"/>
          </bottom>
        </border>
      </dxf>
    </rfmt>
    <rcc rId="0" sId="1">
      <nc r="AA729" t="inlineStr">
        <is>
          <t>1</t>
        </is>
      </nc>
    </rcc>
    <rcc rId="0" sId="1">
      <nc r="AB729" t="inlineStr">
        <is>
          <t>0</t>
        </is>
      </nc>
    </rcc>
  </rrc>
  <rrc rId="8826" sId="1" ref="A729:XFD729" action="deleteRow">
    <rfmt sheetId="1" xfDxf="1" sqref="A729:XFD729" start="0" length="0">
      <dxf>
        <border outline="0">
          <bottom style="medium">
            <color indexed="64"/>
          </bottom>
        </border>
      </dxf>
    </rfmt>
    <rcc rId="0" sId="1">
      <nc r="A729" t="inlineStr">
        <is>
          <t>Zone 3</t>
        </is>
      </nc>
    </rcc>
    <rcc rId="0" sId="1">
      <nc r="B729" t="inlineStr">
        <is>
          <t>SC Sub Assembly</t>
        </is>
      </nc>
    </rcc>
    <rcc rId="0" sId="1">
      <nc r="C729">
        <v>3</v>
      </nc>
    </rcc>
    <rcc rId="0" sId="1">
      <nc r="E729" t="inlineStr">
        <is>
          <t>W1027073/1</t>
        </is>
      </nc>
    </rcc>
    <rcc rId="0" sId="1">
      <nc r="F729" t="inlineStr">
        <is>
          <t>VER1/0142-1133</t>
        </is>
      </nc>
    </rcc>
    <rcc rId="0" sId="1">
      <nc r="G729" t="inlineStr">
        <is>
          <t>Sub-Assy,Irrigation, Orion</t>
        </is>
      </nc>
    </rcc>
    <rcc rId="0" sId="1">
      <nc r="H729">
        <v>108</v>
      </nc>
    </rcc>
    <rcc rId="0" sId="1">
      <nc r="I729">
        <v>36</v>
      </nc>
    </rcc>
    <rcc rId="0" sId="1">
      <nc r="J729">
        <v>2880</v>
      </nc>
    </rcc>
    <rcc rId="0" sId="1">
      <nc r="K729">
        <v>0</v>
      </nc>
    </rcc>
    <rcc rId="0" sId="1" dxf="1" numFmtId="19">
      <nc r="L729">
        <v>46230.291666666664</v>
      </nc>
      <ndxf>
        <numFmt numFmtId="164" formatCode="mm\-dd\-yyyy"/>
      </ndxf>
    </rcc>
    <rcc rId="0" sId="1" dxf="1" numFmtId="19">
      <nc r="M729">
        <v>46232.451388888891</v>
      </nc>
      <ndxf>
        <numFmt numFmtId="164" formatCode="mm\-dd\-yyyy"/>
      </ndxf>
    </rcc>
    <rcc rId="0" sId="1">
      <nc r="AA729" t="inlineStr">
        <is>
          <t>1</t>
        </is>
      </nc>
    </rcc>
    <rcc rId="0" sId="1">
      <nc r="AB729" t="inlineStr">
        <is>
          <t>0</t>
        </is>
      </nc>
    </rcc>
  </rrc>
  <rfmt sheetId="1" sqref="A718:XFD718">
    <dxf>
      <fill>
        <patternFill>
          <bgColor theme="8" tint="0.39997558519241921"/>
        </patternFill>
      </fill>
    </dxf>
  </rfmt>
  <rfmt sheetId="1" sqref="A721:XFD721" start="0" length="0">
    <dxf>
      <border>
        <bottom/>
      </border>
    </dxf>
  </rfmt>
  <rrc rId="8827" sId="1" ref="A726:XFD726" action="insertRow"/>
  <rm rId="8828" sheetId="1" source="A719:XFD719" destination="A726:XFD726" sourceSheetId="1">
    <rfmt sheetId="1" xfDxf="1" sqref="A726:XFD726" start="0" length="0"/>
    <rfmt sheetId="1" sqref="L726" start="0" length="0">
      <dxf>
        <numFmt numFmtId="164" formatCode="mm\-dd\-yyyy"/>
      </dxf>
    </rfmt>
    <rfmt sheetId="1" sqref="M726" start="0" length="0">
      <dxf>
        <numFmt numFmtId="164" formatCode="mm\-dd\-yyyy"/>
      </dxf>
    </rfmt>
  </rm>
  <rrc rId="8829" sId="1" ref="A719:XFD719" action="deleteRow">
    <rfmt sheetId="1" xfDxf="1" sqref="A719:XFD719" start="0" length="0"/>
    <rfmt sheetId="1" sqref="L719" start="0" length="0">
      <dxf>
        <numFmt numFmtId="164" formatCode="mm\-dd\-yyyy"/>
      </dxf>
    </rfmt>
    <rfmt sheetId="1" sqref="M719" start="0" length="0">
      <dxf>
        <numFmt numFmtId="164" formatCode="mm\-dd\-yyyy"/>
      </dxf>
    </rfmt>
  </rrc>
  <rrc rId="8830" sId="1" ref="A726:XFD726" action="insertRow"/>
  <rm rId="8831" sheetId="1" source="A728:XFD728" destination="A726:XFD726" sourceSheetId="1">
    <rfmt sheetId="1" xfDxf="1" sqref="A726:XFD726" start="0" length="0"/>
    <rfmt sheetId="1" sqref="L726" start="0" length="0">
      <dxf>
        <numFmt numFmtId="164" formatCode="mm\-dd\-yyyy"/>
      </dxf>
    </rfmt>
    <rfmt sheetId="1" sqref="M726" start="0" length="0">
      <dxf>
        <numFmt numFmtId="164" formatCode="mm\-dd\-yyyy"/>
      </dxf>
    </rfmt>
  </rm>
  <rrc rId="8832" sId="1" ref="A728:XFD728" action="deleteRow">
    <rfmt sheetId="1" xfDxf="1" sqref="A728:XFD728" start="0" length="0"/>
    <rfmt sheetId="1" sqref="L728" start="0" length="0">
      <dxf>
        <numFmt numFmtId="164" formatCode="mm\-dd\-yyyy"/>
      </dxf>
    </rfmt>
    <rfmt sheetId="1" sqref="M728" start="0" length="0">
      <dxf>
        <numFmt numFmtId="164" formatCode="mm\-dd\-yyyy"/>
      </dxf>
    </rfmt>
  </rrc>
  <rfmt sheetId="1" sqref="A728:XFD728" start="0" length="0">
    <dxf>
      <border>
        <bottom style="medium">
          <color indexed="64"/>
        </bottom>
      </border>
    </dxf>
  </rfmt>
  <rrc rId="8833" sId="1" ref="A760:XFD760" action="deleteRow">
    <rfmt sheetId="1" xfDxf="1" sqref="A760:XFD760" start="0" length="0"/>
    <rcc rId="0" sId="1">
      <nc r="A760" t="inlineStr">
        <is>
          <t>Zone 4</t>
        </is>
      </nc>
    </rcc>
    <rcc rId="0" sId="1">
      <nc r="B760">
        <v>15</v>
      </nc>
    </rcc>
    <rcc rId="0" sId="1">
      <nc r="C760">
        <v>1</v>
      </nc>
    </rcc>
    <rcc rId="0" sId="1">
      <nc r="D760" t="inlineStr">
        <is>
          <t>20-032</t>
        </is>
      </nc>
    </rcc>
    <rcc rId="0" sId="1">
      <nc r="E760" t="inlineStr">
        <is>
          <t>W1028444/VAL</t>
        </is>
      </nc>
    </rcc>
    <rcc rId="0" sId="1">
      <nc r="F760" t="inlineStr">
        <is>
          <t>VER3/0122-1074</t>
        </is>
      </nc>
    </rcc>
    <rcc rId="0" sId="1">
      <nc r="G760" t="inlineStr">
        <is>
          <t>HA QC DVM S3 Left Shell</t>
        </is>
      </nc>
    </rcc>
    <rcc rId="0" sId="1">
      <nc r="H760">
        <v>4</v>
      </nc>
    </rcc>
    <rcc rId="0" sId="1">
      <nc r="I760">
        <v>4</v>
      </nc>
    </rcc>
    <rcc rId="0" sId="1">
      <nc r="J760">
        <v>300</v>
      </nc>
    </rcc>
    <rcc rId="0" sId="1">
      <nc r="K760">
        <v>0</v>
      </nc>
    </rcc>
    <rcc rId="0" sId="1" dxf="1" numFmtId="19">
      <nc r="L760">
        <v>46208.958333333336</v>
      </nc>
      <ndxf>
        <numFmt numFmtId="164" formatCode="mm\-dd\-yyyy"/>
      </ndxf>
    </rcc>
    <rcc rId="0" sId="1" dxf="1" numFmtId="19">
      <nc r="M760">
        <v>46209.451388888891</v>
      </nc>
      <ndxf>
        <numFmt numFmtId="164" formatCode="mm\-dd\-yyyy"/>
      </ndxf>
    </rcc>
    <rcc rId="0" sId="1">
      <nc r="AA760" t="inlineStr">
        <is>
          <t>VAL</t>
        </is>
      </nc>
    </rcc>
    <rcc rId="0" sId="1">
      <nc r="AB760" t="inlineStr">
        <is>
          <t>0</t>
        </is>
      </nc>
    </rcc>
  </rrc>
  <rrc rId="8834" sId="1" ref="A760:XFD760" action="deleteRow">
    <rfmt sheetId="1" xfDxf="1" sqref="A760:XFD760" start="0" length="0"/>
    <rcc rId="0" sId="1">
      <nc r="A760" t="inlineStr">
        <is>
          <t>Zone 4</t>
        </is>
      </nc>
    </rcc>
    <rcc rId="0" sId="1">
      <nc r="B760">
        <v>15</v>
      </nc>
    </rcc>
    <rcc rId="0" sId="1">
      <nc r="C760">
        <v>1</v>
      </nc>
    </rcc>
    <rcc rId="0" sId="1">
      <nc r="D760" t="inlineStr">
        <is>
          <t>20-032</t>
        </is>
      </nc>
    </rcc>
    <rcc rId="0" sId="1">
      <nc r="E760" t="inlineStr">
        <is>
          <t>W1028445/VAL</t>
        </is>
      </nc>
    </rcc>
    <rcc rId="0" sId="1">
      <nc r="F760" t="inlineStr">
        <is>
          <t>VER3/0122-1074</t>
        </is>
      </nc>
    </rcc>
    <rcc rId="0" sId="1">
      <nc r="G760" t="inlineStr">
        <is>
          <t>HA QC DVM S3 Left Shell</t>
        </is>
      </nc>
    </rcc>
    <rcc rId="0" sId="1">
      <nc r="H760">
        <v>4</v>
      </nc>
    </rcc>
    <rcc rId="0" sId="1">
      <nc r="I760">
        <v>4</v>
      </nc>
    </rcc>
    <rcc rId="0" sId="1">
      <nc r="J760">
        <v>300</v>
      </nc>
    </rcc>
    <rcc rId="0" sId="1">
      <nc r="K760">
        <v>0</v>
      </nc>
    </rcc>
    <rcc rId="0" sId="1" dxf="1" numFmtId="19">
      <nc r="L760">
        <v>46209.458333333336</v>
      </nc>
      <ndxf>
        <numFmt numFmtId="164" formatCode="mm\-dd\-yyyy"/>
      </ndxf>
    </rcc>
    <rcc rId="0" sId="1" dxf="1" numFmtId="19">
      <nc r="M760">
        <v>46209.951388888891</v>
      </nc>
      <ndxf>
        <numFmt numFmtId="164" formatCode="mm\-dd\-yyyy"/>
      </ndxf>
    </rcc>
    <rcc rId="0" sId="1">
      <nc r="AA760" t="inlineStr">
        <is>
          <t>VAL</t>
        </is>
      </nc>
    </rcc>
    <rcc rId="0" sId="1">
      <nc r="AB760" t="inlineStr">
        <is>
          <t>0</t>
        </is>
      </nc>
    </rcc>
  </rrc>
  <rrc rId="8835" sId="1" ref="A760:XFD760" action="deleteRow">
    <rfmt sheetId="1" xfDxf="1" sqref="A760:XFD760" start="0" length="0">
      <dxf>
        <border outline="0">
          <bottom style="thin">
            <color indexed="64"/>
          </bottom>
        </border>
      </dxf>
    </rfmt>
    <rcc rId="0" sId="1">
      <nc r="A760" t="inlineStr">
        <is>
          <t>Zone 4</t>
        </is>
      </nc>
    </rcc>
    <rcc rId="0" sId="1">
      <nc r="B760">
        <v>15</v>
      </nc>
    </rcc>
    <rcc rId="0" sId="1">
      <nc r="C760">
        <v>1</v>
      </nc>
    </rcc>
    <rcc rId="0" sId="1">
      <nc r="D760" t="inlineStr">
        <is>
          <t>20-032</t>
        </is>
      </nc>
    </rcc>
    <rcc rId="0" sId="1">
      <nc r="E760" t="inlineStr">
        <is>
          <t>W1028446/VAL</t>
        </is>
      </nc>
    </rcc>
    <rcc rId="0" sId="1">
      <nc r="F760" t="inlineStr">
        <is>
          <t>VER3/0122-1074</t>
        </is>
      </nc>
    </rcc>
    <rcc rId="0" sId="1">
      <nc r="G760" t="inlineStr">
        <is>
          <t>HA QC DVM S3 Left Shell</t>
        </is>
      </nc>
    </rcc>
    <rcc rId="0" sId="1">
      <nc r="H760">
        <v>4</v>
      </nc>
    </rcc>
    <rcc rId="0" sId="1">
      <nc r="I760">
        <v>4</v>
      </nc>
    </rcc>
    <rcc rId="0" sId="1">
      <nc r="J760">
        <v>300</v>
      </nc>
    </rcc>
    <rcc rId="0" sId="1">
      <nc r="K760">
        <v>0</v>
      </nc>
    </rcc>
    <rcc rId="0" sId="1" dxf="1" numFmtId="19">
      <nc r="L760">
        <v>46209.958333333336</v>
      </nc>
      <ndxf>
        <numFmt numFmtId="164" formatCode="mm\-dd\-yyyy"/>
      </ndxf>
    </rcc>
    <rcc rId="0" sId="1" dxf="1" numFmtId="19">
      <nc r="M760">
        <v>46210.451388888891</v>
      </nc>
      <ndxf>
        <numFmt numFmtId="164" formatCode="mm\-dd\-yyyy"/>
      </ndxf>
    </rcc>
    <rcc rId="0" sId="1">
      <nc r="AA760" t="inlineStr">
        <is>
          <t>VAL</t>
        </is>
      </nc>
    </rcc>
    <rcc rId="0" sId="1">
      <nc r="AB760" t="inlineStr">
        <is>
          <t>0</t>
        </is>
      </nc>
    </rcc>
  </rrc>
  <rrc rId="8836" sId="1" ref="A798:XFD798" action="deleteRow">
    <rfmt sheetId="1" xfDxf="1" sqref="A798:XFD798" start="0" length="0">
      <dxf>
        <fill>
          <patternFill patternType="solid">
            <bgColor rgb="FF00B0F0"/>
          </patternFill>
        </fill>
      </dxf>
    </rfmt>
    <rcc rId="0" sId="1">
      <nc r="A798" t="inlineStr">
        <is>
          <t>Zone 4</t>
        </is>
      </nc>
    </rcc>
    <rcc rId="0" sId="1">
      <nc r="B798">
        <v>25</v>
      </nc>
    </rcc>
    <rcc rId="0" sId="1">
      <nc r="C798">
        <v>1</v>
      </nc>
    </rcc>
    <rcc rId="0" sId="1">
      <nc r="D798" t="inlineStr">
        <is>
          <t>20-033</t>
        </is>
      </nc>
    </rcc>
    <rcc rId="0" sId="1">
      <nc r="E798" t="inlineStr">
        <is>
          <t>W1028448/VAL</t>
        </is>
      </nc>
    </rcc>
    <rcc rId="0" sId="1">
      <nc r="F798" t="inlineStr">
        <is>
          <t>VER3/0122-1076</t>
        </is>
      </nc>
    </rcc>
    <rcc rId="0" sId="1">
      <nc r="G798" t="inlineStr">
        <is>
          <t>HA QC DVM S4 Left Shell</t>
        </is>
      </nc>
    </rcc>
    <rcc rId="0" sId="1">
      <nc r="H798">
        <v>4</v>
      </nc>
    </rcc>
    <rcc rId="0" sId="1">
      <nc r="I798">
        <v>4</v>
      </nc>
    </rcc>
    <rcc rId="0" sId="1">
      <nc r="J798">
        <v>300</v>
      </nc>
    </rcc>
    <rcc rId="0" sId="1">
      <nc r="K798">
        <v>0</v>
      </nc>
    </rcc>
    <rcc rId="0" sId="1" dxf="1" numFmtId="19">
      <nc r="L798">
        <v>46211.409722222219</v>
      </nc>
      <ndxf>
        <numFmt numFmtId="164" formatCode="mm\-dd\-yyyy"/>
      </ndxf>
    </rcc>
    <rcc rId="0" sId="1" dxf="1" numFmtId="19">
      <nc r="M798">
        <v>46211.902777777781</v>
      </nc>
      <ndxf>
        <numFmt numFmtId="164" formatCode="mm\-dd\-yyyy"/>
      </ndxf>
    </rcc>
    <rcc rId="0" sId="1">
      <nc r="AA798" t="inlineStr">
        <is>
          <t>VAL</t>
        </is>
      </nc>
    </rcc>
    <rcc rId="0" sId="1">
      <nc r="AB798" t="inlineStr">
        <is>
          <t>0</t>
        </is>
      </nc>
    </rcc>
  </rrc>
  <rrc rId="8837" sId="1" ref="A798:XFD798" action="deleteRow">
    <rfmt sheetId="1" xfDxf="1" sqref="A798:XFD798" start="0" length="0">
      <dxf>
        <fill>
          <patternFill patternType="solid">
            <bgColor rgb="FF00B0F0"/>
          </patternFill>
        </fill>
      </dxf>
    </rfmt>
    <rcc rId="0" sId="1">
      <nc r="A798" t="inlineStr">
        <is>
          <t>Zone 4</t>
        </is>
      </nc>
    </rcc>
    <rcc rId="0" sId="1">
      <nc r="B798">
        <v>25</v>
      </nc>
    </rcc>
    <rcc rId="0" sId="1">
      <nc r="C798">
        <v>1</v>
      </nc>
    </rcc>
    <rcc rId="0" sId="1">
      <nc r="D798" t="inlineStr">
        <is>
          <t>20-033</t>
        </is>
      </nc>
    </rcc>
    <rcc rId="0" sId="1">
      <nc r="E798" t="inlineStr">
        <is>
          <t>W1028449/VAL</t>
        </is>
      </nc>
    </rcc>
    <rcc rId="0" sId="1">
      <nc r="F798" t="inlineStr">
        <is>
          <t>VER3/0122-1076</t>
        </is>
      </nc>
    </rcc>
    <rcc rId="0" sId="1">
      <nc r="G798" t="inlineStr">
        <is>
          <t>HA QC DVM S4 Left Shell</t>
        </is>
      </nc>
    </rcc>
    <rcc rId="0" sId="1">
      <nc r="H798">
        <v>4</v>
      </nc>
    </rcc>
    <rcc rId="0" sId="1">
      <nc r="I798">
        <v>4</v>
      </nc>
    </rcc>
    <rcc rId="0" sId="1">
      <nc r="J798">
        <v>300</v>
      </nc>
    </rcc>
    <rcc rId="0" sId="1">
      <nc r="K798">
        <v>0</v>
      </nc>
    </rcc>
    <rcc rId="0" sId="1" dxf="1" numFmtId="19">
      <nc r="L798">
        <v>46211.909722222219</v>
      </nc>
      <ndxf>
        <numFmt numFmtId="164" formatCode="mm\-dd\-yyyy"/>
      </ndxf>
    </rcc>
    <rcc rId="0" sId="1" dxf="1" numFmtId="19">
      <nc r="M798">
        <v>46212.402777777781</v>
      </nc>
      <ndxf>
        <numFmt numFmtId="164" formatCode="mm\-dd\-yyyy"/>
      </ndxf>
    </rcc>
    <rcc rId="0" sId="1">
      <nc r="AA798" t="inlineStr">
        <is>
          <t>VAL</t>
        </is>
      </nc>
    </rcc>
    <rcc rId="0" sId="1">
      <nc r="AB798" t="inlineStr">
        <is>
          <t>0</t>
        </is>
      </nc>
    </rcc>
  </rrc>
  <rrc rId="8838" sId="1" ref="A798:XFD798" action="deleteRow">
    <rfmt sheetId="1" xfDxf="1" sqref="A798:XFD798" start="0" length="0">
      <dxf>
        <fill>
          <patternFill patternType="solid">
            <bgColor rgb="FF00B0F0"/>
          </patternFill>
        </fill>
        <border outline="0">
          <bottom style="thin">
            <color indexed="64"/>
          </bottom>
        </border>
      </dxf>
    </rfmt>
    <rcc rId="0" sId="1">
      <nc r="A798" t="inlineStr">
        <is>
          <t>Zone 4</t>
        </is>
      </nc>
    </rcc>
    <rcc rId="0" sId="1">
      <nc r="B798">
        <v>25</v>
      </nc>
    </rcc>
    <rcc rId="0" sId="1">
      <nc r="C798">
        <v>1</v>
      </nc>
    </rcc>
    <rcc rId="0" sId="1">
      <nc r="D798" t="inlineStr">
        <is>
          <t>20-033</t>
        </is>
      </nc>
    </rcc>
    <rcc rId="0" sId="1">
      <nc r="E798" t="inlineStr">
        <is>
          <t>W1028450/VAL</t>
        </is>
      </nc>
    </rcc>
    <rcc rId="0" sId="1">
      <nc r="F798" t="inlineStr">
        <is>
          <t>VER3/0122-1076</t>
        </is>
      </nc>
    </rcc>
    <rcc rId="0" sId="1">
      <nc r="G798" t="inlineStr">
        <is>
          <t>HA QC DVM S4 Left Shell</t>
        </is>
      </nc>
    </rcc>
    <rcc rId="0" sId="1">
      <nc r="H798">
        <v>4</v>
      </nc>
    </rcc>
    <rcc rId="0" sId="1">
      <nc r="I798">
        <v>4</v>
      </nc>
    </rcc>
    <rcc rId="0" sId="1">
      <nc r="J798">
        <v>300</v>
      </nc>
    </rcc>
    <rcc rId="0" sId="1">
      <nc r="K798">
        <v>0</v>
      </nc>
    </rcc>
    <rcc rId="0" sId="1" dxf="1" numFmtId="19">
      <nc r="L798">
        <v>46212.409722222219</v>
      </nc>
      <ndxf>
        <numFmt numFmtId="164" formatCode="mm\-dd\-yyyy"/>
      </ndxf>
    </rcc>
    <rcc rId="0" sId="1" dxf="1" numFmtId="19">
      <nc r="M798">
        <v>46212.902777777781</v>
      </nc>
      <ndxf>
        <numFmt numFmtId="164" formatCode="mm\-dd\-yyyy"/>
      </ndxf>
    </rcc>
    <rcc rId="0" sId="1">
      <nc r="AA798" t="inlineStr">
        <is>
          <t>VAL</t>
        </is>
      </nc>
    </rcc>
    <rcc rId="0" sId="1">
      <nc r="AB798" t="inlineStr">
        <is>
          <t>0</t>
        </is>
      </nc>
    </rcc>
  </rrc>
  <rrc rId="8839" sId="1" ref="A798:XFD798" action="deleteRow">
    <rfmt sheetId="1" xfDxf="1" sqref="A798:XFD798" start="0" length="0">
      <dxf>
        <fill>
          <patternFill patternType="solid">
            <bgColor rgb="FF00B0F0"/>
          </patternFill>
        </fill>
      </dxf>
    </rfmt>
    <rcc rId="0" sId="1">
      <nc r="A798" t="inlineStr">
        <is>
          <t>Zone 4</t>
        </is>
      </nc>
    </rcc>
    <rcc rId="0" sId="1">
      <nc r="B798">
        <v>27</v>
      </nc>
    </rcc>
    <rcc rId="0" sId="1">
      <nc r="C798">
        <v>1</v>
      </nc>
    </rcc>
    <rcc rId="0" sId="1">
      <nc r="D798" t="inlineStr">
        <is>
          <t>25-001</t>
        </is>
      </nc>
    </rcc>
    <rcc rId="0" sId="1">
      <nc r="E798" t="inlineStr">
        <is>
          <t>W1028441/VAL</t>
        </is>
      </nc>
    </rcc>
    <rcc rId="0" sId="1">
      <nc r="F798" t="inlineStr">
        <is>
          <t>VER3/0122-0888</t>
        </is>
      </nc>
    </rcc>
    <rcc rId="0" sId="1">
      <nc r="G798" t="inlineStr">
        <is>
          <t>LoPro S4 Left Shell Short Well No Cam</t>
        </is>
      </nc>
    </rcc>
    <rcc rId="0" sId="1">
      <nc r="H798">
        <v>6.67</v>
      </nc>
    </rcc>
    <rcc rId="0" sId="1">
      <nc r="I798">
        <v>6.67</v>
      </nc>
    </rcc>
    <rcc rId="0" sId="1">
      <nc r="J798">
        <v>500</v>
      </nc>
    </rcc>
    <rcc rId="0" sId="1">
      <nc r="K798">
        <v>0</v>
      </nc>
    </rcc>
    <rcc rId="0" sId="1" dxf="1" numFmtId="19">
      <nc r="L798">
        <v>46208.958333333336</v>
      </nc>
      <ndxf>
        <numFmt numFmtId="164" formatCode="mm\-dd\-yyyy"/>
      </ndxf>
    </rcc>
    <rcc rId="0" sId="1" dxf="1" numFmtId="19">
      <nc r="M798">
        <v>46209.5625</v>
      </nc>
      <ndxf>
        <numFmt numFmtId="164" formatCode="mm\-dd\-yyyy"/>
      </ndxf>
    </rcc>
    <rcc rId="0" sId="1">
      <nc r="AA798" t="inlineStr">
        <is>
          <t>VAL</t>
        </is>
      </nc>
    </rcc>
    <rcc rId="0" sId="1">
      <nc r="AB798" t="inlineStr">
        <is>
          <t>0</t>
        </is>
      </nc>
    </rcc>
  </rrc>
  <rrc rId="8840" sId="1" ref="A798:XFD798" action="deleteRow">
    <rfmt sheetId="1" xfDxf="1" sqref="A798:XFD798" start="0" length="0">
      <dxf>
        <fill>
          <patternFill patternType="solid">
            <bgColor rgb="FF00B0F0"/>
          </patternFill>
        </fill>
      </dxf>
    </rfmt>
    <rcc rId="0" sId="1">
      <nc r="A798" t="inlineStr">
        <is>
          <t>Zone 4</t>
        </is>
      </nc>
    </rcc>
    <rcc rId="0" sId="1">
      <nc r="B798">
        <v>27</v>
      </nc>
    </rcc>
    <rcc rId="0" sId="1">
      <nc r="C798">
        <v>1</v>
      </nc>
    </rcc>
    <rcc rId="0" sId="1">
      <nc r="D798" t="inlineStr">
        <is>
          <t>25-001</t>
        </is>
      </nc>
    </rcc>
    <rcc rId="0" sId="1">
      <nc r="E798" t="inlineStr">
        <is>
          <t>W1028442/VAL</t>
        </is>
      </nc>
    </rcc>
    <rcc rId="0" sId="1">
      <nc r="F798" t="inlineStr">
        <is>
          <t>VER3/0122-0888</t>
        </is>
      </nc>
    </rcc>
    <rcc rId="0" sId="1">
      <nc r="G798" t="inlineStr">
        <is>
          <t>LoPro S4 Left Shell Short Well No Cam</t>
        </is>
      </nc>
    </rcc>
    <rcc rId="0" sId="1">
      <nc r="H798">
        <v>6.67</v>
      </nc>
    </rcc>
    <rcc rId="0" sId="1">
      <nc r="I798">
        <v>6.67</v>
      </nc>
    </rcc>
    <rcc rId="0" sId="1">
      <nc r="J798">
        <v>500</v>
      </nc>
    </rcc>
    <rcc rId="0" sId="1">
      <nc r="K798">
        <v>0</v>
      </nc>
    </rcc>
    <rcc rId="0" sId="1" dxf="1" numFmtId="19">
      <nc r="L798">
        <v>46209.569444444445</v>
      </nc>
      <ndxf>
        <numFmt numFmtId="164" formatCode="mm\-dd\-yyyy"/>
      </ndxf>
    </rcc>
    <rcc rId="0" sId="1" dxf="1" numFmtId="19">
      <nc r="M798">
        <v>46210.173611111109</v>
      </nc>
      <ndxf>
        <numFmt numFmtId="164" formatCode="mm\-dd\-yyyy"/>
      </ndxf>
    </rcc>
    <rcc rId="0" sId="1">
      <nc r="AA798" t="inlineStr">
        <is>
          <t>VAL</t>
        </is>
      </nc>
    </rcc>
    <rcc rId="0" sId="1">
      <nc r="AB798" t="inlineStr">
        <is>
          <t>0</t>
        </is>
      </nc>
    </rcc>
  </rrc>
  <rrc rId="8841" sId="1" ref="A798:XFD798" action="deleteRow">
    <rfmt sheetId="1" xfDxf="1" sqref="A798:XFD798" start="0" length="0">
      <dxf>
        <fill>
          <patternFill patternType="solid">
            <bgColor rgb="FF00B0F0"/>
          </patternFill>
        </fill>
        <border outline="0">
          <bottom style="thin">
            <color indexed="64"/>
          </bottom>
        </border>
      </dxf>
    </rfmt>
    <rcc rId="0" sId="1">
      <nc r="A798" t="inlineStr">
        <is>
          <t>Zone 4</t>
        </is>
      </nc>
    </rcc>
    <rcc rId="0" sId="1">
      <nc r="B798">
        <v>27</v>
      </nc>
    </rcc>
    <rcc rId="0" sId="1">
      <nc r="C798">
        <v>1</v>
      </nc>
    </rcc>
    <rcc rId="0" sId="1">
      <nc r="D798" t="inlineStr">
        <is>
          <t>25-001</t>
        </is>
      </nc>
    </rcc>
    <rcc rId="0" sId="1">
      <nc r="E798" t="inlineStr">
        <is>
          <t>W1028443/VAL</t>
        </is>
      </nc>
    </rcc>
    <rcc rId="0" sId="1">
      <nc r="F798" t="inlineStr">
        <is>
          <t>VER3/0122-0888</t>
        </is>
      </nc>
    </rcc>
    <rcc rId="0" sId="1">
      <nc r="G798" t="inlineStr">
        <is>
          <t>LoPro S4 Left Shell Short Well No Cam</t>
        </is>
      </nc>
    </rcc>
    <rcc rId="0" sId="1">
      <nc r="H798">
        <v>6.67</v>
      </nc>
    </rcc>
    <rcc rId="0" sId="1">
      <nc r="I798">
        <v>6.67</v>
      </nc>
    </rcc>
    <rcc rId="0" sId="1">
      <nc r="J798">
        <v>500</v>
      </nc>
    </rcc>
    <rcc rId="0" sId="1">
      <nc r="K798">
        <v>0</v>
      </nc>
    </rcc>
    <rcc rId="0" sId="1" dxf="1" numFmtId="19">
      <nc r="L798">
        <v>46210.180555555555</v>
      </nc>
      <ndxf>
        <numFmt numFmtId="164" formatCode="mm\-dd\-yyyy"/>
      </ndxf>
    </rcc>
    <rcc rId="0" sId="1" dxf="1" numFmtId="19">
      <nc r="M798">
        <v>46210.784722222219</v>
      </nc>
      <ndxf>
        <numFmt numFmtId="164" formatCode="mm\-dd\-yyyy"/>
      </ndxf>
    </rcc>
    <rcc rId="0" sId="1">
      <nc r="AA798" t="inlineStr">
        <is>
          <t>VAL</t>
        </is>
      </nc>
    </rcc>
    <rcc rId="0" sId="1">
      <nc r="AB798" t="inlineStr">
        <is>
          <t>0</t>
        </is>
      </nc>
    </rcc>
  </rrc>
  <rfmt sheetId="1" sqref="A797:XFD797" start="0" length="0">
    <dxf>
      <border>
        <bottom style="thin">
          <color indexed="64"/>
        </bottom>
      </border>
    </dxf>
  </rfmt>
  <rrc rId="8842" sId="1" ref="A804:XFD812" action="insertRow"/>
  <rcc rId="8843" sId="1" odxf="1" dxf="1">
    <nc r="A804" t="inlineStr">
      <is>
        <t>Zone 4</t>
      </is>
    </nc>
    <odxf/>
    <ndxf/>
  </rcc>
  <rcc rId="8844" sId="1" odxf="1" dxf="1">
    <nc r="B804">
      <v>30</v>
    </nc>
    <odxf/>
    <ndxf/>
  </rcc>
  <rcc rId="8845" sId="1" odxf="1" dxf="1">
    <nc r="C804">
      <v>1</v>
    </nc>
    <odxf/>
    <ndxf/>
  </rcc>
  <rcc rId="8846" sId="1" odxf="1" dxf="1">
    <nc r="D804" t="inlineStr">
      <is>
        <t>20-028</t>
      </is>
    </nc>
    <odxf/>
    <ndxf/>
  </rcc>
  <rcc rId="8847" sId="1" odxf="1" dxf="1">
    <nc r="E804" t="inlineStr">
      <is>
        <t>W1025605/1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8848" sId="1" odxf="1" dxf="1">
    <nc r="F804" t="inlineStr">
      <is>
        <t>VER3/0122-1349</t>
      </is>
    </nc>
    <odxf/>
    <ndxf/>
  </rcc>
  <rcc rId="8849" sId="1" odxf="1" dxf="1">
    <nc r="G804" t="inlineStr">
      <is>
        <t>Shell, Left, Spectrum QC, Hyperangle S3, NS Bio-ABS,</t>
      </is>
    </nc>
    <odxf/>
    <ndxf/>
  </rcc>
  <rcc rId="8850" sId="1" odxf="1" dxf="1">
    <nc r="H804">
      <v>152.38</v>
    </nc>
    <odxf/>
    <ndxf/>
  </rcc>
  <rcc rId="8851" sId="1" odxf="1" dxf="1">
    <nc r="I804">
      <v>152.38</v>
    </nc>
    <odxf/>
    <ndxf/>
  </rcc>
  <rcc rId="8852" sId="1" odxf="1" dxf="1">
    <nc r="J804">
      <v>16000</v>
    </nc>
    <odxf/>
    <ndxf/>
  </rcc>
  <rcc rId="8853" sId="1" odxf="1" dxf="1">
    <nc r="K804">
      <v>0</v>
    </nc>
    <odxf/>
    <ndxf/>
  </rcc>
  <rcc rId="8854" sId="1" odxf="1" dxf="1" numFmtId="19">
    <nc r="L804">
      <v>46208.958333333336</v>
    </nc>
    <odxf/>
    <ndxf/>
  </rcc>
  <rcc rId="8855" sId="1" odxf="1" dxf="1" numFmtId="19">
    <nc r="M804">
      <v>46217.638888888891</v>
    </nc>
    <odxf/>
    <ndxf/>
  </rcc>
  <rfmt sheetId="1" sqref="N804" start="0" length="0">
    <dxf>
      <fill>
        <patternFill patternType="solid">
          <bgColor theme="8" tint="0.39997558519241921"/>
        </patternFill>
      </fill>
    </dxf>
  </rfmt>
  <rfmt sheetId="1" sqref="O804" start="0" length="0">
    <dxf>
      <fill>
        <patternFill patternType="solid">
          <bgColor theme="8" tint="0.39997558519241921"/>
        </patternFill>
      </fill>
    </dxf>
  </rfmt>
  <rfmt sheetId="1" sqref="P804" start="0" length="0">
    <dxf>
      <fill>
        <patternFill patternType="solid">
          <bgColor theme="8" tint="0.39997558519241921"/>
        </patternFill>
      </fill>
    </dxf>
  </rfmt>
  <rfmt sheetId="1" sqref="Q804" start="0" length="0">
    <dxf>
      <fill>
        <patternFill patternType="solid">
          <bgColor theme="8" tint="0.39997558519241921"/>
        </patternFill>
      </fill>
    </dxf>
  </rfmt>
  <rfmt sheetId="1" sqref="R804" start="0" length="0">
    <dxf>
      <fill>
        <patternFill patternType="solid">
          <bgColor theme="8" tint="0.39997558519241921"/>
        </patternFill>
      </fill>
    </dxf>
  </rfmt>
  <rfmt sheetId="1" sqref="S804" start="0" length="0">
    <dxf>
      <fill>
        <patternFill patternType="solid">
          <bgColor theme="8" tint="0.39997558519241921"/>
        </patternFill>
      </fill>
    </dxf>
  </rfmt>
  <rfmt sheetId="1" sqref="T804" start="0" length="0">
    <dxf/>
  </rfmt>
  <rfmt sheetId="1" sqref="U804" start="0" length="0">
    <dxf/>
  </rfmt>
  <rfmt sheetId="1" sqref="V804" start="0" length="0">
    <dxf/>
  </rfmt>
  <rfmt sheetId="1" sqref="W804" start="0" length="0">
    <dxf/>
  </rfmt>
  <rfmt sheetId="1" sqref="X804" start="0" length="0">
    <dxf/>
  </rfmt>
  <rfmt sheetId="1" sqref="Y804" start="0" length="0">
    <dxf/>
  </rfmt>
  <rfmt sheetId="1" sqref="Z804" start="0" length="0">
    <dxf/>
  </rfmt>
  <rcc rId="8856" sId="1" odxf="1" dxf="1">
    <nc r="AA804" t="inlineStr">
      <is>
        <t>1</t>
      </is>
    </nc>
    <odxf/>
    <ndxf/>
  </rcc>
  <rcc rId="8857" sId="1" odxf="1" dxf="1">
    <nc r="AB804" t="inlineStr">
      <is>
        <t>0</t>
      </is>
    </nc>
    <odxf/>
    <ndxf/>
  </rcc>
  <rfmt sheetId="1" sqref="AC804" start="0" length="0">
    <dxf/>
  </rfmt>
  <rfmt sheetId="1" sqref="AD804" start="0" length="0">
    <dxf/>
  </rfmt>
  <rfmt sheetId="1" sqref="AE804" start="0" length="0">
    <dxf/>
  </rfmt>
  <rfmt sheetId="1" sqref="AF804" start="0" length="0">
    <dxf/>
  </rfmt>
  <rfmt sheetId="1" sqref="AG804" start="0" length="0">
    <dxf/>
  </rfmt>
  <rfmt sheetId="1" sqref="AH804" start="0" length="0">
    <dxf/>
  </rfmt>
  <rfmt sheetId="1" sqref="A804:XFD804" start="0" length="0">
    <dxf/>
  </rfmt>
  <rcc rId="8858" sId="1" odxf="1" dxf="1">
    <nc r="A805" t="inlineStr">
      <is>
        <t>Zone 4</t>
      </is>
    </nc>
    <odxf/>
    <ndxf/>
  </rcc>
  <rcc rId="8859" sId="1" odxf="1" dxf="1">
    <nc r="B805">
      <v>30</v>
    </nc>
    <odxf/>
    <ndxf/>
  </rcc>
  <rcc rId="8860" sId="1" odxf="1" dxf="1">
    <nc r="C805">
      <v>0.33</v>
    </nc>
    <odxf/>
    <ndxf/>
  </rcc>
  <rcc rId="8861" sId="1" odxf="1" dxf="1">
    <nc r="D805" t="inlineStr">
      <is>
        <t>24-031</t>
      </is>
    </nc>
    <odxf/>
    <ndxf/>
  </rcc>
  <rcc rId="8862" sId="1" odxf="1" dxf="1">
    <nc r="E805" t="inlineStr">
      <is>
        <t>W1029900/1</t>
      </is>
    </nc>
    <odxf/>
    <ndxf/>
  </rcc>
  <rcc rId="8863" sId="1" odxf="1" dxf="1">
    <nc r="F805" t="inlineStr">
      <is>
        <t>VER3/0122-1302</t>
      </is>
    </nc>
    <odxf/>
    <ndxf/>
  </rcc>
  <rcc rId="8864" sId="1" odxf="1" dxf="1">
    <nc r="G805" t="inlineStr">
      <is>
        <t>Collar, Accessory Port</t>
      </is>
    </nc>
    <odxf/>
    <ndxf/>
  </rcc>
  <rcc rId="8865" sId="1" odxf="1" dxf="1">
    <nc r="H805">
      <v>17.552700000000002</v>
    </nc>
    <odxf/>
    <ndxf/>
  </rcc>
  <rcc rId="8866" sId="1" odxf="1" dxf="1">
    <nc r="I805">
      <v>53.19</v>
    </nc>
    <odxf/>
    <ndxf/>
  </rcc>
  <rcc rId="8867" sId="1" odxf="1" dxf="1">
    <nc r="J805">
      <v>15000</v>
    </nc>
    <odxf/>
    <ndxf/>
  </rcc>
  <rcc rId="8868" sId="1" odxf="1" dxf="1">
    <nc r="K805">
      <v>0</v>
    </nc>
    <odxf/>
    <ndxf/>
  </rcc>
  <rcc rId="8869" sId="1" odxf="1" dxf="1" numFmtId="19">
    <nc r="L805">
      <v>46217.645833333336</v>
    </nc>
    <odxf/>
    <ndxf/>
  </rcc>
  <rcc rId="8870" sId="1" odxf="1" dxf="1" numFmtId="19">
    <nc r="M805">
      <v>46219.861111111109</v>
    </nc>
    <odxf/>
    <ndxf/>
  </rcc>
  <rfmt sheetId="1" sqref="N805" start="0" length="0">
    <dxf/>
  </rfmt>
  <rfmt sheetId="1" sqref="O805" start="0" length="0">
    <dxf/>
  </rfmt>
  <rfmt sheetId="1" sqref="P805" start="0" length="0">
    <dxf/>
  </rfmt>
  <rfmt sheetId="1" sqref="Q805" start="0" length="0">
    <dxf/>
  </rfmt>
  <rfmt sheetId="1" sqref="R805" start="0" length="0">
    <dxf/>
  </rfmt>
  <rfmt sheetId="1" sqref="S805" start="0" length="0">
    <dxf/>
  </rfmt>
  <rfmt sheetId="1" sqref="T805" start="0" length="0">
    <dxf/>
  </rfmt>
  <rfmt sheetId="1" sqref="U805" start="0" length="0">
    <dxf/>
  </rfmt>
  <rfmt sheetId="1" sqref="V805" start="0" length="0">
    <dxf/>
  </rfmt>
  <rfmt sheetId="1" sqref="W805" start="0" length="0">
    <dxf/>
  </rfmt>
  <rfmt sheetId="1" sqref="X805" start="0" length="0">
    <dxf/>
  </rfmt>
  <rfmt sheetId="1" sqref="Y805" start="0" length="0">
    <dxf/>
  </rfmt>
  <rfmt sheetId="1" sqref="Z805" start="0" length="0">
    <dxf/>
  </rfmt>
  <rcc rId="8871" sId="1" odxf="1" dxf="1">
    <nc r="AA805" t="inlineStr">
      <is>
        <t>1</t>
      </is>
    </nc>
    <odxf/>
    <ndxf/>
  </rcc>
  <rcc rId="8872" sId="1" odxf="1" dxf="1">
    <nc r="AB805" t="inlineStr">
      <is>
        <t>0</t>
      </is>
    </nc>
    <odxf/>
    <ndxf/>
  </rcc>
  <rfmt sheetId="1" sqref="AC805" start="0" length="0">
    <dxf/>
  </rfmt>
  <rfmt sheetId="1" sqref="AD805" start="0" length="0">
    <dxf/>
  </rfmt>
  <rfmt sheetId="1" sqref="AE805" start="0" length="0">
    <dxf/>
  </rfmt>
  <rfmt sheetId="1" sqref="AF805" start="0" length="0">
    <dxf/>
  </rfmt>
  <rfmt sheetId="1" sqref="AG805" start="0" length="0">
    <dxf/>
  </rfmt>
  <rfmt sheetId="1" sqref="AH805" start="0" length="0">
    <dxf/>
  </rfmt>
  <rfmt sheetId="1" sqref="A805:XFD805" start="0" length="0">
    <dxf/>
  </rfmt>
  <rcc rId="8873" sId="1" odxf="1" dxf="1">
    <nc r="A806" t="inlineStr">
      <is>
        <t>Zone 4</t>
      </is>
    </nc>
    <odxf/>
    <ndxf/>
  </rcc>
  <rcc rId="8874" sId="1" odxf="1" dxf="1">
    <nc r="B806">
      <v>30</v>
    </nc>
    <odxf/>
    <ndxf/>
  </rcc>
  <rcc rId="8875" sId="1" odxf="1" dxf="1">
    <nc r="C806">
      <v>1</v>
    </nc>
    <odxf/>
    <ndxf/>
  </rcc>
  <rcc rId="8876" sId="1" odxf="1" dxf="1">
    <nc r="D806" t="inlineStr">
      <is>
        <t>23-044</t>
      </is>
    </nc>
    <odxf/>
    <ndxf/>
  </rcc>
  <rcc rId="8877" sId="1" odxf="1" dxf="1">
    <nc r="E806" t="inlineStr">
      <is>
        <t>W1022932/1</t>
      </is>
    </nc>
    <odxf/>
    <ndxf/>
  </rcc>
  <rcc rId="8878" sId="1" odxf="1" dxf="1">
    <nc r="F806" t="inlineStr">
      <is>
        <t>VER3/0122-1368</t>
      </is>
    </nc>
    <odxf/>
    <ndxf/>
  </rcc>
  <rcc rId="8879" sId="1" odxf="1" dxf="1">
    <nc r="G806" t="inlineStr">
      <is>
        <t>Shell, Left Spectrum QC MAC S2 NS Bio-ABS</t>
      </is>
    </nc>
    <odxf/>
    <ndxf/>
  </rcc>
  <rcc rId="8880" sId="1" odxf="1" dxf="1">
    <nc r="H806">
      <v>22.94</v>
    </nc>
    <odxf/>
    <ndxf/>
  </rcc>
  <rcc rId="8881" sId="1" odxf="1" dxf="1">
    <nc r="I806">
      <v>22.94</v>
    </nc>
    <odxf/>
    <ndxf/>
  </rcc>
  <rcc rId="8882" sId="1" odxf="1" dxf="1">
    <nc r="J806">
      <v>2500</v>
    </nc>
    <odxf/>
    <ndxf/>
  </rcc>
  <rcc rId="8883" sId="1" odxf="1" dxf="1">
    <nc r="K806">
      <v>0</v>
    </nc>
    <odxf/>
    <ndxf/>
  </rcc>
  <rcc rId="8884" sId="1" odxf="1" dxf="1" numFmtId="19">
    <nc r="L806">
      <v>46219.868055555555</v>
    </nc>
    <odxf/>
    <ndxf/>
  </rcc>
  <rcc rId="8885" sId="1" odxf="1" dxf="1" numFmtId="19">
    <nc r="M806">
      <v>46223.152777777781</v>
    </nc>
    <odxf/>
    <ndxf/>
  </rcc>
  <rfmt sheetId="1" sqref="N806" start="0" length="0">
    <dxf/>
  </rfmt>
  <rfmt sheetId="1" sqref="O806" start="0" length="0">
    <dxf/>
  </rfmt>
  <rfmt sheetId="1" sqref="P806" start="0" length="0">
    <dxf/>
  </rfmt>
  <rfmt sheetId="1" sqref="Q806" start="0" length="0">
    <dxf/>
  </rfmt>
  <rfmt sheetId="1" sqref="R806" start="0" length="0">
    <dxf/>
  </rfmt>
  <rfmt sheetId="1" sqref="S806" start="0" length="0">
    <dxf/>
  </rfmt>
  <rfmt sheetId="1" sqref="T806" start="0" length="0">
    <dxf/>
  </rfmt>
  <rfmt sheetId="1" sqref="U806" start="0" length="0">
    <dxf/>
  </rfmt>
  <rfmt sheetId="1" sqref="V806" start="0" length="0">
    <dxf/>
  </rfmt>
  <rfmt sheetId="1" sqref="W806" start="0" length="0">
    <dxf/>
  </rfmt>
  <rfmt sheetId="1" sqref="X806" start="0" length="0">
    <dxf/>
  </rfmt>
  <rfmt sheetId="1" sqref="Y806" start="0" length="0">
    <dxf/>
  </rfmt>
  <rfmt sheetId="1" sqref="Z806" start="0" length="0">
    <dxf/>
  </rfmt>
  <rcc rId="8886" sId="1" odxf="1" dxf="1">
    <nc r="AA806" t="inlineStr">
      <is>
        <t>1</t>
      </is>
    </nc>
    <odxf/>
    <ndxf/>
  </rcc>
  <rcc rId="8887" sId="1" odxf="1" dxf="1">
    <nc r="AB806" t="inlineStr">
      <is>
        <t>0</t>
      </is>
    </nc>
    <odxf/>
    <ndxf/>
  </rcc>
  <rfmt sheetId="1" sqref="AC806" start="0" length="0">
    <dxf/>
  </rfmt>
  <rfmt sheetId="1" sqref="AD806" start="0" length="0">
    <dxf/>
  </rfmt>
  <rfmt sheetId="1" sqref="AE806" start="0" length="0">
    <dxf/>
  </rfmt>
  <rfmt sheetId="1" sqref="AF806" start="0" length="0">
    <dxf/>
  </rfmt>
  <rfmt sheetId="1" sqref="AG806" start="0" length="0">
    <dxf/>
  </rfmt>
  <rfmt sheetId="1" sqref="AH806" start="0" length="0">
    <dxf/>
  </rfmt>
  <rfmt sheetId="1" sqref="A806:XFD806" start="0" length="0">
    <dxf/>
  </rfmt>
  <rcc rId="8888" sId="1" odxf="1" dxf="1">
    <nc r="A807" t="inlineStr">
      <is>
        <t>Zone 4</t>
      </is>
    </nc>
    <odxf/>
    <ndxf/>
  </rcc>
  <rcc rId="8889" sId="1" odxf="1" dxf="1">
    <nc r="B807">
      <v>30</v>
    </nc>
    <odxf/>
    <ndxf/>
  </rcc>
  <rcc rId="8890" sId="1" odxf="1" dxf="1">
    <nc r="C807">
      <v>1</v>
    </nc>
    <odxf/>
    <ndxf/>
  </rcc>
  <rcc rId="8891" sId="1" odxf="1" dxf="1">
    <nc r="D807" t="inlineStr">
      <is>
        <t>24-005</t>
      </is>
    </nc>
    <odxf/>
    <ndxf/>
  </rcc>
  <rcc rId="8892" sId="1" odxf="1" dxf="1">
    <nc r="E807" t="inlineStr">
      <is>
        <t>W1028642/1</t>
      </is>
    </nc>
    <odxf/>
    <ndxf/>
  </rcc>
  <rcc rId="8893" sId="1" odxf="1" dxf="1">
    <nc r="F807" t="inlineStr">
      <is>
        <t>VER1/0122-1226</t>
      </is>
    </nc>
    <odxf/>
    <ndxf/>
  </rcc>
  <rcc rId="8894" sId="1" odxf="1" dxf="1">
    <nc r="G807" t="inlineStr">
      <is>
        <t>Handle Screw Cover</t>
      </is>
    </nc>
    <odxf/>
    <ndxf/>
  </rcc>
  <rcc rId="8895" sId="1" odxf="1" dxf="1">
    <nc r="H807">
      <v>5.81</v>
    </nc>
    <odxf/>
    <ndxf/>
  </rcc>
  <rcc rId="8896" sId="1" odxf="1" dxf="1">
    <nc r="I807">
      <v>5.81</v>
    </nc>
    <odxf/>
    <ndxf/>
  </rcc>
  <rcc rId="8897" sId="1" odxf="1" dxf="1">
    <nc r="J807">
      <v>500</v>
    </nc>
    <odxf/>
    <ndxf/>
  </rcc>
  <rcc rId="8898" sId="1" odxf="1" dxf="1">
    <nc r="K807">
      <v>0</v>
    </nc>
    <odxf/>
    <ndxf/>
  </rcc>
  <rcc rId="8899" sId="1" odxf="1" dxf="1" numFmtId="19">
    <nc r="L807">
      <v>46223.159722222219</v>
    </nc>
    <odxf/>
    <ndxf/>
  </rcc>
  <rcc rId="8900" sId="1" odxf="1" dxf="1" numFmtId="19">
    <nc r="M807">
      <v>46223.729166666664</v>
    </nc>
    <odxf/>
    <ndxf/>
  </rcc>
  <rfmt sheetId="1" sqref="N807" start="0" length="0">
    <dxf/>
  </rfmt>
  <rfmt sheetId="1" sqref="O807" start="0" length="0">
    <dxf/>
  </rfmt>
  <rfmt sheetId="1" sqref="P807" start="0" length="0">
    <dxf/>
  </rfmt>
  <rfmt sheetId="1" sqref="Q807" start="0" length="0">
    <dxf/>
  </rfmt>
  <rfmt sheetId="1" sqref="R807" start="0" length="0">
    <dxf/>
  </rfmt>
  <rfmt sheetId="1" sqref="S807" start="0" length="0">
    <dxf/>
  </rfmt>
  <rfmt sheetId="1" sqref="T807" start="0" length="0">
    <dxf/>
  </rfmt>
  <rfmt sheetId="1" sqref="U807" start="0" length="0">
    <dxf/>
  </rfmt>
  <rfmt sheetId="1" sqref="V807" start="0" length="0">
    <dxf/>
  </rfmt>
  <rfmt sheetId="1" sqref="W807" start="0" length="0">
    <dxf/>
  </rfmt>
  <rfmt sheetId="1" sqref="X807" start="0" length="0">
    <dxf/>
  </rfmt>
  <rfmt sheetId="1" sqref="Y807" start="0" length="0">
    <dxf/>
  </rfmt>
  <rfmt sheetId="1" sqref="Z807" start="0" length="0">
    <dxf/>
  </rfmt>
  <rcc rId="8901" sId="1" odxf="1" dxf="1">
    <nc r="AA807" t="inlineStr">
      <is>
        <t>1</t>
      </is>
    </nc>
    <odxf/>
    <ndxf/>
  </rcc>
  <rcc rId="8902" sId="1" odxf="1" dxf="1">
    <nc r="AB807" t="inlineStr">
      <is>
        <t>0</t>
      </is>
    </nc>
    <odxf/>
    <ndxf/>
  </rcc>
  <rfmt sheetId="1" sqref="AC807" start="0" length="0">
    <dxf/>
  </rfmt>
  <rfmt sheetId="1" sqref="AD807" start="0" length="0">
    <dxf/>
  </rfmt>
  <rfmt sheetId="1" sqref="AE807" start="0" length="0">
    <dxf/>
  </rfmt>
  <rfmt sheetId="1" sqref="AF807" start="0" length="0">
    <dxf/>
  </rfmt>
  <rfmt sheetId="1" sqref="AG807" start="0" length="0">
    <dxf/>
  </rfmt>
  <rfmt sheetId="1" sqref="AH807" start="0" length="0">
    <dxf/>
  </rfmt>
  <rfmt sheetId="1" sqref="A807:XFD807" start="0" length="0">
    <dxf/>
  </rfmt>
  <rcc rId="8903" sId="1" odxf="1" dxf="1">
    <nc r="A808" t="inlineStr">
      <is>
        <t>Zone 4</t>
      </is>
    </nc>
    <odxf/>
    <ndxf/>
  </rcc>
  <rcc rId="8904" sId="1" odxf="1" dxf="1">
    <nc r="B808">
      <v>30</v>
    </nc>
    <odxf/>
    <ndxf/>
  </rcc>
  <rcc rId="8905" sId="1" odxf="1" dxf="1">
    <nc r="C808">
      <v>1</v>
    </nc>
    <odxf/>
    <ndxf/>
  </rcc>
  <rcc rId="8906" sId="1" odxf="1" dxf="1">
    <nc r="D808" t="inlineStr">
      <is>
        <t>20-028</t>
      </is>
    </nc>
    <odxf/>
    <ndxf/>
  </rcc>
  <rcc rId="8907" sId="1" odxf="1" dxf="1">
    <nc r="E808" t="inlineStr">
      <is>
        <t>W1025599/1</t>
      </is>
    </nc>
    <odxf/>
    <ndxf/>
  </rcc>
  <rcc rId="8908" sId="1" odxf="1" dxf="1">
    <nc r="F808" t="inlineStr">
      <is>
        <t>VER3/0122-1349</t>
      </is>
    </nc>
    <odxf/>
    <ndxf/>
  </rcc>
  <rcc rId="8909" sId="1" odxf="1" dxf="1">
    <nc r="G808" t="inlineStr">
      <is>
        <t>Shell, Left, Spectrum QC, Hyperangle S3, NS Bio-ABS,</t>
      </is>
    </nc>
    <odxf/>
    <ndxf/>
  </rcc>
  <rcc rId="8910" sId="1" odxf="1" dxf="1">
    <nc r="H808">
      <v>152.38</v>
    </nc>
    <odxf/>
    <ndxf/>
  </rcc>
  <rcc rId="8911" sId="1" odxf="1" dxf="1">
    <nc r="I808">
      <v>152.38</v>
    </nc>
    <odxf/>
    <ndxf/>
  </rcc>
  <rcc rId="8912" sId="1" odxf="1" dxf="1">
    <nc r="J808">
      <v>16000</v>
    </nc>
    <odxf/>
    <ndxf/>
  </rcc>
  <rcc rId="8913" sId="1" odxf="1" dxf="1">
    <nc r="K808">
      <v>0</v>
    </nc>
    <odxf/>
    <ndxf/>
  </rcc>
  <rcc rId="8914" sId="1" odxf="1" dxf="1" numFmtId="19">
    <nc r="L808">
      <v>46223.736111111109</v>
    </nc>
    <odxf/>
    <ndxf/>
  </rcc>
  <rcc rId="8915" sId="1" odxf="1" dxf="1" numFmtId="19">
    <nc r="M808">
      <v>46232.416666666664</v>
    </nc>
    <odxf/>
    <ndxf/>
  </rcc>
  <rfmt sheetId="1" sqref="N808" start="0" length="0">
    <dxf/>
  </rfmt>
  <rfmt sheetId="1" sqref="O808" start="0" length="0">
    <dxf/>
  </rfmt>
  <rfmt sheetId="1" sqref="P808" start="0" length="0">
    <dxf/>
  </rfmt>
  <rfmt sheetId="1" sqref="Q808" start="0" length="0">
    <dxf/>
  </rfmt>
  <rfmt sheetId="1" sqref="R808" start="0" length="0">
    <dxf/>
  </rfmt>
  <rfmt sheetId="1" sqref="S808" start="0" length="0">
    <dxf/>
  </rfmt>
  <rfmt sheetId="1" sqref="T808" start="0" length="0">
    <dxf/>
  </rfmt>
  <rfmt sheetId="1" sqref="U808" start="0" length="0">
    <dxf/>
  </rfmt>
  <rfmt sheetId="1" sqref="V808" start="0" length="0">
    <dxf/>
  </rfmt>
  <rfmt sheetId="1" sqref="W808" start="0" length="0">
    <dxf/>
  </rfmt>
  <rfmt sheetId="1" sqref="X808" start="0" length="0">
    <dxf/>
  </rfmt>
  <rfmt sheetId="1" sqref="Y808" start="0" length="0">
    <dxf/>
  </rfmt>
  <rfmt sheetId="1" sqref="Z808" start="0" length="0">
    <dxf/>
  </rfmt>
  <rcc rId="8916" sId="1" odxf="1" dxf="1">
    <nc r="AA808" t="inlineStr">
      <is>
        <t>1</t>
      </is>
    </nc>
    <odxf/>
    <ndxf/>
  </rcc>
  <rcc rId="8917" sId="1" odxf="1" dxf="1">
    <nc r="AB808" t="inlineStr">
      <is>
        <t>0</t>
      </is>
    </nc>
    <odxf/>
    <ndxf/>
  </rcc>
  <rfmt sheetId="1" sqref="AC808" start="0" length="0">
    <dxf/>
  </rfmt>
  <rfmt sheetId="1" sqref="AD808" start="0" length="0">
    <dxf/>
  </rfmt>
  <rfmt sheetId="1" sqref="AE808" start="0" length="0">
    <dxf/>
  </rfmt>
  <rfmt sheetId="1" sqref="AF808" start="0" length="0">
    <dxf/>
  </rfmt>
  <rfmt sheetId="1" sqref="AG808" start="0" length="0">
    <dxf/>
  </rfmt>
  <rfmt sheetId="1" sqref="AH808" start="0" length="0">
    <dxf/>
  </rfmt>
  <rfmt sheetId="1" sqref="A808:XFD808" start="0" length="0">
    <dxf/>
  </rfmt>
  <rcc rId="8918" sId="1" odxf="1" dxf="1">
    <nc r="A809" t="inlineStr">
      <is>
        <t>Zone 4</t>
      </is>
    </nc>
    <odxf/>
    <ndxf/>
  </rcc>
  <rcc rId="8919" sId="1" odxf="1" dxf="1">
    <nc r="B809">
      <v>30</v>
    </nc>
    <odxf/>
    <ndxf/>
  </rcc>
  <rcc rId="8920" sId="1" odxf="1" dxf="1">
    <nc r="C809">
      <v>1</v>
    </nc>
    <odxf/>
    <ndxf/>
  </rcc>
  <rcc rId="8921" sId="1" odxf="1" dxf="1">
    <nc r="D809" t="inlineStr">
      <is>
        <t>23-041</t>
      </is>
    </nc>
    <odxf/>
    <ndxf/>
  </rcc>
  <rcc rId="8922" sId="1" odxf="1" dxf="1">
    <nc r="E809" t="inlineStr">
      <is>
        <t>W1026346/1</t>
      </is>
    </nc>
    <odxf/>
    <ndxf/>
  </rcc>
  <rcc rId="8923" sId="1" odxf="1" dxf="1">
    <nc r="F809" t="inlineStr">
      <is>
        <t>VER3/0122-1374</t>
      </is>
    </nc>
    <odxf/>
    <ndxf/>
  </rcc>
  <rcc rId="8924" sId="1" odxf="1" dxf="1">
    <nc r="G809" t="inlineStr">
      <is>
        <t>Shell, Left Spectrum QC Miller S00 NS Bio-ABS</t>
      </is>
    </nc>
    <odxf/>
    <ndxf/>
  </rcc>
  <rcc rId="8925" sId="1" odxf="1" dxf="1">
    <nc r="H809">
      <v>46.67</v>
    </nc>
    <odxf/>
    <ndxf/>
  </rcc>
  <rcc rId="8926" sId="1" odxf="1" dxf="1">
    <nc r="I809">
      <v>46.67</v>
    </nc>
    <odxf/>
    <ndxf/>
  </rcc>
  <rcc rId="8927" sId="1" odxf="1" dxf="1">
    <nc r="J809">
      <v>3500</v>
    </nc>
    <odxf/>
    <ndxf/>
  </rcc>
  <rcc rId="8928" sId="1" odxf="1" dxf="1">
    <nc r="K809">
      <v>0</v>
    </nc>
    <odxf/>
    <ndxf/>
  </rcc>
  <rcc rId="8929" sId="1" odxf="1" dxf="1" numFmtId="19">
    <nc r="L809">
      <v>46232.423611111109</v>
    </nc>
    <odxf/>
    <ndxf/>
  </rcc>
  <rcc rId="8930" sId="1" odxf="1" dxf="1" numFmtId="19">
    <nc r="M809">
      <v>46234.694444444445</v>
    </nc>
    <odxf/>
    <ndxf/>
  </rcc>
  <rfmt sheetId="1" sqref="N809" start="0" length="0">
    <dxf/>
  </rfmt>
  <rfmt sheetId="1" sqref="O809" start="0" length="0">
    <dxf/>
  </rfmt>
  <rfmt sheetId="1" sqref="P809" start="0" length="0">
    <dxf/>
  </rfmt>
  <rfmt sheetId="1" sqref="Q809" start="0" length="0">
    <dxf/>
  </rfmt>
  <rfmt sheetId="1" sqref="R809" start="0" length="0">
    <dxf/>
  </rfmt>
  <rfmt sheetId="1" sqref="S809" start="0" length="0">
    <dxf/>
  </rfmt>
  <rfmt sheetId="1" sqref="T809" start="0" length="0">
    <dxf/>
  </rfmt>
  <rfmt sheetId="1" sqref="U809" start="0" length="0">
    <dxf/>
  </rfmt>
  <rfmt sheetId="1" sqref="V809" start="0" length="0">
    <dxf/>
  </rfmt>
  <rfmt sheetId="1" sqref="W809" start="0" length="0">
    <dxf/>
  </rfmt>
  <rfmt sheetId="1" sqref="X809" start="0" length="0">
    <dxf/>
  </rfmt>
  <rfmt sheetId="1" sqref="Y809" start="0" length="0">
    <dxf/>
  </rfmt>
  <rfmt sheetId="1" sqref="Z809" start="0" length="0">
    <dxf/>
  </rfmt>
  <rcc rId="8931" sId="1" odxf="1" dxf="1">
    <nc r="AA809" t="inlineStr">
      <is>
        <t>1</t>
      </is>
    </nc>
    <odxf/>
    <ndxf/>
  </rcc>
  <rcc rId="8932" sId="1" odxf="1" dxf="1">
    <nc r="AB809" t="inlineStr">
      <is>
        <t>0</t>
      </is>
    </nc>
    <odxf/>
    <ndxf/>
  </rcc>
  <rfmt sheetId="1" sqref="AC809" start="0" length="0">
    <dxf/>
  </rfmt>
  <rfmt sheetId="1" sqref="AD809" start="0" length="0">
    <dxf/>
  </rfmt>
  <rfmt sheetId="1" sqref="AE809" start="0" length="0">
    <dxf/>
  </rfmt>
  <rfmt sheetId="1" sqref="AF809" start="0" length="0">
    <dxf/>
  </rfmt>
  <rfmt sheetId="1" sqref="AG809" start="0" length="0">
    <dxf/>
  </rfmt>
  <rfmt sheetId="1" sqref="AH809" start="0" length="0">
    <dxf/>
  </rfmt>
  <rfmt sheetId="1" sqref="A809:XFD809" start="0" length="0">
    <dxf/>
  </rfmt>
  <rcc rId="8933" sId="1" odxf="1" dxf="1">
    <nc r="A810" t="inlineStr">
      <is>
        <t>Zone 4</t>
      </is>
    </nc>
    <odxf/>
    <ndxf/>
  </rcc>
  <rcc rId="8934" sId="1" odxf="1" dxf="1">
    <nc r="B810">
      <v>30</v>
    </nc>
    <odxf/>
    <ndxf/>
  </rcc>
  <rcc rId="8935" sId="1" odxf="1" dxf="1">
    <nc r="C810">
      <v>1</v>
    </nc>
    <odxf/>
    <ndxf/>
  </rcc>
  <rcc rId="8936" sId="1" odxf="1" dxf="1">
    <nc r="D810" t="inlineStr">
      <is>
        <t>20-025</t>
      </is>
    </nc>
    <odxf/>
    <ndxf/>
  </rcc>
  <rcc rId="8937" sId="1" odxf="1" dxf="1">
    <nc r="E810" t="inlineStr">
      <is>
        <t>W1028550/1</t>
      </is>
    </nc>
    <odxf>
      <border outline="0">
        <bottom/>
      </border>
    </odxf>
    <ndxf>
      <border outline="0">
        <bottom style="thin">
          <color indexed="64"/>
        </bottom>
      </border>
    </ndxf>
  </rcc>
  <rcc rId="8938" sId="1" odxf="1" dxf="1">
    <nc r="F810" t="inlineStr">
      <is>
        <t>VER3/0122-1353</t>
      </is>
    </nc>
    <odxf/>
    <ndxf/>
  </rcc>
  <rcc rId="8939" sId="1" odxf="1" dxf="1">
    <nc r="G810" t="inlineStr">
      <is>
        <t>Shell, Left, Spectrum QC, Hyperangle S1, NS Bio-ABS</t>
      </is>
    </nc>
    <odxf/>
    <ndxf/>
  </rcc>
  <rcc rId="8940" sId="1" odxf="1" dxf="1">
    <nc r="H810">
      <v>46.67</v>
    </nc>
    <odxf/>
    <ndxf/>
  </rcc>
  <rcc rId="8941" sId="1" odxf="1" dxf="1">
    <nc r="I810">
      <v>46.67</v>
    </nc>
    <odxf/>
    <ndxf/>
  </rcc>
  <rcc rId="8942" sId="1" odxf="1" dxf="1">
    <nc r="J810">
      <v>3500</v>
    </nc>
    <odxf/>
    <ndxf/>
  </rcc>
  <rcc rId="8943" sId="1" odxf="1" dxf="1">
    <nc r="K810">
      <v>0</v>
    </nc>
    <odxf/>
    <ndxf/>
  </rcc>
  <rcc rId="8944" sId="1" odxf="1" dxf="1" numFmtId="19">
    <nc r="L810">
      <v>46234.701388888891</v>
    </nc>
    <odxf/>
    <ndxf/>
  </rcc>
  <rcc rId="8945" sId="1" odxf="1" dxf="1" numFmtId="19">
    <nc r="M810">
      <v>46239.972222222219</v>
    </nc>
    <odxf/>
    <ndxf/>
  </rcc>
  <rfmt sheetId="1" sqref="N810" start="0" length="0">
    <dxf>
      <border outline="0">
        <bottom style="thin">
          <color indexed="64"/>
        </bottom>
      </border>
    </dxf>
  </rfmt>
  <rfmt sheetId="1" sqref="O810" start="0" length="0">
    <dxf>
      <border outline="0">
        <bottom style="thin">
          <color indexed="64"/>
        </bottom>
      </border>
    </dxf>
  </rfmt>
  <rfmt sheetId="1" sqref="P810" start="0" length="0">
    <dxf>
      <border outline="0">
        <bottom style="thin">
          <color indexed="64"/>
        </bottom>
      </border>
    </dxf>
  </rfmt>
  <rfmt sheetId="1" sqref="Q810" start="0" length="0">
    <dxf>
      <border outline="0">
        <bottom style="thin">
          <color indexed="64"/>
        </bottom>
      </border>
    </dxf>
  </rfmt>
  <rfmt sheetId="1" sqref="R810" start="0" length="0">
    <dxf>
      <border outline="0">
        <bottom style="thin">
          <color indexed="64"/>
        </bottom>
      </border>
    </dxf>
  </rfmt>
  <rfmt sheetId="1" sqref="S810" start="0" length="0">
    <dxf>
      <border outline="0">
        <bottom style="thin">
          <color indexed="64"/>
        </bottom>
      </border>
    </dxf>
  </rfmt>
  <rfmt sheetId="1" sqref="T810" start="0" length="0">
    <dxf/>
  </rfmt>
  <rfmt sheetId="1" sqref="U810" start="0" length="0">
    <dxf/>
  </rfmt>
  <rfmt sheetId="1" sqref="V810" start="0" length="0">
    <dxf/>
  </rfmt>
  <rfmt sheetId="1" sqref="W810" start="0" length="0">
    <dxf/>
  </rfmt>
  <rfmt sheetId="1" sqref="X810" start="0" length="0">
    <dxf/>
  </rfmt>
  <rfmt sheetId="1" sqref="Y810" start="0" length="0">
    <dxf/>
  </rfmt>
  <rfmt sheetId="1" sqref="Z810" start="0" length="0">
    <dxf/>
  </rfmt>
  <rcc rId="8946" sId="1" odxf="1" dxf="1">
    <nc r="AA810" t="inlineStr">
      <is>
        <t>1</t>
      </is>
    </nc>
    <odxf/>
    <ndxf/>
  </rcc>
  <rcc rId="8947" sId="1" odxf="1" dxf="1">
    <nc r="AB810" t="inlineStr">
      <is>
        <t>0</t>
      </is>
    </nc>
    <odxf/>
    <ndxf/>
  </rcc>
  <rfmt sheetId="1" sqref="AC810" start="0" length="0">
    <dxf/>
  </rfmt>
  <rfmt sheetId="1" sqref="AD810" start="0" length="0">
    <dxf/>
  </rfmt>
  <rfmt sheetId="1" sqref="AE810" start="0" length="0">
    <dxf/>
  </rfmt>
  <rfmt sheetId="1" sqref="AF810" start="0" length="0">
    <dxf/>
  </rfmt>
  <rfmt sheetId="1" sqref="AG810" start="0" length="0">
    <dxf/>
  </rfmt>
  <rfmt sheetId="1" sqref="AH810" start="0" length="0">
    <dxf/>
  </rfmt>
  <rfmt sheetId="1" sqref="A810:XFD810" start="0" length="0">
    <dxf/>
  </rfmt>
  <rcc rId="8948" sId="1" odxf="1" dxf="1">
    <nc r="A811" t="inlineStr">
      <is>
        <t>Zone 4</t>
      </is>
    </nc>
    <odxf/>
    <ndxf/>
  </rcc>
  <rcc rId="8949" sId="1" odxf="1" dxf="1">
    <nc r="B811">
      <v>30</v>
    </nc>
    <odxf/>
    <ndxf/>
  </rcc>
  <rcc rId="8950" sId="1" odxf="1" dxf="1">
    <nc r="C811">
      <v>1</v>
    </nc>
    <odxf/>
    <ndxf/>
  </rcc>
  <rcc rId="8951" sId="1" odxf="1" dxf="1">
    <nc r="D811" t="inlineStr">
      <is>
        <t>20-031</t>
      </is>
    </nc>
    <odxf/>
    <ndxf/>
  </rcc>
  <rcc rId="8952" sId="1" odxf="1" dxf="1">
    <nc r="E811" t="inlineStr">
      <is>
        <t>W1027831/1</t>
      </is>
    </nc>
    <odxf/>
    <ndxf/>
  </rcc>
  <rcc rId="8953" sId="1" odxf="1" dxf="1">
    <nc r="F811" t="inlineStr">
      <is>
        <t>VER3/0122-1365</t>
      </is>
    </nc>
    <odxf/>
    <ndxf/>
  </rcc>
  <rcc rId="8954" sId="1" odxf="1" dxf="1">
    <nc r="G811" t="inlineStr">
      <is>
        <t>Shell, Left, Spectrum QC, Miller S1, NS Bio-ABS</t>
      </is>
    </nc>
    <odxf/>
    <ndxf/>
  </rcc>
  <rcc rId="8955" sId="1" odxf="1" dxf="1">
    <nc r="H811">
      <v>86.67</v>
    </nc>
    <odxf/>
    <ndxf/>
  </rcc>
  <rcc rId="8956" sId="1" odxf="1" dxf="1">
    <nc r="I811">
      <v>86.67</v>
    </nc>
    <odxf/>
    <ndxf/>
  </rcc>
  <rcc rId="8957" sId="1" odxf="1" dxf="1">
    <nc r="J811">
      <v>6500</v>
    </nc>
    <odxf/>
    <ndxf/>
  </rcc>
  <rcc rId="8958" sId="1" odxf="1" dxf="1">
    <nc r="K811">
      <v>0</v>
    </nc>
    <odxf/>
    <ndxf/>
  </rcc>
  <rcc rId="8959" sId="1" odxf="1" dxf="1" numFmtId="19">
    <nc r="L811">
      <v>46239.979166666664</v>
    </nc>
    <odxf/>
    <ndxf/>
  </rcc>
  <rcc rId="8960" sId="1" odxf="1" dxf="1" numFmtId="19">
    <nc r="M811">
      <v>46245.916666666664</v>
    </nc>
    <odxf/>
    <ndxf/>
  </rcc>
  <rfmt sheetId="1" sqref="N811" start="0" length="0">
    <dxf/>
  </rfmt>
  <rfmt sheetId="1" sqref="O811" start="0" length="0">
    <dxf/>
  </rfmt>
  <rfmt sheetId="1" sqref="P811" start="0" length="0">
    <dxf/>
  </rfmt>
  <rfmt sheetId="1" sqref="Q811" start="0" length="0">
    <dxf/>
  </rfmt>
  <rfmt sheetId="1" sqref="R811" start="0" length="0">
    <dxf/>
  </rfmt>
  <rfmt sheetId="1" sqref="S811" start="0" length="0">
    <dxf/>
  </rfmt>
  <rfmt sheetId="1" sqref="T811" start="0" length="0">
    <dxf/>
  </rfmt>
  <rfmt sheetId="1" sqref="U811" start="0" length="0">
    <dxf/>
  </rfmt>
  <rfmt sheetId="1" sqref="V811" start="0" length="0">
    <dxf/>
  </rfmt>
  <rfmt sheetId="1" sqref="W811" start="0" length="0">
    <dxf/>
  </rfmt>
  <rfmt sheetId="1" sqref="X811" start="0" length="0">
    <dxf/>
  </rfmt>
  <rfmt sheetId="1" sqref="Y811" start="0" length="0">
    <dxf/>
  </rfmt>
  <rfmt sheetId="1" sqref="Z811" start="0" length="0">
    <dxf/>
  </rfmt>
  <rcc rId="8961" sId="1" odxf="1" dxf="1">
    <nc r="AA811" t="inlineStr">
      <is>
        <t>1</t>
      </is>
    </nc>
    <odxf/>
    <ndxf/>
  </rcc>
  <rcc rId="8962" sId="1" odxf="1" dxf="1">
    <nc r="AB811" t="inlineStr">
      <is>
        <t>0</t>
      </is>
    </nc>
    <odxf/>
    <ndxf/>
  </rcc>
  <rfmt sheetId="1" sqref="AC811" start="0" length="0">
    <dxf/>
  </rfmt>
  <rfmt sheetId="1" sqref="AD811" start="0" length="0">
    <dxf/>
  </rfmt>
  <rfmt sheetId="1" sqref="AE811" start="0" length="0">
    <dxf/>
  </rfmt>
  <rfmt sheetId="1" sqref="AF811" start="0" length="0">
    <dxf/>
  </rfmt>
  <rfmt sheetId="1" sqref="AG811" start="0" length="0">
    <dxf/>
  </rfmt>
  <rfmt sheetId="1" sqref="AH811" start="0" length="0">
    <dxf/>
  </rfmt>
  <rfmt sheetId="1" sqref="A811:XFD811" start="0" length="0">
    <dxf/>
  </rfmt>
  <rcc rId="8963" sId="1" odxf="1" dxf="1">
    <nc r="A812" t="inlineStr">
      <is>
        <t>Zone 4</t>
      </is>
    </nc>
    <odxf/>
    <ndxf/>
  </rcc>
  <rcc rId="8964" sId="1" odxf="1" dxf="1">
    <nc r="B812">
      <v>30</v>
    </nc>
    <odxf/>
    <ndxf/>
  </rcc>
  <rcc rId="8965" sId="1" odxf="1" dxf="1">
    <nc r="C812">
      <v>1</v>
    </nc>
    <odxf/>
    <ndxf/>
  </rcc>
  <rcc rId="8966" sId="1" odxf="1" dxf="1">
    <nc r="D812" t="inlineStr">
      <is>
        <t>20-028</t>
      </is>
    </nc>
    <odxf/>
    <ndxf/>
  </rcc>
  <rcc rId="8967" sId="1" odxf="1" dxf="1">
    <nc r="E812" t="inlineStr">
      <is>
        <t>W1029894/1</t>
      </is>
    </nc>
    <odxf/>
    <ndxf/>
  </rcc>
  <rcc rId="8968" sId="1" odxf="1" dxf="1">
    <nc r="F812" t="inlineStr">
      <is>
        <t>VER3/0122-1349</t>
      </is>
    </nc>
    <odxf/>
    <ndxf/>
  </rcc>
  <rcc rId="8969" sId="1" odxf="1" dxf="1">
    <nc r="G812" t="inlineStr">
      <is>
        <t>Shell, Left, Spectrum QC, Hyperangle S3, NS Bio-ABS,</t>
      </is>
    </nc>
    <odxf/>
    <ndxf/>
  </rcc>
  <rcc rId="8970" sId="1" odxf="1" dxf="1">
    <nc r="H812">
      <v>152.38</v>
    </nc>
    <odxf/>
    <ndxf/>
  </rcc>
  <rcc rId="8971" sId="1" odxf="1" dxf="1">
    <nc r="I812">
      <v>152.38</v>
    </nc>
    <odxf/>
    <ndxf/>
  </rcc>
  <rcc rId="8972" sId="1" odxf="1" dxf="1">
    <nc r="J812">
      <v>16000</v>
    </nc>
    <odxf/>
    <ndxf/>
  </rcc>
  <rcc rId="8973" sId="1" odxf="1" dxf="1">
    <nc r="K812">
      <v>0</v>
    </nc>
    <odxf/>
    <ndxf/>
  </rcc>
  <rcc rId="8974" sId="1" odxf="1" dxf="1" numFmtId="19">
    <nc r="L812">
      <v>46245.923611111109</v>
    </nc>
    <odxf/>
    <ndxf/>
  </rcc>
  <rcc rId="8975" sId="1" odxf="1" dxf="1" numFmtId="19">
    <nc r="M812">
      <v>46254.604166666664</v>
    </nc>
    <odxf/>
    <ndxf/>
  </rcc>
  <rfmt sheetId="1" sqref="N812" start="0" length="0">
    <dxf/>
  </rfmt>
  <rfmt sheetId="1" sqref="O812" start="0" length="0">
    <dxf/>
  </rfmt>
  <rfmt sheetId="1" sqref="P812" start="0" length="0">
    <dxf/>
  </rfmt>
  <rfmt sheetId="1" sqref="Q812" start="0" length="0">
    <dxf/>
  </rfmt>
  <rfmt sheetId="1" sqref="R812" start="0" length="0">
    <dxf/>
  </rfmt>
  <rfmt sheetId="1" sqref="S812" start="0" length="0">
    <dxf/>
  </rfmt>
  <rfmt sheetId="1" sqref="T812" start="0" length="0">
    <dxf/>
  </rfmt>
  <rfmt sheetId="1" sqref="U812" start="0" length="0">
    <dxf/>
  </rfmt>
  <rfmt sheetId="1" sqref="V812" start="0" length="0">
    <dxf/>
  </rfmt>
  <rfmt sheetId="1" sqref="W812" start="0" length="0">
    <dxf/>
  </rfmt>
  <rfmt sheetId="1" sqref="X812" start="0" length="0">
    <dxf/>
  </rfmt>
  <rfmt sheetId="1" sqref="Y812" start="0" length="0">
    <dxf/>
  </rfmt>
  <rfmt sheetId="1" sqref="Z812" start="0" length="0">
    <dxf/>
  </rfmt>
  <rcc rId="8976" sId="1" odxf="1" dxf="1">
    <nc r="AA812" t="inlineStr">
      <is>
        <t>1</t>
      </is>
    </nc>
    <odxf/>
    <ndxf/>
  </rcc>
  <rcc rId="8977" sId="1" odxf="1" dxf="1">
    <nc r="AB812" t="inlineStr">
      <is>
        <t>0</t>
      </is>
    </nc>
    <odxf/>
    <ndxf/>
  </rcc>
  <rfmt sheetId="1" sqref="AC812" start="0" length="0">
    <dxf/>
  </rfmt>
  <rfmt sheetId="1" sqref="AD812" start="0" length="0">
    <dxf/>
  </rfmt>
  <rfmt sheetId="1" sqref="AE812" start="0" length="0">
    <dxf/>
  </rfmt>
  <rfmt sheetId="1" sqref="AF812" start="0" length="0">
    <dxf/>
  </rfmt>
  <rfmt sheetId="1" sqref="AG812" start="0" length="0">
    <dxf/>
  </rfmt>
  <rfmt sheetId="1" sqref="AH812" start="0" length="0">
    <dxf/>
  </rfmt>
  <rfmt sheetId="1" sqref="A812:XFD812" start="0" length="0">
    <dxf/>
  </rfmt>
  <rrc rId="8978" sId="1" ref="A813:XFD813" action="deleteRow">
    <rfmt sheetId="1" xfDxf="1" sqref="A813:XFD813" start="0" length="0">
      <dxf>
        <fill>
          <patternFill patternType="solid">
            <bgColor theme="8" tint="0.39997558519241921"/>
          </patternFill>
        </fill>
      </dxf>
    </rfmt>
    <rcc rId="0" sId="1">
      <nc r="A813" t="inlineStr">
        <is>
          <t>Zone 4</t>
        </is>
      </nc>
    </rcc>
    <rcc rId="0" sId="1">
      <nc r="B813">
        <v>30</v>
      </nc>
    </rcc>
    <rcc rId="0" sId="1">
      <nc r="C813">
        <v>1</v>
      </nc>
    </rcc>
    <rcc rId="0" sId="1">
      <nc r="D813" t="inlineStr">
        <is>
          <t>20-028</t>
        </is>
      </nc>
    </rcc>
    <rcc rId="0" sId="1">
      <nc r="E813" t="inlineStr">
        <is>
          <t>W1025605/1</t>
        </is>
      </nc>
    </rcc>
    <rcc rId="0" sId="1">
      <nc r="F813" t="inlineStr">
        <is>
          <t>VER3/0122-1349</t>
        </is>
      </nc>
    </rcc>
    <rcc rId="0" sId="1">
      <nc r="G813" t="inlineStr">
        <is>
          <t>Shell, Left, Spectrum QC, Hyperangle S3, NS Bio-ABS,</t>
        </is>
      </nc>
    </rcc>
    <rcc rId="0" sId="1">
      <nc r="H813">
        <v>152.38</v>
      </nc>
    </rcc>
    <rcc rId="0" sId="1">
      <nc r="I813">
        <v>152.38</v>
      </nc>
    </rcc>
    <rcc rId="0" sId="1">
      <nc r="J813">
        <v>16000</v>
      </nc>
    </rcc>
    <rcc rId="0" sId="1">
      <nc r="K813">
        <v>0</v>
      </nc>
    </rcc>
    <rcc rId="0" sId="1" dxf="1" numFmtId="19">
      <nc r="L813">
        <v>46212.131944444445</v>
      </nc>
      <ndxf>
        <numFmt numFmtId="164" formatCode="mm\-dd\-yyyy"/>
      </ndxf>
    </rcc>
    <rcc rId="0" sId="1" dxf="1" numFmtId="19">
      <nc r="M813">
        <v>46220.8125</v>
      </nc>
      <ndxf>
        <numFmt numFmtId="164" formatCode="mm\-dd\-yyyy"/>
      </ndxf>
    </rcc>
    <rcc rId="0" sId="1">
      <nc r="AA813" t="inlineStr">
        <is>
          <t>1</t>
        </is>
      </nc>
    </rcc>
    <rcc rId="0" sId="1">
      <nc r="AB813" t="inlineStr">
        <is>
          <t>0</t>
        </is>
      </nc>
    </rcc>
  </rrc>
  <rrc rId="8979" sId="1" ref="A813:XFD813" action="deleteRow">
    <rfmt sheetId="1" xfDxf="1" sqref="A813:XFD813" start="0" length="0"/>
    <rcc rId="0" sId="1">
      <nc r="A813" t="inlineStr">
        <is>
          <t>Zone 4</t>
        </is>
      </nc>
    </rcc>
    <rcc rId="0" sId="1">
      <nc r="B813">
        <v>30</v>
      </nc>
    </rcc>
    <rcc rId="0" sId="1">
      <nc r="C813">
        <v>1</v>
      </nc>
    </rcc>
    <rcc rId="0" sId="1">
      <nc r="D813" t="inlineStr">
        <is>
          <t>23-044</t>
        </is>
      </nc>
    </rcc>
    <rcc rId="0" sId="1">
      <nc r="E813" t="inlineStr">
        <is>
          <t>W1022932/1</t>
        </is>
      </nc>
    </rcc>
    <rcc rId="0" sId="1">
      <nc r="F813" t="inlineStr">
        <is>
          <t>VER3/0122-1368</t>
        </is>
      </nc>
    </rcc>
    <rcc rId="0" sId="1">
      <nc r="G813" t="inlineStr">
        <is>
          <t>Shell, Left Spectrum QC MAC S2 NS Bio-ABS</t>
        </is>
      </nc>
    </rcc>
    <rcc rId="0" sId="1">
      <nc r="H813">
        <v>22.94</v>
      </nc>
    </rcc>
    <rcc rId="0" sId="1">
      <nc r="I813">
        <v>22.94</v>
      </nc>
    </rcc>
    <rcc rId="0" sId="1">
      <nc r="J813">
        <v>2500</v>
      </nc>
    </rcc>
    <rcc rId="0" sId="1">
      <nc r="K813">
        <v>0</v>
      </nc>
    </rcc>
    <rcc rId="0" sId="1" dxf="1" numFmtId="19">
      <nc r="L813">
        <v>46208.958333333336</v>
      </nc>
      <ndxf>
        <numFmt numFmtId="164" formatCode="mm\-dd\-yyyy"/>
      </ndxf>
    </rcc>
    <rcc rId="0" sId="1" dxf="1" numFmtId="19">
      <nc r="M813">
        <v>46210.243055555555</v>
      </nc>
      <ndxf>
        <numFmt numFmtId="164" formatCode="mm\-dd\-yyyy"/>
      </ndxf>
    </rcc>
    <rcc rId="0" sId="1">
      <nc r="AA813" t="inlineStr">
        <is>
          <t>1</t>
        </is>
      </nc>
    </rcc>
    <rcc rId="0" sId="1">
      <nc r="AB813" t="inlineStr">
        <is>
          <t>0</t>
        </is>
      </nc>
    </rcc>
  </rrc>
  <rrc rId="8980" sId="1" ref="A813:XFD813" action="deleteRow">
    <rfmt sheetId="1" xfDxf="1" sqref="A813:XFD813" start="0" length="0"/>
    <rcc rId="0" sId="1">
      <nc r="A813" t="inlineStr">
        <is>
          <t>Zone 4</t>
        </is>
      </nc>
    </rcc>
    <rcc rId="0" sId="1">
      <nc r="B813">
        <v>30</v>
      </nc>
    </rcc>
    <rcc rId="0" sId="1">
      <nc r="C813">
        <v>1</v>
      </nc>
    </rcc>
    <rcc rId="0" sId="1">
      <nc r="D813" t="inlineStr">
        <is>
          <t>24-005</t>
        </is>
      </nc>
    </rcc>
    <rcc rId="0" sId="1">
      <nc r="E813" t="inlineStr">
        <is>
          <t>W1028642/1</t>
        </is>
      </nc>
    </rcc>
    <rcc rId="0" sId="1">
      <nc r="F813" t="inlineStr">
        <is>
          <t>VER1/0122-1226</t>
        </is>
      </nc>
    </rcc>
    <rcc rId="0" sId="1">
      <nc r="G813" t="inlineStr">
        <is>
          <t>Handle Screw Cover</t>
        </is>
      </nc>
    </rcc>
    <rcc rId="0" sId="1">
      <nc r="H813">
        <v>5.81</v>
      </nc>
    </rcc>
    <rcc rId="0" sId="1">
      <nc r="I813">
        <v>5.81</v>
      </nc>
    </rcc>
    <rcc rId="0" sId="1">
      <nc r="J813">
        <v>500</v>
      </nc>
    </rcc>
    <rcc rId="0" sId="1">
      <nc r="K813">
        <v>0</v>
      </nc>
    </rcc>
    <rcc rId="0" sId="1" dxf="1" numFmtId="19">
      <nc r="L813">
        <v>46211.555555555555</v>
      </nc>
      <ndxf>
        <numFmt numFmtId="164" formatCode="mm\-dd\-yyyy"/>
      </ndxf>
    </rcc>
    <rcc rId="0" sId="1" dxf="1" numFmtId="19">
      <nc r="M813">
        <v>46212.125</v>
      </nc>
      <ndxf>
        <numFmt numFmtId="164" formatCode="mm\-dd\-yyyy"/>
      </ndxf>
    </rcc>
    <rcc rId="0" sId="1">
      <nc r="AA813" t="inlineStr">
        <is>
          <t>1</t>
        </is>
      </nc>
    </rcc>
    <rcc rId="0" sId="1">
      <nc r="AB813" t="inlineStr">
        <is>
          <t>0</t>
        </is>
      </nc>
    </rcc>
  </rrc>
  <rrc rId="8981" sId="1" ref="A813:XFD813" action="deleteRow">
    <rfmt sheetId="1" xfDxf="1" sqref="A813:XFD813" start="0" length="0"/>
    <rcc rId="0" sId="1">
      <nc r="A813" t="inlineStr">
        <is>
          <t>Zone 4</t>
        </is>
      </nc>
    </rcc>
    <rcc rId="0" sId="1">
      <nc r="B813">
        <v>30</v>
      </nc>
    </rcc>
    <rcc rId="0" sId="1">
      <nc r="C813">
        <v>0.33</v>
      </nc>
    </rcc>
    <rcc rId="0" sId="1">
      <nc r="D813" t="inlineStr">
        <is>
          <t>24-031</t>
        </is>
      </nc>
    </rcc>
    <rcc rId="0" sId="1">
      <nc r="E813" t="inlineStr">
        <is>
          <t>W1029900/1</t>
        </is>
      </nc>
    </rcc>
    <rcc rId="0" sId="1">
      <nc r="F813" t="inlineStr">
        <is>
          <t>VER3/0122-1302</t>
        </is>
      </nc>
    </rcc>
    <rcc rId="0" sId="1">
      <nc r="G813" t="inlineStr">
        <is>
          <t>Collar, Accessory Port</t>
        </is>
      </nc>
    </rcc>
    <rcc rId="0" sId="1">
      <nc r="H813">
        <v>17.552700000000002</v>
      </nc>
    </rcc>
    <rcc rId="0" sId="1">
      <nc r="I813">
        <v>53.19</v>
      </nc>
    </rcc>
    <rcc rId="0" sId="1">
      <nc r="J813">
        <v>15000</v>
      </nc>
    </rcc>
    <rcc rId="0" sId="1">
      <nc r="K813">
        <v>0</v>
      </nc>
    </rcc>
    <rcc rId="0" sId="1" dxf="1" numFmtId="19">
      <nc r="L813">
        <v>46220.819444444445</v>
      </nc>
      <ndxf>
        <numFmt numFmtId="164" formatCode="mm\-dd\-yyyy"/>
      </ndxf>
    </rcc>
    <rcc rId="0" sId="1" dxf="1" numFmtId="19">
      <nc r="M813">
        <v>46225.034722222219</v>
      </nc>
      <ndxf>
        <numFmt numFmtId="164" formatCode="mm\-dd\-yyyy"/>
      </ndxf>
    </rcc>
    <rcc rId="0" sId="1">
      <nc r="AA813" t="inlineStr">
        <is>
          <t>1</t>
        </is>
      </nc>
    </rcc>
    <rcc rId="0" sId="1">
      <nc r="AB813" t="inlineStr">
        <is>
          <t>0</t>
        </is>
      </nc>
    </rcc>
  </rrc>
  <rrc rId="8982" sId="1" ref="A813:XFD813" action="deleteRow">
    <rfmt sheetId="1" xfDxf="1" sqref="A813:XFD813" start="0" length="0"/>
    <rcc rId="0" sId="1">
      <nc r="A813" t="inlineStr">
        <is>
          <t>Zone 4</t>
        </is>
      </nc>
    </rcc>
    <rcc rId="0" sId="1">
      <nc r="B813">
        <v>30</v>
      </nc>
    </rcc>
    <rcc rId="0" sId="1">
      <nc r="C813">
        <v>1</v>
      </nc>
    </rcc>
    <rcc rId="0" sId="1">
      <nc r="D813" t="inlineStr">
        <is>
          <t>23-041</t>
        </is>
      </nc>
    </rcc>
    <rcc rId="0" sId="1">
      <nc r="E813" t="inlineStr">
        <is>
          <t>W1026346/1</t>
        </is>
      </nc>
    </rcc>
    <rcc rId="0" sId="1">
      <nc r="F813" t="inlineStr">
        <is>
          <t>VER3/0122-1374</t>
        </is>
      </nc>
    </rcc>
    <rcc rId="0" sId="1">
      <nc r="G813" t="inlineStr">
        <is>
          <t>Shell, Left Spectrum QC Miller S00 NS Bio-ABS</t>
        </is>
      </nc>
    </rcc>
    <rcc rId="0" sId="1">
      <nc r="H813">
        <v>46.67</v>
      </nc>
    </rcc>
    <rcc rId="0" sId="1">
      <nc r="I813">
        <v>46.67</v>
      </nc>
    </rcc>
    <rcc rId="0" sId="1">
      <nc r="J813">
        <v>3500</v>
      </nc>
    </rcc>
    <rcc rId="0" sId="1">
      <nc r="K813">
        <v>0</v>
      </nc>
    </rcc>
    <rcc rId="0" sId="1" dxf="1" numFmtId="19">
      <nc r="L813">
        <v>46225.041666666664</v>
      </nc>
      <ndxf>
        <numFmt numFmtId="164" formatCode="mm\-dd\-yyyy"/>
      </ndxf>
    </rcc>
    <rcc rId="0" sId="1" dxf="1" numFmtId="19">
      <nc r="M813">
        <v>46227.3125</v>
      </nc>
      <ndxf>
        <numFmt numFmtId="164" formatCode="mm\-dd\-yyyy"/>
      </ndxf>
    </rcc>
    <rcc rId="0" sId="1">
      <nc r="AA813" t="inlineStr">
        <is>
          <t>1</t>
        </is>
      </nc>
    </rcc>
    <rcc rId="0" sId="1">
      <nc r="AB813" t="inlineStr">
        <is>
          <t>0</t>
        </is>
      </nc>
    </rcc>
  </rrc>
  <rrc rId="8983" sId="1" ref="A813:XFD813" action="deleteRow">
    <rfmt sheetId="1" xfDxf="1" sqref="A813:XFD813" start="0" length="0">
      <dxf>
        <border outline="0">
          <bottom style="thin">
            <color indexed="64"/>
          </bottom>
        </border>
      </dxf>
    </rfmt>
    <rcc rId="0" sId="1">
      <nc r="A813" t="inlineStr">
        <is>
          <t>Zone 4</t>
        </is>
      </nc>
    </rcc>
    <rcc rId="0" sId="1">
      <nc r="B813">
        <v>30</v>
      </nc>
    </rcc>
    <rcc rId="0" sId="1">
      <nc r="C813">
        <v>1</v>
      </nc>
    </rcc>
    <rcc rId="0" sId="1">
      <nc r="D813" t="inlineStr">
        <is>
          <t>20-025</t>
        </is>
      </nc>
    </rcc>
    <rcc rId="0" sId="1">
      <nc r="E813" t="inlineStr">
        <is>
          <t>W1028550/1</t>
        </is>
      </nc>
    </rcc>
    <rcc rId="0" sId="1">
      <nc r="F813" t="inlineStr">
        <is>
          <t>VER3/0122-1353</t>
        </is>
      </nc>
    </rcc>
    <rcc rId="0" sId="1">
      <nc r="G813" t="inlineStr">
        <is>
          <t>Shell, Left, Spectrum QC, Hyperangle S1, NS Bio-ABS</t>
        </is>
      </nc>
    </rcc>
    <rcc rId="0" sId="1">
      <nc r="H813">
        <v>46.67</v>
      </nc>
    </rcc>
    <rcc rId="0" sId="1">
      <nc r="I813">
        <v>46.67</v>
      </nc>
    </rcc>
    <rcc rId="0" sId="1">
      <nc r="J813">
        <v>3500</v>
      </nc>
    </rcc>
    <rcc rId="0" sId="1">
      <nc r="K813">
        <v>0</v>
      </nc>
    </rcc>
    <rcc rId="0" sId="1" dxf="1" numFmtId="19">
      <nc r="L813">
        <v>46227.319444444445</v>
      </nc>
      <ndxf>
        <numFmt numFmtId="164" formatCode="mm\-dd\-yyyy"/>
      </ndxf>
    </rcc>
    <rcc rId="0" sId="1" dxf="1" numFmtId="19">
      <nc r="M813">
        <v>46231.590277777781</v>
      </nc>
      <ndxf>
        <numFmt numFmtId="164" formatCode="mm\-dd\-yyyy"/>
      </ndxf>
    </rcc>
    <rcc rId="0" sId="1">
      <nc r="AA813" t="inlineStr">
        <is>
          <t>1</t>
        </is>
      </nc>
    </rcc>
    <rcc rId="0" sId="1">
      <nc r="AB813" t="inlineStr">
        <is>
          <t>0</t>
        </is>
      </nc>
    </rcc>
  </rrc>
  <rfmt sheetId="1" sqref="A804:XFD804">
    <dxf>
      <fill>
        <patternFill>
          <bgColor theme="8" tint="0.39997558519241921"/>
        </patternFill>
      </fill>
    </dxf>
  </rfmt>
  <rfmt sheetId="1" sqref="A810:XFD810" start="0" length="0">
    <dxf>
      <border>
        <bottom/>
      </border>
    </dxf>
  </rfmt>
  <rfmt sheetId="1" sqref="A812:XFD812" start="0" length="0">
    <dxf>
      <border>
        <bottom style="thin">
          <color indexed="64"/>
        </bottom>
      </border>
    </dxf>
  </rfmt>
  <rfmt sheetId="1" sqref="A771:XFD771">
    <dxf>
      <fill>
        <patternFill patternType="solid">
          <bgColor theme="8" tint="0.39997558519241921"/>
        </patternFill>
      </fill>
    </dxf>
  </rfmt>
  <rrc rId="8984" sId="1" ref="A835:XFD835" action="deleteRow">
    <rfmt sheetId="1" xfDxf="1" sqref="A835:XFD835" start="0" length="0">
      <dxf>
        <fill>
          <patternFill patternType="solid">
            <bgColor rgb="FF00B0F0"/>
          </patternFill>
        </fill>
      </dxf>
    </rfmt>
    <rcc rId="0" sId="1">
      <nc r="A835" t="inlineStr">
        <is>
          <t>Zone 4</t>
        </is>
      </nc>
    </rcc>
    <rcc rId="0" sId="1">
      <nc r="B835">
        <v>37</v>
      </nc>
    </rcc>
    <rcc rId="0" sId="1">
      <nc r="C835">
        <v>1</v>
      </nc>
    </rcc>
    <rcc rId="0" sId="1">
      <nc r="D835" t="inlineStr">
        <is>
          <t>24-015</t>
        </is>
      </nc>
    </rcc>
    <rcc rId="0" sId="1">
      <nc r="E835" t="inlineStr">
        <is>
          <t>W1028436/VAL</t>
        </is>
      </nc>
    </rcc>
    <rcc rId="0" sId="1">
      <nc r="F835" t="inlineStr">
        <is>
          <t>VER3/0122-1072</t>
        </is>
      </nc>
    </rcc>
    <rcc rId="0" sId="1">
      <nc r="G835" t="inlineStr">
        <is>
          <t>HA QC LoPro S4 Left Shell</t>
        </is>
      </nc>
    </rcc>
    <rcc rId="0" sId="1">
      <nc r="H835">
        <v>6.67</v>
      </nc>
    </rcc>
    <rcc rId="0" sId="1">
      <nc r="I835">
        <v>1.55</v>
      </nc>
    </rcc>
    <rcc rId="0" sId="1">
      <nc r="J835">
        <v>500</v>
      </nc>
    </rcc>
    <rcc rId="0" sId="1">
      <nc r="K835">
        <v>384</v>
      </nc>
    </rcc>
    <rcc rId="0" sId="1" dxf="1" numFmtId="19">
      <nc r="L835">
        <v>46208.958333333336</v>
      </nc>
      <ndxf>
        <numFmt numFmtId="164" formatCode="mm\-dd\-yyyy"/>
      </ndxf>
    </rcc>
    <rcc rId="0" sId="1" dxf="1" numFmtId="19">
      <nc r="M835">
        <v>46209.020833333336</v>
      </nc>
      <ndxf>
        <numFmt numFmtId="164" formatCode="mm\-dd\-yyyy"/>
      </ndxf>
    </rcc>
    <rcc rId="0" sId="1">
      <nc r="AA835" t="inlineStr">
        <is>
          <t>VAL</t>
        </is>
      </nc>
    </rcc>
    <rcc rId="0" sId="1">
      <nc r="AB835" t="inlineStr">
        <is>
          <t>0</t>
        </is>
      </nc>
    </rcc>
  </rrc>
  <rrc rId="8985" sId="1" ref="A835:XFD835" action="deleteRow">
    <rfmt sheetId="1" xfDxf="1" sqref="A835:XFD835" start="0" length="0">
      <dxf>
        <fill>
          <patternFill patternType="solid">
            <bgColor rgb="FF00B0F0"/>
          </patternFill>
        </fill>
        <border outline="0">
          <bottom style="thin">
            <color indexed="64"/>
          </bottom>
        </border>
      </dxf>
    </rfmt>
    <rcc rId="0" sId="1">
      <nc r="A835" t="inlineStr">
        <is>
          <t>Zone 4</t>
        </is>
      </nc>
    </rcc>
    <rcc rId="0" sId="1">
      <nc r="B835">
        <v>37</v>
      </nc>
    </rcc>
    <rcc rId="0" sId="1">
      <nc r="C835">
        <v>1</v>
      </nc>
    </rcc>
    <rcc rId="0" sId="1">
      <nc r="D835" t="inlineStr">
        <is>
          <t>24-015</t>
        </is>
      </nc>
    </rcc>
    <rcc rId="0" sId="1">
      <nc r="E835" t="inlineStr">
        <is>
          <t>W1028437/VAL</t>
        </is>
      </nc>
    </rcc>
    <rcc rId="0" sId="1">
      <nc r="F835" t="inlineStr">
        <is>
          <t>VER3/0122-1072</t>
        </is>
      </nc>
    </rcc>
    <rcc rId="0" sId="1">
      <nc r="G835" t="inlineStr">
        <is>
          <t>HA QC LoPro S4 Left Shell</t>
        </is>
      </nc>
    </rcc>
    <rcc rId="0" sId="1">
      <nc r="H835">
        <v>6.67</v>
      </nc>
    </rcc>
    <rcc rId="0" sId="1">
      <nc r="I835">
        <v>6.67</v>
      </nc>
    </rcc>
    <rcc rId="0" sId="1">
      <nc r="J835">
        <v>500</v>
      </nc>
    </rcc>
    <rcc rId="0" sId="1">
      <nc r="K835">
        <v>0</v>
      </nc>
    </rcc>
    <rcc rId="0" sId="1" dxf="1" numFmtId="19">
      <nc r="L835">
        <v>46209.027777777781</v>
      </nc>
      <ndxf>
        <numFmt numFmtId="164" formatCode="mm\-dd\-yyyy"/>
      </ndxf>
    </rcc>
    <rcc rId="0" sId="1" dxf="1" numFmtId="19">
      <nc r="M835">
        <v>46209.631944444445</v>
      </nc>
      <ndxf>
        <numFmt numFmtId="164" formatCode="mm\-dd\-yyyy"/>
      </ndxf>
    </rcc>
    <rcc rId="0" sId="1">
      <nc r="AA835" t="inlineStr">
        <is>
          <t>VAL</t>
        </is>
      </nc>
    </rcc>
    <rcc rId="0" sId="1">
      <nc r="AB835" t="inlineStr">
        <is>
          <t>0</t>
        </is>
      </nc>
    </rcc>
  </rrc>
  <rrc rId="8986" sId="1" ref="A834:XFD834" action="deleteRow">
    <rfmt sheetId="1" xfDxf="1" sqref="A834:XFD834" start="0" length="0">
      <dxf>
        <border outline="0">
          <bottom style="thin">
            <color indexed="64"/>
          </bottom>
        </border>
      </dxf>
    </rfmt>
    <rcc rId="0" sId="1">
      <nc r="A834" t="inlineStr">
        <is>
          <t>Zone 4</t>
        </is>
      </nc>
    </rcc>
    <rcc rId="0" sId="1">
      <nc r="B834">
        <v>36</v>
      </nc>
    </rcc>
    <rcc rId="0" sId="1">
      <nc r="C834">
        <v>0.33</v>
      </nc>
    </rcc>
    <rcc rId="0" sId="1">
      <nc r="D834" t="inlineStr">
        <is>
          <t>20-019</t>
        </is>
      </nc>
    </rcc>
    <rcc rId="0" sId="1">
      <nc r="E834" t="inlineStr">
        <is>
          <t>W1030154/1</t>
        </is>
      </nc>
    </rcc>
    <rcc rId="0" sId="1">
      <nc r="F834" t="inlineStr">
        <is>
          <t>DNA3/MC003</t>
        </is>
      </nc>
    </rcc>
    <rcc rId="0" sId="1">
      <nc r="G834" t="inlineStr">
        <is>
          <t>NGT Collector</t>
        </is>
      </nc>
    </rcc>
    <rcc rId="0" sId="1">
      <nc r="H834">
        <v>21.483000000000001</v>
      </nc>
    </rcc>
    <rcc rId="0" sId="1">
      <nc r="I834">
        <v>65.099999999999994</v>
      </nc>
    </rcc>
    <rcc rId="0" sId="1">
      <nc r="J834">
        <v>75000</v>
      </nc>
    </rcc>
    <rcc rId="0" sId="1">
      <nc r="K834">
        <v>0</v>
      </nc>
    </rcc>
    <rcc rId="0" sId="1" dxf="1" numFmtId="19">
      <nc r="L834">
        <v>46208.958333333336</v>
      </nc>
      <ndxf>
        <numFmt numFmtId="164" formatCode="mm\-dd\-yyyy"/>
      </ndxf>
    </rcc>
    <rcc rId="0" sId="1" dxf="1" numFmtId="19">
      <nc r="M834">
        <v>46212</v>
      </nc>
      <ndxf>
        <numFmt numFmtId="164" formatCode="mm\-dd\-yyyy"/>
      </ndxf>
    </rcc>
    <rcc rId="0" sId="1">
      <nc r="AA834" t="inlineStr">
        <is>
          <t>1</t>
        </is>
      </nc>
    </rcc>
    <rcc rId="0" sId="1">
      <nc r="AB834" t="inlineStr">
        <is>
          <t>0</t>
        </is>
      </nc>
    </rcc>
  </rrc>
  <rrc rId="8987" sId="1" ref="A642:XFD653" action="insertRow"/>
  <rcc rId="8988" sId="1" odxf="1" dxf="1">
    <nc r="A642" t="inlineStr">
      <is>
        <t>Zone 4</t>
      </is>
    </nc>
    <odxf/>
    <ndxf/>
  </rcc>
  <rcc rId="8989" sId="1" odxf="1" dxf="1">
    <nc r="B642">
      <v>39</v>
    </nc>
    <odxf/>
    <ndxf/>
  </rcc>
  <rcc rId="8990" sId="1" odxf="1" dxf="1">
    <nc r="C642">
      <v>1</v>
    </nc>
    <odxf/>
    <ndxf/>
  </rcc>
  <rcc rId="8991" sId="1" odxf="1" dxf="1">
    <nc r="D642" t="inlineStr">
      <is>
        <t>20-024</t>
      </is>
    </nc>
    <odxf/>
    <ndxf/>
  </rcc>
  <rcc rId="8992" sId="1" odxf="1" dxf="1">
    <nc r="E642" t="inlineStr">
      <is>
        <t>W1030155/1</t>
      </is>
    </nc>
    <odxf/>
    <ndxf/>
  </rcc>
  <rcc rId="8993" sId="1" odxf="1" dxf="1">
    <nc r="F642" t="inlineStr">
      <is>
        <t>VER3/0142-0987</t>
      </is>
    </nc>
    <odxf/>
    <ndxf/>
  </rcc>
  <rcc rId="8994" sId="1" odxf="1" dxf="1">
    <nc r="G642" t="inlineStr">
      <is>
        <t>Single Use Medium Gliderite Stylet</t>
      </is>
    </nc>
    <odxf/>
    <ndxf/>
  </rcc>
  <rcc rId="8995" sId="1" odxf="1" dxf="1">
    <nc r="H642">
      <v>13.33</v>
    </nc>
    <odxf/>
    <ndxf/>
  </rcc>
  <rcc rId="8996" sId="1" odxf="1" dxf="1">
    <nc r="I642">
      <v>13.33</v>
    </nc>
    <odxf/>
    <ndxf/>
  </rcc>
  <rcc rId="8997" sId="1" odxf="1" dxf="1">
    <nc r="J642">
      <v>4000</v>
    </nc>
    <odxf/>
    <ndxf/>
  </rcc>
  <rcc rId="8998" sId="1" odxf="1" dxf="1">
    <nc r="K642">
      <v>0</v>
    </nc>
    <odxf/>
    <ndxf/>
  </rcc>
  <rcc rId="8999" sId="1" odxf="1" dxf="1" numFmtId="19">
    <nc r="L642">
      <v>46209</v>
    </nc>
    <odxf/>
    <ndxf/>
  </rcc>
  <rcc rId="9000" sId="1" odxf="1" dxf="1" numFmtId="19">
    <nc r="M642">
      <v>46209.569444444445</v>
    </nc>
    <odxf/>
    <ndxf/>
  </rcc>
  <rfmt sheetId="1" sqref="N642" start="0" length="0">
    <dxf/>
  </rfmt>
  <rfmt sheetId="1" sqref="O642" start="0" length="0">
    <dxf/>
  </rfmt>
  <rfmt sheetId="1" sqref="P642" start="0" length="0">
    <dxf/>
  </rfmt>
  <rfmt sheetId="1" sqref="Q642" start="0" length="0">
    <dxf/>
  </rfmt>
  <rfmt sheetId="1" sqref="R642" start="0" length="0">
    <dxf/>
  </rfmt>
  <rfmt sheetId="1" sqref="S642" start="0" length="0">
    <dxf/>
  </rfmt>
  <rfmt sheetId="1" sqref="T642" start="0" length="0">
    <dxf/>
  </rfmt>
  <rfmt sheetId="1" sqref="U642" start="0" length="0">
    <dxf/>
  </rfmt>
  <rfmt sheetId="1" sqref="V642" start="0" length="0">
    <dxf/>
  </rfmt>
  <rfmt sheetId="1" sqref="W642" start="0" length="0">
    <dxf/>
  </rfmt>
  <rfmt sheetId="1" sqref="X642" start="0" length="0">
    <dxf/>
  </rfmt>
  <rfmt sheetId="1" sqref="Y642" start="0" length="0">
    <dxf/>
  </rfmt>
  <rfmt sheetId="1" sqref="Z642" start="0" length="0">
    <dxf/>
  </rfmt>
  <rcc rId="9001" sId="1" odxf="1" dxf="1">
    <nc r="AA642" t="inlineStr">
      <is>
        <t>1</t>
      </is>
    </nc>
    <odxf/>
    <ndxf/>
  </rcc>
  <rcc rId="9002" sId="1" odxf="1" dxf="1">
    <nc r="AB642" t="inlineStr">
      <is>
        <t>0</t>
      </is>
    </nc>
    <odxf/>
    <ndxf/>
  </rcc>
  <rfmt sheetId="1" sqref="AC642" start="0" length="0">
    <dxf/>
  </rfmt>
  <rfmt sheetId="1" sqref="AD642" start="0" length="0">
    <dxf/>
  </rfmt>
  <rfmt sheetId="1" sqref="AE642" start="0" length="0">
    <dxf/>
  </rfmt>
  <rfmt sheetId="1" sqref="AF642" start="0" length="0">
    <dxf/>
  </rfmt>
  <rfmt sheetId="1" sqref="AG642" start="0" length="0">
    <dxf/>
  </rfmt>
  <rfmt sheetId="1" sqref="AH642" start="0" length="0">
    <dxf/>
  </rfmt>
  <rfmt sheetId="1" sqref="A642:XFD642" start="0" length="0">
    <dxf/>
  </rfmt>
  <rcc rId="9003" sId="1" odxf="1" dxf="1">
    <nc r="A643" t="inlineStr">
      <is>
        <t>Zone 4</t>
      </is>
    </nc>
    <odxf/>
    <ndxf/>
  </rcc>
  <rcc rId="9004" sId="1" odxf="1" dxf="1">
    <nc r="B643">
      <v>39</v>
    </nc>
    <odxf/>
    <ndxf/>
  </rcc>
  <rcc rId="9005" sId="1" odxf="1" dxf="1">
    <nc r="C643">
      <v>2</v>
    </nc>
    <odxf/>
    <ndxf/>
  </rcc>
  <rfmt sheetId="1" sqref="D643" start="0" length="0">
    <dxf/>
  </rfmt>
  <rcc rId="9006" sId="1" odxf="1" dxf="1">
    <nc r="E643" t="inlineStr">
      <is>
        <t>W1029307/1</t>
      </is>
    </nc>
    <odxf/>
    <ndxf/>
  </rcc>
  <rcc rId="9007" sId="1" odxf="1" dxf="1">
    <nc r="F643" t="inlineStr">
      <is>
        <t>VER3/0142-0840-BA</t>
      </is>
    </nc>
    <odxf/>
    <ndxf/>
  </rcc>
  <rcc rId="9008" sId="1" odxf="1" dxf="1">
    <nc r="G643" t="inlineStr">
      <is>
        <t>Single Use Gliderite Stylet Santoprene</t>
      </is>
    </nc>
    <odxf/>
    <ndxf/>
  </rcc>
  <rcc rId="9009" sId="1" odxf="1" dxf="1">
    <nc r="H643">
      <v>157.9</v>
    </nc>
    <odxf/>
    <ndxf/>
  </rcc>
  <rcc rId="9010" sId="1" odxf="1" dxf="1">
    <nc r="I643">
      <v>78.95</v>
    </nc>
    <odxf/>
    <ndxf/>
  </rcc>
  <rcc rId="9011" sId="1" odxf="1" dxf="1">
    <nc r="J643">
      <v>30000</v>
    </nc>
    <odxf/>
    <ndxf/>
  </rcc>
  <rcc rId="9012" sId="1" odxf="1" dxf="1">
    <nc r="K643">
      <v>0</v>
    </nc>
    <odxf/>
    <ndxf/>
  </rcc>
  <rcc rId="9013" sId="1" odxf="1" dxf="1" numFmtId="19">
    <nc r="L643">
      <v>46209.576388888891</v>
    </nc>
    <odxf/>
    <ndxf/>
  </rcc>
  <rcc rId="9014" sId="1" odxf="1" dxf="1" numFmtId="19">
    <nc r="M643">
      <v>46212.881944444445</v>
    </nc>
    <odxf/>
    <ndxf/>
  </rcc>
  <rfmt sheetId="1" sqref="N643" start="0" length="0">
    <dxf/>
  </rfmt>
  <rfmt sheetId="1" sqref="O643" start="0" length="0">
    <dxf/>
  </rfmt>
  <rfmt sheetId="1" sqref="P643" start="0" length="0">
    <dxf/>
  </rfmt>
  <rfmt sheetId="1" sqref="Q643" start="0" length="0">
    <dxf/>
  </rfmt>
  <rfmt sheetId="1" sqref="R643" start="0" length="0">
    <dxf/>
  </rfmt>
  <rfmt sheetId="1" sqref="S643" start="0" length="0">
    <dxf/>
  </rfmt>
  <rfmt sheetId="1" sqref="T643" start="0" length="0">
    <dxf/>
  </rfmt>
  <rfmt sheetId="1" sqref="U643" start="0" length="0">
    <dxf/>
  </rfmt>
  <rfmt sheetId="1" sqref="V643" start="0" length="0">
    <dxf/>
  </rfmt>
  <rfmt sheetId="1" sqref="W643" start="0" length="0">
    <dxf/>
  </rfmt>
  <rfmt sheetId="1" sqref="X643" start="0" length="0">
    <dxf/>
  </rfmt>
  <rfmt sheetId="1" sqref="Y643" start="0" length="0">
    <dxf/>
  </rfmt>
  <rfmt sheetId="1" sqref="Z643" start="0" length="0">
    <dxf/>
  </rfmt>
  <rcc rId="9015" sId="1" odxf="1" dxf="1">
    <nc r="AA643" t="inlineStr">
      <is>
        <t>1</t>
      </is>
    </nc>
    <odxf/>
    <ndxf/>
  </rcc>
  <rcc rId="9016" sId="1" odxf="1" dxf="1">
    <nc r="AB643" t="inlineStr">
      <is>
        <t>0</t>
      </is>
    </nc>
    <odxf/>
    <ndxf/>
  </rcc>
  <rfmt sheetId="1" sqref="AC643" start="0" length="0">
    <dxf/>
  </rfmt>
  <rfmt sheetId="1" sqref="AD643" start="0" length="0">
    <dxf/>
  </rfmt>
  <rfmt sheetId="1" sqref="AE643" start="0" length="0">
    <dxf/>
  </rfmt>
  <rfmt sheetId="1" sqref="AF643" start="0" length="0">
    <dxf/>
  </rfmt>
  <rfmt sheetId="1" sqref="AG643" start="0" length="0">
    <dxf/>
  </rfmt>
  <rfmt sheetId="1" sqref="AH643" start="0" length="0">
    <dxf/>
  </rfmt>
  <rfmt sheetId="1" sqref="A643:XFD643" start="0" length="0">
    <dxf/>
  </rfmt>
  <rcc rId="9017" sId="1" odxf="1" dxf="1">
    <nc r="A644" t="inlineStr">
      <is>
        <t>Zone 4</t>
      </is>
    </nc>
    <odxf/>
    <ndxf/>
  </rcc>
  <rcc rId="9018" sId="1" odxf="1" dxf="1">
    <nc r="B644">
      <v>39</v>
    </nc>
    <odxf/>
    <ndxf/>
  </rcc>
  <rcc rId="9019" sId="1" odxf="1" dxf="1">
    <nc r="C644">
      <v>2</v>
    </nc>
    <odxf/>
    <ndxf/>
  </rcc>
  <rfmt sheetId="1" sqref="D644" start="0" length="0">
    <dxf/>
  </rfmt>
  <rcc rId="9020" sId="1" odxf="1" dxf="1">
    <nc r="E644" t="inlineStr">
      <is>
        <t>W1029308/1</t>
      </is>
    </nc>
    <odxf/>
    <ndxf/>
  </rcc>
  <rcc rId="9021" sId="1" odxf="1" dxf="1">
    <nc r="F644" t="inlineStr">
      <is>
        <t>VER3/0142-0840-BA</t>
      </is>
    </nc>
    <odxf/>
    <ndxf/>
  </rcc>
  <rcc rId="9022" sId="1" odxf="1" dxf="1">
    <nc r="G644" t="inlineStr">
      <is>
        <t>Single Use Gliderite Stylet Santoprene</t>
      </is>
    </nc>
    <odxf/>
    <ndxf/>
  </rcc>
  <rcc rId="9023" sId="1" odxf="1" dxf="1">
    <nc r="H644">
      <v>157.9</v>
    </nc>
    <odxf/>
    <ndxf/>
  </rcc>
  <rcc rId="9024" sId="1" odxf="1" dxf="1">
    <nc r="I644">
      <v>78.95</v>
    </nc>
    <odxf/>
    <ndxf/>
  </rcc>
  <rcc rId="9025" sId="1" odxf="1" dxf="1">
    <nc r="J644">
      <v>30000</v>
    </nc>
    <odxf/>
    <ndxf/>
  </rcc>
  <rcc rId="9026" sId="1" odxf="1" dxf="1">
    <nc r="K644">
      <v>0</v>
    </nc>
    <odxf/>
    <ndxf/>
  </rcc>
  <rcc rId="9027" sId="1" odxf="1" dxf="1" numFmtId="19">
    <nc r="L644">
      <v>46212.888888888891</v>
    </nc>
    <odxf/>
    <ndxf/>
  </rcc>
  <rcc rId="9028" sId="1" odxf="1" dxf="1" numFmtId="19">
    <nc r="M644">
      <v>46216.194444444445</v>
    </nc>
    <odxf/>
    <ndxf/>
  </rcc>
  <rfmt sheetId="1" sqref="N644" start="0" length="0">
    <dxf/>
  </rfmt>
  <rfmt sheetId="1" sqref="O644" start="0" length="0">
    <dxf/>
  </rfmt>
  <rfmt sheetId="1" sqref="P644" start="0" length="0">
    <dxf/>
  </rfmt>
  <rfmt sheetId="1" sqref="Q644" start="0" length="0">
    <dxf/>
  </rfmt>
  <rfmt sheetId="1" sqref="R644" start="0" length="0">
    <dxf/>
  </rfmt>
  <rfmt sheetId="1" sqref="S644" start="0" length="0">
    <dxf/>
  </rfmt>
  <rfmt sheetId="1" sqref="T644" start="0" length="0">
    <dxf/>
  </rfmt>
  <rfmt sheetId="1" sqref="U644" start="0" length="0">
    <dxf/>
  </rfmt>
  <rfmt sheetId="1" sqref="V644" start="0" length="0">
    <dxf/>
  </rfmt>
  <rfmt sheetId="1" sqref="W644" start="0" length="0">
    <dxf/>
  </rfmt>
  <rfmt sheetId="1" sqref="X644" start="0" length="0">
    <dxf/>
  </rfmt>
  <rfmt sheetId="1" sqref="Y644" start="0" length="0">
    <dxf/>
  </rfmt>
  <rfmt sheetId="1" sqref="Z644" start="0" length="0">
    <dxf/>
  </rfmt>
  <rcc rId="9029" sId="1" odxf="1" dxf="1">
    <nc r="AA644" t="inlineStr">
      <is>
        <t>1</t>
      </is>
    </nc>
    <odxf/>
    <ndxf/>
  </rcc>
  <rcc rId="9030" sId="1" odxf="1" dxf="1">
    <nc r="AB644" t="inlineStr">
      <is>
        <t>0</t>
      </is>
    </nc>
    <odxf/>
    <ndxf/>
  </rcc>
  <rfmt sheetId="1" sqref="AC644" start="0" length="0">
    <dxf/>
  </rfmt>
  <rfmt sheetId="1" sqref="AD644" start="0" length="0">
    <dxf/>
  </rfmt>
  <rfmt sheetId="1" sqref="AE644" start="0" length="0">
    <dxf/>
  </rfmt>
  <rfmt sheetId="1" sqref="AF644" start="0" length="0">
    <dxf/>
  </rfmt>
  <rfmt sheetId="1" sqref="AG644" start="0" length="0">
    <dxf/>
  </rfmt>
  <rfmt sheetId="1" sqref="AH644" start="0" length="0">
    <dxf/>
  </rfmt>
  <rfmt sheetId="1" sqref="A644:XFD644" start="0" length="0">
    <dxf/>
  </rfmt>
  <rcc rId="9031" sId="1" odxf="1" dxf="1">
    <nc r="A645" t="inlineStr">
      <is>
        <t>Zone 4</t>
      </is>
    </nc>
    <odxf/>
    <ndxf/>
  </rcc>
  <rcc rId="9032" sId="1" odxf="1" dxf="1">
    <nc r="B645">
      <v>39</v>
    </nc>
    <odxf/>
    <ndxf/>
  </rcc>
  <rcc rId="9033" sId="1" odxf="1" dxf="1">
    <nc r="C645">
      <v>2</v>
    </nc>
    <odxf/>
    <ndxf/>
  </rcc>
  <rfmt sheetId="1" sqref="D645" start="0" length="0">
    <dxf/>
  </rfmt>
  <rcc rId="9034" sId="1" odxf="1" dxf="1">
    <nc r="E645" t="inlineStr">
      <is>
        <t>W1029309/1</t>
      </is>
    </nc>
    <odxf/>
    <ndxf/>
  </rcc>
  <rcc rId="9035" sId="1" odxf="1" dxf="1">
    <nc r="F645" t="inlineStr">
      <is>
        <t>VER3/0142-0840-BA</t>
      </is>
    </nc>
    <odxf/>
    <ndxf/>
  </rcc>
  <rcc rId="9036" sId="1" odxf="1" dxf="1">
    <nc r="G645" t="inlineStr">
      <is>
        <t>Single Use Gliderite Stylet Santoprene</t>
      </is>
    </nc>
    <odxf/>
    <ndxf/>
  </rcc>
  <rcc rId="9037" sId="1" odxf="1" dxf="1">
    <nc r="H645">
      <v>157.9</v>
    </nc>
    <odxf/>
    <ndxf/>
  </rcc>
  <rcc rId="9038" sId="1" odxf="1" dxf="1">
    <nc r="I645">
      <v>78.95</v>
    </nc>
    <odxf/>
    <ndxf/>
  </rcc>
  <rcc rId="9039" sId="1" odxf="1" dxf="1">
    <nc r="J645">
      <v>30000</v>
    </nc>
    <odxf/>
    <ndxf/>
  </rcc>
  <rcc rId="9040" sId="1" odxf="1" dxf="1">
    <nc r="K645">
      <v>0</v>
    </nc>
    <odxf/>
    <ndxf/>
  </rcc>
  <rcc rId="9041" sId="1" odxf="1" dxf="1" numFmtId="19">
    <nc r="L645">
      <v>46216.201388888891</v>
    </nc>
    <odxf/>
    <ndxf/>
  </rcc>
  <rcc rId="9042" sId="1" odxf="1" dxf="1" numFmtId="19">
    <nc r="M645">
      <v>46219.506944444445</v>
    </nc>
    <odxf/>
    <ndxf/>
  </rcc>
  <rfmt sheetId="1" sqref="N645" start="0" length="0">
    <dxf/>
  </rfmt>
  <rfmt sheetId="1" sqref="O645" start="0" length="0">
    <dxf/>
  </rfmt>
  <rfmt sheetId="1" sqref="P645" start="0" length="0">
    <dxf/>
  </rfmt>
  <rfmt sheetId="1" sqref="Q645" start="0" length="0">
    <dxf/>
  </rfmt>
  <rfmt sheetId="1" sqref="R645" start="0" length="0">
    <dxf/>
  </rfmt>
  <rfmt sheetId="1" sqref="S645" start="0" length="0">
    <dxf/>
  </rfmt>
  <rfmt sheetId="1" sqref="T645" start="0" length="0">
    <dxf/>
  </rfmt>
  <rfmt sheetId="1" sqref="U645" start="0" length="0">
    <dxf/>
  </rfmt>
  <rfmt sheetId="1" sqref="V645" start="0" length="0">
    <dxf/>
  </rfmt>
  <rfmt sheetId="1" sqref="W645" start="0" length="0">
    <dxf/>
  </rfmt>
  <rfmt sheetId="1" sqref="X645" start="0" length="0">
    <dxf/>
  </rfmt>
  <rfmt sheetId="1" sqref="Y645" start="0" length="0">
    <dxf/>
  </rfmt>
  <rfmt sheetId="1" sqref="Z645" start="0" length="0">
    <dxf/>
  </rfmt>
  <rcc rId="9043" sId="1" odxf="1" dxf="1">
    <nc r="AA645" t="inlineStr">
      <is>
        <t>1</t>
      </is>
    </nc>
    <odxf/>
    <ndxf/>
  </rcc>
  <rcc rId="9044" sId="1" odxf="1" dxf="1">
    <nc r="AB645" t="inlineStr">
      <is>
        <t>0</t>
      </is>
    </nc>
    <odxf/>
    <ndxf/>
  </rcc>
  <rfmt sheetId="1" sqref="AC645" start="0" length="0">
    <dxf/>
  </rfmt>
  <rfmt sheetId="1" sqref="AD645" start="0" length="0">
    <dxf/>
  </rfmt>
  <rfmt sheetId="1" sqref="AE645" start="0" length="0">
    <dxf/>
  </rfmt>
  <rfmt sheetId="1" sqref="AF645" start="0" length="0">
    <dxf/>
  </rfmt>
  <rfmt sheetId="1" sqref="AG645" start="0" length="0">
    <dxf/>
  </rfmt>
  <rfmt sheetId="1" sqref="AH645" start="0" length="0">
    <dxf/>
  </rfmt>
  <rfmt sheetId="1" sqref="A645:XFD645" start="0" length="0">
    <dxf/>
  </rfmt>
  <rcc rId="9045" sId="1" odxf="1" dxf="1">
    <nc r="A646" t="inlineStr">
      <is>
        <t>Zone 4</t>
      </is>
    </nc>
    <odxf/>
    <ndxf/>
  </rcc>
  <rcc rId="9046" sId="1" odxf="1" dxf="1">
    <nc r="B646">
      <v>39</v>
    </nc>
    <odxf/>
    <ndxf/>
  </rcc>
  <rcc rId="9047" sId="1" odxf="1" dxf="1">
    <nc r="C646">
      <v>2</v>
    </nc>
    <odxf/>
    <ndxf/>
  </rcc>
  <rfmt sheetId="1" sqref="D646" start="0" length="0">
    <dxf/>
  </rfmt>
  <rcc rId="9048" sId="1" odxf="1" dxf="1">
    <nc r="E646" t="inlineStr">
      <is>
        <t>W1029310/1</t>
      </is>
    </nc>
    <odxf/>
    <ndxf/>
  </rcc>
  <rcc rId="9049" sId="1" odxf="1" dxf="1">
    <nc r="F646" t="inlineStr">
      <is>
        <t>VER3/0142-0840-BA</t>
      </is>
    </nc>
    <odxf/>
    <ndxf/>
  </rcc>
  <rcc rId="9050" sId="1" odxf="1" dxf="1">
    <nc r="G646" t="inlineStr">
      <is>
        <t>Single Use Gliderite Stylet Santoprene</t>
      </is>
    </nc>
    <odxf/>
    <ndxf/>
  </rcc>
  <rcc rId="9051" sId="1" odxf="1" dxf="1">
    <nc r="H646">
      <v>157.9</v>
    </nc>
    <odxf/>
    <ndxf/>
  </rcc>
  <rcc rId="9052" sId="1" odxf="1" dxf="1">
    <nc r="I646">
      <v>78.95</v>
    </nc>
    <odxf/>
    <ndxf/>
  </rcc>
  <rcc rId="9053" sId="1" odxf="1" dxf="1">
    <nc r="J646">
      <v>30000</v>
    </nc>
    <odxf/>
    <ndxf/>
  </rcc>
  <rcc rId="9054" sId="1" odxf="1" dxf="1">
    <nc r="K646">
      <v>0</v>
    </nc>
    <odxf/>
    <ndxf/>
  </rcc>
  <rcc rId="9055" sId="1" odxf="1" dxf="1" numFmtId="19">
    <nc r="L646">
      <v>46219.513888888891</v>
    </nc>
    <odxf/>
    <ndxf/>
  </rcc>
  <rcc rId="9056" sId="1" odxf="1" dxf="1" numFmtId="19">
    <nc r="M646">
      <v>46222.819444444445</v>
    </nc>
    <odxf/>
    <ndxf/>
  </rcc>
  <rfmt sheetId="1" sqref="N646" start="0" length="0">
    <dxf/>
  </rfmt>
  <rfmt sheetId="1" sqref="O646" start="0" length="0">
    <dxf/>
  </rfmt>
  <rfmt sheetId="1" sqref="P646" start="0" length="0">
    <dxf/>
  </rfmt>
  <rfmt sheetId="1" sqref="Q646" start="0" length="0">
    <dxf/>
  </rfmt>
  <rfmt sheetId="1" sqref="R646" start="0" length="0">
    <dxf/>
  </rfmt>
  <rfmt sheetId="1" sqref="S646" start="0" length="0">
    <dxf/>
  </rfmt>
  <rfmt sheetId="1" sqref="T646" start="0" length="0">
    <dxf/>
  </rfmt>
  <rfmt sheetId="1" sqref="U646" start="0" length="0">
    <dxf/>
  </rfmt>
  <rfmt sheetId="1" sqref="V646" start="0" length="0">
    <dxf/>
  </rfmt>
  <rfmt sheetId="1" sqref="W646" start="0" length="0">
    <dxf/>
  </rfmt>
  <rfmt sheetId="1" sqref="X646" start="0" length="0">
    <dxf/>
  </rfmt>
  <rfmt sheetId="1" sqref="Y646" start="0" length="0">
    <dxf/>
  </rfmt>
  <rfmt sheetId="1" sqref="Z646" start="0" length="0">
    <dxf/>
  </rfmt>
  <rcc rId="9057" sId="1" odxf="1" dxf="1">
    <nc r="AA646" t="inlineStr">
      <is>
        <t>1</t>
      </is>
    </nc>
    <odxf/>
    <ndxf/>
  </rcc>
  <rcc rId="9058" sId="1" odxf="1" dxf="1">
    <nc r="AB646" t="inlineStr">
      <is>
        <t>0</t>
      </is>
    </nc>
    <odxf/>
    <ndxf/>
  </rcc>
  <rfmt sheetId="1" sqref="AC646" start="0" length="0">
    <dxf/>
  </rfmt>
  <rfmt sheetId="1" sqref="AD646" start="0" length="0">
    <dxf/>
  </rfmt>
  <rfmt sheetId="1" sqref="AE646" start="0" length="0">
    <dxf/>
  </rfmt>
  <rfmt sheetId="1" sqref="AF646" start="0" length="0">
    <dxf/>
  </rfmt>
  <rfmt sheetId="1" sqref="AG646" start="0" length="0">
    <dxf/>
  </rfmt>
  <rfmt sheetId="1" sqref="AH646" start="0" length="0">
    <dxf/>
  </rfmt>
  <rfmt sheetId="1" sqref="A646:XFD646" start="0" length="0">
    <dxf/>
  </rfmt>
  <rcc rId="9059" sId="1" odxf="1" dxf="1">
    <nc r="A647" t="inlineStr">
      <is>
        <t>Zone 4</t>
      </is>
    </nc>
    <odxf/>
    <ndxf/>
  </rcc>
  <rcc rId="9060" sId="1" odxf="1" dxf="1">
    <nc r="B647">
      <v>39</v>
    </nc>
    <odxf/>
    <ndxf/>
  </rcc>
  <rcc rId="9061" sId="1" odxf="1" dxf="1">
    <nc r="C647">
      <v>2</v>
    </nc>
    <odxf/>
    <ndxf/>
  </rcc>
  <rfmt sheetId="1" sqref="D647" start="0" length="0">
    <dxf/>
  </rfmt>
  <rcc rId="9062" sId="1" odxf="1" dxf="1">
    <nc r="E647" t="inlineStr">
      <is>
        <t>W1029311/1</t>
      </is>
    </nc>
    <odxf/>
    <ndxf/>
  </rcc>
  <rcc rId="9063" sId="1" odxf="1" dxf="1">
    <nc r="F647" t="inlineStr">
      <is>
        <t>VER3/0142-0840-BA</t>
      </is>
    </nc>
    <odxf/>
    <ndxf/>
  </rcc>
  <rcc rId="9064" sId="1" odxf="1" dxf="1">
    <nc r="G647" t="inlineStr">
      <is>
        <t>Single Use Gliderite Stylet Santoprene</t>
      </is>
    </nc>
    <odxf/>
    <ndxf/>
  </rcc>
  <rcc rId="9065" sId="1" odxf="1" dxf="1">
    <nc r="H647">
      <v>157.9</v>
    </nc>
    <odxf/>
    <ndxf/>
  </rcc>
  <rcc rId="9066" sId="1" odxf="1" dxf="1">
    <nc r="I647">
      <v>78.95</v>
    </nc>
    <odxf/>
    <ndxf/>
  </rcc>
  <rcc rId="9067" sId="1" odxf="1" dxf="1">
    <nc r="J647">
      <v>30000</v>
    </nc>
    <odxf/>
    <ndxf/>
  </rcc>
  <rcc rId="9068" sId="1" odxf="1" dxf="1">
    <nc r="K647">
      <v>0</v>
    </nc>
    <odxf/>
    <ndxf/>
  </rcc>
  <rcc rId="9069" sId="1" odxf="1" dxf="1" numFmtId="19">
    <nc r="L647">
      <v>46222.826388888891</v>
    </nc>
    <odxf/>
    <ndxf/>
  </rcc>
  <rcc rId="9070" sId="1" odxf="1" dxf="1" numFmtId="19">
    <nc r="M647">
      <v>46226.131944444445</v>
    </nc>
    <odxf/>
    <ndxf/>
  </rcc>
  <rfmt sheetId="1" sqref="N647" start="0" length="0">
    <dxf/>
  </rfmt>
  <rfmt sheetId="1" sqref="O647" start="0" length="0">
    <dxf/>
  </rfmt>
  <rfmt sheetId="1" sqref="P647" start="0" length="0">
    <dxf/>
  </rfmt>
  <rfmt sheetId="1" sqref="Q647" start="0" length="0">
    <dxf/>
  </rfmt>
  <rfmt sheetId="1" sqref="R647" start="0" length="0">
    <dxf/>
  </rfmt>
  <rfmt sheetId="1" sqref="S647" start="0" length="0">
    <dxf/>
  </rfmt>
  <rfmt sheetId="1" sqref="T647" start="0" length="0">
    <dxf/>
  </rfmt>
  <rfmt sheetId="1" sqref="U647" start="0" length="0">
    <dxf/>
  </rfmt>
  <rfmt sheetId="1" sqref="V647" start="0" length="0">
    <dxf/>
  </rfmt>
  <rfmt sheetId="1" sqref="W647" start="0" length="0">
    <dxf/>
  </rfmt>
  <rfmt sheetId="1" sqref="X647" start="0" length="0">
    <dxf/>
  </rfmt>
  <rfmt sheetId="1" sqref="Y647" start="0" length="0">
    <dxf/>
  </rfmt>
  <rfmt sheetId="1" sqref="Z647" start="0" length="0">
    <dxf/>
  </rfmt>
  <rcc rId="9071" sId="1" odxf="1" dxf="1">
    <nc r="AA647" t="inlineStr">
      <is>
        <t>1</t>
      </is>
    </nc>
    <odxf/>
    <ndxf/>
  </rcc>
  <rcc rId="9072" sId="1" odxf="1" dxf="1">
    <nc r="AB647" t="inlineStr">
      <is>
        <t>0</t>
      </is>
    </nc>
    <odxf/>
    <ndxf/>
  </rcc>
  <rfmt sheetId="1" sqref="AC647" start="0" length="0">
    <dxf/>
  </rfmt>
  <rfmt sheetId="1" sqref="AD647" start="0" length="0">
    <dxf/>
  </rfmt>
  <rfmt sheetId="1" sqref="AE647" start="0" length="0">
    <dxf/>
  </rfmt>
  <rfmt sheetId="1" sqref="AF647" start="0" length="0">
    <dxf/>
  </rfmt>
  <rfmt sheetId="1" sqref="AG647" start="0" length="0">
    <dxf/>
  </rfmt>
  <rfmt sheetId="1" sqref="AH647" start="0" length="0">
    <dxf/>
  </rfmt>
  <rfmt sheetId="1" sqref="A647:XFD647" start="0" length="0">
    <dxf/>
  </rfmt>
  <rcc rId="9073" sId="1" odxf="1" dxf="1">
    <nc r="A648" t="inlineStr">
      <is>
        <t>Zone 4</t>
      </is>
    </nc>
    <odxf/>
    <ndxf/>
  </rcc>
  <rcc rId="9074" sId="1" odxf="1" dxf="1">
    <nc r="B648">
      <v>39</v>
    </nc>
    <odxf/>
    <ndxf/>
  </rcc>
  <rcc rId="9075" sId="1" odxf="1" dxf="1">
    <nc r="C648">
      <v>2</v>
    </nc>
    <odxf/>
    <ndxf/>
  </rcc>
  <rfmt sheetId="1" sqref="D648" start="0" length="0">
    <dxf/>
  </rfmt>
  <rcc rId="9076" sId="1" odxf="1" dxf="1">
    <nc r="E648" t="inlineStr">
      <is>
        <t>W1029312/1</t>
      </is>
    </nc>
    <odxf>
      <border outline="0">
        <bottom/>
      </border>
    </odxf>
    <ndxf>
      <border outline="0">
        <bottom style="thin">
          <color indexed="64"/>
        </bottom>
      </border>
    </ndxf>
  </rcc>
  <rcc rId="9077" sId="1" odxf="1" dxf="1">
    <nc r="F648" t="inlineStr">
      <is>
        <t>VER3/0142-0840-BA</t>
      </is>
    </nc>
    <odxf/>
    <ndxf/>
  </rcc>
  <rcc rId="9078" sId="1" odxf="1" dxf="1">
    <nc r="G648" t="inlineStr">
      <is>
        <t>Single Use Gliderite Stylet Santoprene</t>
      </is>
    </nc>
    <odxf/>
    <ndxf/>
  </rcc>
  <rcc rId="9079" sId="1" odxf="1" dxf="1">
    <nc r="H648">
      <v>157.9</v>
    </nc>
    <odxf/>
    <ndxf/>
  </rcc>
  <rcc rId="9080" sId="1" odxf="1" dxf="1">
    <nc r="I648">
      <v>78.95</v>
    </nc>
    <odxf/>
    <ndxf/>
  </rcc>
  <rcc rId="9081" sId="1" odxf="1" dxf="1">
    <nc r="J648">
      <v>30000</v>
    </nc>
    <odxf/>
    <ndxf/>
  </rcc>
  <rcc rId="9082" sId="1" odxf="1" dxf="1">
    <nc r="K648">
      <v>0</v>
    </nc>
    <odxf/>
    <ndxf/>
  </rcc>
  <rcc rId="9083" sId="1" odxf="1" dxf="1" numFmtId="19">
    <nc r="L648">
      <v>46226.138888888891</v>
    </nc>
    <odxf/>
    <ndxf/>
  </rcc>
  <rcc rId="9084" sId="1" odxf="1" dxf="1" numFmtId="19">
    <nc r="M648">
      <v>46229.444444444445</v>
    </nc>
    <odxf/>
    <ndxf/>
  </rcc>
  <rfmt sheetId="1" sqref="N648" start="0" length="0">
    <dxf>
      <border outline="0">
        <bottom style="thin">
          <color indexed="64"/>
        </bottom>
      </border>
    </dxf>
  </rfmt>
  <rfmt sheetId="1" sqref="O648" start="0" length="0">
    <dxf>
      <border outline="0">
        <bottom style="thin">
          <color indexed="64"/>
        </bottom>
      </border>
    </dxf>
  </rfmt>
  <rfmt sheetId="1" sqref="P648" start="0" length="0">
    <dxf>
      <border outline="0">
        <bottom style="thin">
          <color indexed="64"/>
        </bottom>
      </border>
    </dxf>
  </rfmt>
  <rfmt sheetId="1" sqref="Q648" start="0" length="0">
    <dxf>
      <border outline="0">
        <bottom style="thin">
          <color indexed="64"/>
        </bottom>
      </border>
    </dxf>
  </rfmt>
  <rfmt sheetId="1" sqref="R648" start="0" length="0">
    <dxf>
      <border outline="0">
        <bottom style="thin">
          <color indexed="64"/>
        </bottom>
      </border>
    </dxf>
  </rfmt>
  <rfmt sheetId="1" sqref="S648" start="0" length="0">
    <dxf>
      <border outline="0">
        <bottom style="thin">
          <color indexed="64"/>
        </bottom>
      </border>
    </dxf>
  </rfmt>
  <rfmt sheetId="1" sqref="T648" start="0" length="0">
    <dxf/>
  </rfmt>
  <rfmt sheetId="1" sqref="U648" start="0" length="0">
    <dxf/>
  </rfmt>
  <rfmt sheetId="1" sqref="V648" start="0" length="0">
    <dxf/>
  </rfmt>
  <rfmt sheetId="1" sqref="W648" start="0" length="0">
    <dxf/>
  </rfmt>
  <rfmt sheetId="1" sqref="X648" start="0" length="0">
    <dxf/>
  </rfmt>
  <rfmt sheetId="1" sqref="Y648" start="0" length="0">
    <dxf/>
  </rfmt>
  <rfmt sheetId="1" sqref="Z648" start="0" length="0">
    <dxf/>
  </rfmt>
  <rcc rId="9085" sId="1" odxf="1" dxf="1">
    <nc r="AA648" t="inlineStr">
      <is>
        <t>1</t>
      </is>
    </nc>
    <odxf/>
    <ndxf/>
  </rcc>
  <rcc rId="9086" sId="1" odxf="1" dxf="1">
    <nc r="AB648" t="inlineStr">
      <is>
        <t>0</t>
      </is>
    </nc>
    <odxf/>
    <ndxf/>
  </rcc>
  <rfmt sheetId="1" sqref="AC648" start="0" length="0">
    <dxf/>
  </rfmt>
  <rfmt sheetId="1" sqref="AD648" start="0" length="0">
    <dxf/>
  </rfmt>
  <rfmt sheetId="1" sqref="AE648" start="0" length="0">
    <dxf/>
  </rfmt>
  <rfmt sheetId="1" sqref="AF648" start="0" length="0">
    <dxf/>
  </rfmt>
  <rfmt sheetId="1" sqref="AG648" start="0" length="0">
    <dxf/>
  </rfmt>
  <rfmt sheetId="1" sqref="AH648" start="0" length="0">
    <dxf/>
  </rfmt>
  <rfmt sheetId="1" sqref="A648:XFD648" start="0" length="0">
    <dxf/>
  </rfmt>
  <rcc rId="9087" sId="1" odxf="1" dxf="1">
    <nc r="A649" t="inlineStr">
      <is>
        <t>Zone 4</t>
      </is>
    </nc>
    <odxf/>
    <ndxf/>
  </rcc>
  <rcc rId="9088" sId="1" odxf="1" dxf="1">
    <nc r="B649">
      <v>39</v>
    </nc>
    <odxf/>
    <ndxf/>
  </rcc>
  <rcc rId="9089" sId="1" odxf="1" dxf="1">
    <nc r="C649">
      <v>2</v>
    </nc>
    <odxf/>
    <ndxf/>
  </rcc>
  <rfmt sheetId="1" sqref="D649" start="0" length="0">
    <dxf/>
  </rfmt>
  <rcc rId="9090" sId="1" odxf="1" dxf="1">
    <nc r="E649" t="inlineStr">
      <is>
        <t>W1029313/1</t>
      </is>
    </nc>
    <odxf/>
    <ndxf/>
  </rcc>
  <rcc rId="9091" sId="1" odxf="1" dxf="1">
    <nc r="F649" t="inlineStr">
      <is>
        <t>VER3/0142-0840-BA</t>
      </is>
    </nc>
    <odxf/>
    <ndxf/>
  </rcc>
  <rcc rId="9092" sId="1" odxf="1" dxf="1">
    <nc r="G649" t="inlineStr">
      <is>
        <t>Single Use Gliderite Stylet Santoprene</t>
      </is>
    </nc>
    <odxf/>
    <ndxf/>
  </rcc>
  <rcc rId="9093" sId="1" odxf="1" dxf="1">
    <nc r="H649">
      <v>157.9</v>
    </nc>
    <odxf/>
    <ndxf/>
  </rcc>
  <rcc rId="9094" sId="1" odxf="1" dxf="1">
    <nc r="I649">
      <v>78.95</v>
    </nc>
    <odxf/>
    <ndxf/>
  </rcc>
  <rcc rId="9095" sId="1" odxf="1" dxf="1">
    <nc r="J649">
      <v>30000</v>
    </nc>
    <odxf/>
    <ndxf/>
  </rcc>
  <rcc rId="9096" sId="1" odxf="1" dxf="1">
    <nc r="K649">
      <v>0</v>
    </nc>
    <odxf/>
    <ndxf/>
  </rcc>
  <rcc rId="9097" sId="1" odxf="1" dxf="1" numFmtId="19">
    <nc r="L649">
      <v>46229.451388888891</v>
    </nc>
    <odxf/>
    <ndxf/>
  </rcc>
  <rcc rId="9098" sId="1" odxf="1" dxf="1" numFmtId="19">
    <nc r="M649">
      <v>46232.756944444445</v>
    </nc>
    <odxf/>
    <ndxf/>
  </rcc>
  <rfmt sheetId="1" sqref="N649" start="0" length="0">
    <dxf/>
  </rfmt>
  <rfmt sheetId="1" sqref="O649" start="0" length="0">
    <dxf/>
  </rfmt>
  <rfmt sheetId="1" sqref="P649" start="0" length="0">
    <dxf/>
  </rfmt>
  <rfmt sheetId="1" sqref="Q649" start="0" length="0">
    <dxf/>
  </rfmt>
  <rfmt sheetId="1" sqref="R649" start="0" length="0">
    <dxf/>
  </rfmt>
  <rfmt sheetId="1" sqref="S649" start="0" length="0">
    <dxf/>
  </rfmt>
  <rfmt sheetId="1" sqref="T649" start="0" length="0">
    <dxf/>
  </rfmt>
  <rfmt sheetId="1" sqref="U649" start="0" length="0">
    <dxf/>
  </rfmt>
  <rfmt sheetId="1" sqref="V649" start="0" length="0">
    <dxf/>
  </rfmt>
  <rfmt sheetId="1" sqref="W649" start="0" length="0">
    <dxf/>
  </rfmt>
  <rfmt sheetId="1" sqref="X649" start="0" length="0">
    <dxf/>
  </rfmt>
  <rfmt sheetId="1" sqref="Y649" start="0" length="0">
    <dxf/>
  </rfmt>
  <rfmt sheetId="1" sqref="Z649" start="0" length="0">
    <dxf/>
  </rfmt>
  <rcc rId="9099" sId="1" odxf="1" dxf="1">
    <nc r="AA649" t="inlineStr">
      <is>
        <t>1</t>
      </is>
    </nc>
    <odxf/>
    <ndxf/>
  </rcc>
  <rcc rId="9100" sId="1" odxf="1" dxf="1">
    <nc r="AB649" t="inlineStr">
      <is>
        <t>0</t>
      </is>
    </nc>
    <odxf/>
    <ndxf/>
  </rcc>
  <rfmt sheetId="1" sqref="AC649" start="0" length="0">
    <dxf/>
  </rfmt>
  <rfmt sheetId="1" sqref="AD649" start="0" length="0">
    <dxf/>
  </rfmt>
  <rfmt sheetId="1" sqref="AE649" start="0" length="0">
    <dxf/>
  </rfmt>
  <rfmt sheetId="1" sqref="AF649" start="0" length="0">
    <dxf/>
  </rfmt>
  <rfmt sheetId="1" sqref="AG649" start="0" length="0">
    <dxf/>
  </rfmt>
  <rfmt sheetId="1" sqref="AH649" start="0" length="0">
    <dxf/>
  </rfmt>
  <rfmt sheetId="1" sqref="A649:XFD649" start="0" length="0">
    <dxf/>
  </rfmt>
  <rcc rId="9101" sId="1" odxf="1" dxf="1">
    <nc r="A650" t="inlineStr">
      <is>
        <t>Zone 4</t>
      </is>
    </nc>
    <odxf/>
    <ndxf/>
  </rcc>
  <rcc rId="9102" sId="1" odxf="1" dxf="1">
    <nc r="B650">
      <v>39</v>
    </nc>
    <odxf/>
    <ndxf/>
  </rcc>
  <rcc rId="9103" sId="1" odxf="1" dxf="1">
    <nc r="C650">
      <v>2</v>
    </nc>
    <odxf/>
    <ndxf/>
  </rcc>
  <rfmt sheetId="1" sqref="D650" start="0" length="0">
    <dxf/>
  </rfmt>
  <rcc rId="9104" sId="1" odxf="1" dxf="1">
    <nc r="E650" t="inlineStr">
      <is>
        <t>W1029314/1</t>
      </is>
    </nc>
    <odxf/>
    <ndxf/>
  </rcc>
  <rcc rId="9105" sId="1" odxf="1" dxf="1">
    <nc r="F650" t="inlineStr">
      <is>
        <t>VER3/0142-0840-BA</t>
      </is>
    </nc>
    <odxf/>
    <ndxf/>
  </rcc>
  <rcc rId="9106" sId="1" odxf="1" dxf="1">
    <nc r="G650" t="inlineStr">
      <is>
        <t>Single Use Gliderite Stylet Santoprene</t>
      </is>
    </nc>
    <odxf/>
    <ndxf/>
  </rcc>
  <rcc rId="9107" sId="1" odxf="1" dxf="1">
    <nc r="H650">
      <v>157.9</v>
    </nc>
    <odxf/>
    <ndxf/>
  </rcc>
  <rcc rId="9108" sId="1" odxf="1" dxf="1">
    <nc r="I650">
      <v>78.95</v>
    </nc>
    <odxf/>
    <ndxf/>
  </rcc>
  <rcc rId="9109" sId="1" odxf="1" dxf="1">
    <nc r="J650">
      <v>30000</v>
    </nc>
    <odxf/>
    <ndxf/>
  </rcc>
  <rcc rId="9110" sId="1" odxf="1" dxf="1">
    <nc r="K650">
      <v>0</v>
    </nc>
    <odxf/>
    <ndxf/>
  </rcc>
  <rcc rId="9111" sId="1" odxf="1" dxf="1" numFmtId="19">
    <nc r="L650">
      <v>46232.763888888891</v>
    </nc>
    <odxf/>
    <ndxf/>
  </rcc>
  <rcc rId="9112" sId="1" odxf="1" dxf="1" numFmtId="19">
    <nc r="M650">
      <v>46236.069444444445</v>
    </nc>
    <odxf/>
    <ndxf/>
  </rcc>
  <rfmt sheetId="1" sqref="N650" start="0" length="0">
    <dxf/>
  </rfmt>
  <rfmt sheetId="1" sqref="O650" start="0" length="0">
    <dxf/>
  </rfmt>
  <rfmt sheetId="1" sqref="P650" start="0" length="0">
    <dxf/>
  </rfmt>
  <rfmt sheetId="1" sqref="Q650" start="0" length="0">
    <dxf/>
  </rfmt>
  <rfmt sheetId="1" sqref="R650" start="0" length="0">
    <dxf/>
  </rfmt>
  <rfmt sheetId="1" sqref="S650" start="0" length="0">
    <dxf/>
  </rfmt>
  <rfmt sheetId="1" sqref="T650" start="0" length="0">
    <dxf/>
  </rfmt>
  <rfmt sheetId="1" sqref="U650" start="0" length="0">
    <dxf/>
  </rfmt>
  <rfmt sheetId="1" sqref="V650" start="0" length="0">
    <dxf/>
  </rfmt>
  <rfmt sheetId="1" sqref="W650" start="0" length="0">
    <dxf/>
  </rfmt>
  <rfmt sheetId="1" sqref="X650" start="0" length="0">
    <dxf/>
  </rfmt>
  <rfmt sheetId="1" sqref="Y650" start="0" length="0">
    <dxf/>
  </rfmt>
  <rfmt sheetId="1" sqref="Z650" start="0" length="0">
    <dxf/>
  </rfmt>
  <rcc rId="9113" sId="1" odxf="1" dxf="1">
    <nc r="AA650" t="inlineStr">
      <is>
        <t>1</t>
      </is>
    </nc>
    <odxf/>
    <ndxf/>
  </rcc>
  <rcc rId="9114" sId="1" odxf="1" dxf="1">
    <nc r="AB650" t="inlineStr">
      <is>
        <t>0</t>
      </is>
    </nc>
    <odxf/>
    <ndxf/>
  </rcc>
  <rfmt sheetId="1" sqref="AC650" start="0" length="0">
    <dxf/>
  </rfmt>
  <rfmt sheetId="1" sqref="AD650" start="0" length="0">
    <dxf/>
  </rfmt>
  <rfmt sheetId="1" sqref="AE650" start="0" length="0">
    <dxf/>
  </rfmt>
  <rfmt sheetId="1" sqref="AF650" start="0" length="0">
    <dxf/>
  </rfmt>
  <rfmt sheetId="1" sqref="AG650" start="0" length="0">
    <dxf/>
  </rfmt>
  <rfmt sheetId="1" sqref="AH650" start="0" length="0">
    <dxf/>
  </rfmt>
  <rfmt sheetId="1" sqref="A650:XFD650" start="0" length="0">
    <dxf/>
  </rfmt>
  <rcc rId="9115" sId="1" odxf="1" dxf="1">
    <nc r="A651" t="inlineStr">
      <is>
        <t>Zone 4</t>
      </is>
    </nc>
    <odxf/>
    <ndxf/>
  </rcc>
  <rcc rId="9116" sId="1" odxf="1" dxf="1">
    <nc r="B651">
      <v>39</v>
    </nc>
    <odxf/>
    <ndxf/>
  </rcc>
  <rcc rId="9117" sId="1" odxf="1" dxf="1">
    <nc r="C651">
      <v>2</v>
    </nc>
    <odxf/>
    <ndxf/>
  </rcc>
  <rfmt sheetId="1" sqref="D651" start="0" length="0">
    <dxf/>
  </rfmt>
  <rcc rId="9118" sId="1" odxf="1" dxf="1">
    <nc r="E651" t="inlineStr">
      <is>
        <t>W1029315/1</t>
      </is>
    </nc>
    <odxf/>
    <ndxf/>
  </rcc>
  <rcc rId="9119" sId="1" odxf="1" dxf="1">
    <nc r="F651" t="inlineStr">
      <is>
        <t>VER3/0142-0840-BA</t>
      </is>
    </nc>
    <odxf/>
    <ndxf/>
  </rcc>
  <rcc rId="9120" sId="1" odxf="1" dxf="1">
    <nc r="G651" t="inlineStr">
      <is>
        <t>Single Use Gliderite Stylet Santoprene</t>
      </is>
    </nc>
    <odxf/>
    <ndxf/>
  </rcc>
  <rcc rId="9121" sId="1" odxf="1" dxf="1">
    <nc r="H651">
      <v>157.9</v>
    </nc>
    <odxf/>
    <ndxf/>
  </rcc>
  <rcc rId="9122" sId="1" odxf="1" dxf="1">
    <nc r="I651">
      <v>78.95</v>
    </nc>
    <odxf/>
    <ndxf/>
  </rcc>
  <rcc rId="9123" sId="1" odxf="1" dxf="1">
    <nc r="J651">
      <v>30000</v>
    </nc>
    <odxf/>
    <ndxf/>
  </rcc>
  <rcc rId="9124" sId="1" odxf="1" dxf="1">
    <nc r="K651">
      <v>0</v>
    </nc>
    <odxf/>
    <ndxf/>
  </rcc>
  <rcc rId="9125" sId="1" odxf="1" dxf="1" numFmtId="19">
    <nc r="L651">
      <v>46236.076388888891</v>
    </nc>
    <odxf/>
    <ndxf/>
  </rcc>
  <rcc rId="9126" sId="1" odxf="1" dxf="1" numFmtId="19">
    <nc r="M651">
      <v>46240.381944444445</v>
    </nc>
    <odxf/>
    <ndxf/>
  </rcc>
  <rfmt sheetId="1" sqref="N651" start="0" length="0">
    <dxf/>
  </rfmt>
  <rfmt sheetId="1" sqref="O651" start="0" length="0">
    <dxf/>
  </rfmt>
  <rfmt sheetId="1" sqref="P651" start="0" length="0">
    <dxf/>
  </rfmt>
  <rfmt sheetId="1" sqref="Q651" start="0" length="0">
    <dxf/>
  </rfmt>
  <rfmt sheetId="1" sqref="R651" start="0" length="0">
    <dxf/>
  </rfmt>
  <rfmt sheetId="1" sqref="S651" start="0" length="0">
    <dxf/>
  </rfmt>
  <rfmt sheetId="1" sqref="T651" start="0" length="0">
    <dxf/>
  </rfmt>
  <rfmt sheetId="1" sqref="U651" start="0" length="0">
    <dxf/>
  </rfmt>
  <rfmt sheetId="1" sqref="V651" start="0" length="0">
    <dxf/>
  </rfmt>
  <rfmt sheetId="1" sqref="W651" start="0" length="0">
    <dxf/>
  </rfmt>
  <rfmt sheetId="1" sqref="X651" start="0" length="0">
    <dxf/>
  </rfmt>
  <rfmt sheetId="1" sqref="Y651" start="0" length="0">
    <dxf/>
  </rfmt>
  <rfmt sheetId="1" sqref="Z651" start="0" length="0">
    <dxf/>
  </rfmt>
  <rcc rId="9127" sId="1" odxf="1" dxf="1">
    <nc r="AA651" t="inlineStr">
      <is>
        <t>1</t>
      </is>
    </nc>
    <odxf/>
    <ndxf/>
  </rcc>
  <rcc rId="9128" sId="1" odxf="1" dxf="1">
    <nc r="AB651" t="inlineStr">
      <is>
        <t>0</t>
      </is>
    </nc>
    <odxf/>
    <ndxf/>
  </rcc>
  <rfmt sheetId="1" sqref="AC651" start="0" length="0">
    <dxf/>
  </rfmt>
  <rfmt sheetId="1" sqref="AD651" start="0" length="0">
    <dxf/>
  </rfmt>
  <rfmt sheetId="1" sqref="AE651" start="0" length="0">
    <dxf/>
  </rfmt>
  <rfmt sheetId="1" sqref="AF651" start="0" length="0">
    <dxf/>
  </rfmt>
  <rfmt sheetId="1" sqref="AG651" start="0" length="0">
    <dxf/>
  </rfmt>
  <rfmt sheetId="1" sqref="AH651" start="0" length="0">
    <dxf/>
  </rfmt>
  <rfmt sheetId="1" sqref="A651:XFD651" start="0" length="0">
    <dxf/>
  </rfmt>
  <rcc rId="9129" sId="1" odxf="1" dxf="1">
    <nc r="A652" t="inlineStr">
      <is>
        <t>Zone 4</t>
      </is>
    </nc>
    <odxf/>
    <ndxf/>
  </rcc>
  <rcc rId="9130" sId="1" odxf="1" dxf="1">
    <nc r="B652">
      <v>39</v>
    </nc>
    <odxf/>
    <ndxf/>
  </rcc>
  <rcc rId="9131" sId="1" odxf="1" dxf="1">
    <nc r="C652">
      <v>2</v>
    </nc>
    <odxf/>
    <ndxf/>
  </rcc>
  <rfmt sheetId="1" sqref="D652" start="0" length="0">
    <dxf/>
  </rfmt>
  <rcc rId="9132" sId="1" odxf="1" dxf="1">
    <nc r="E652" t="inlineStr">
      <is>
        <t>W1029316/1</t>
      </is>
    </nc>
    <odxf/>
    <ndxf/>
  </rcc>
  <rcc rId="9133" sId="1" odxf="1" dxf="1">
    <nc r="F652" t="inlineStr">
      <is>
        <t>VER3/0142-0840-BA</t>
      </is>
    </nc>
    <odxf/>
    <ndxf/>
  </rcc>
  <rcc rId="9134" sId="1" odxf="1" dxf="1">
    <nc r="G652" t="inlineStr">
      <is>
        <t>Single Use Gliderite Stylet Santoprene</t>
      </is>
    </nc>
    <odxf/>
    <ndxf/>
  </rcc>
  <rcc rId="9135" sId="1" odxf="1" dxf="1">
    <nc r="H652">
      <v>157.9</v>
    </nc>
    <odxf/>
    <ndxf/>
  </rcc>
  <rcc rId="9136" sId="1" odxf="1" dxf="1">
    <nc r="I652">
      <v>78.95</v>
    </nc>
    <odxf/>
    <ndxf/>
  </rcc>
  <rcc rId="9137" sId="1" odxf="1" dxf="1">
    <nc r="J652">
      <v>30000</v>
    </nc>
    <odxf/>
    <ndxf/>
  </rcc>
  <rcc rId="9138" sId="1" odxf="1" dxf="1">
    <nc r="K652">
      <v>0</v>
    </nc>
    <odxf/>
    <ndxf/>
  </rcc>
  <rcc rId="9139" sId="1" odxf="1" dxf="1" numFmtId="19">
    <nc r="L652">
      <v>46240.388888888891</v>
    </nc>
    <odxf/>
    <ndxf/>
  </rcc>
  <rcc rId="9140" sId="1" odxf="1" dxf="1" numFmtId="19">
    <nc r="M652">
      <v>46243.694444444445</v>
    </nc>
    <odxf/>
    <ndxf/>
  </rcc>
  <rfmt sheetId="1" sqref="N652" start="0" length="0">
    <dxf/>
  </rfmt>
  <rfmt sheetId="1" sqref="O652" start="0" length="0">
    <dxf/>
  </rfmt>
  <rfmt sheetId="1" sqref="P652" start="0" length="0">
    <dxf/>
  </rfmt>
  <rfmt sheetId="1" sqref="Q652" start="0" length="0">
    <dxf/>
  </rfmt>
  <rfmt sheetId="1" sqref="R652" start="0" length="0">
    <dxf/>
  </rfmt>
  <rfmt sheetId="1" sqref="S652" start="0" length="0">
    <dxf/>
  </rfmt>
  <rfmt sheetId="1" sqref="T652" start="0" length="0">
    <dxf/>
  </rfmt>
  <rfmt sheetId="1" sqref="U652" start="0" length="0">
    <dxf/>
  </rfmt>
  <rfmt sheetId="1" sqref="V652" start="0" length="0">
    <dxf/>
  </rfmt>
  <rfmt sheetId="1" sqref="W652" start="0" length="0">
    <dxf/>
  </rfmt>
  <rfmt sheetId="1" sqref="X652" start="0" length="0">
    <dxf/>
  </rfmt>
  <rfmt sheetId="1" sqref="Y652" start="0" length="0">
    <dxf/>
  </rfmt>
  <rfmt sheetId="1" sqref="Z652" start="0" length="0">
    <dxf/>
  </rfmt>
  <rcc rId="9141" sId="1" odxf="1" dxf="1">
    <nc r="AA652" t="inlineStr">
      <is>
        <t>1</t>
      </is>
    </nc>
    <odxf/>
    <ndxf/>
  </rcc>
  <rcc rId="9142" sId="1" odxf="1" dxf="1">
    <nc r="AB652" t="inlineStr">
      <is>
        <t>0</t>
      </is>
    </nc>
    <odxf/>
    <ndxf/>
  </rcc>
  <rfmt sheetId="1" sqref="AC652" start="0" length="0">
    <dxf/>
  </rfmt>
  <rfmt sheetId="1" sqref="AD652" start="0" length="0">
    <dxf/>
  </rfmt>
  <rfmt sheetId="1" sqref="AE652" start="0" length="0">
    <dxf/>
  </rfmt>
  <rfmt sheetId="1" sqref="AF652" start="0" length="0">
    <dxf/>
  </rfmt>
  <rfmt sheetId="1" sqref="AG652" start="0" length="0">
    <dxf/>
  </rfmt>
  <rfmt sheetId="1" sqref="AH652" start="0" length="0">
    <dxf/>
  </rfmt>
  <rfmt sheetId="1" sqref="A652:XFD652" start="0" length="0">
    <dxf/>
  </rfmt>
  <rcc rId="9143" sId="1" odxf="1" dxf="1">
    <nc r="A653" t="inlineStr">
      <is>
        <t>Zone 4</t>
      </is>
    </nc>
    <odxf/>
    <ndxf/>
  </rcc>
  <rcc rId="9144" sId="1" odxf="1" dxf="1">
    <nc r="B653">
      <v>39</v>
    </nc>
    <odxf/>
    <ndxf/>
  </rcc>
  <rcc rId="9145" sId="1" odxf="1" dxf="1">
    <nc r="C653">
      <v>2</v>
    </nc>
    <odxf/>
    <ndxf/>
  </rcc>
  <rfmt sheetId="1" sqref="D653" start="0" length="0">
    <dxf/>
  </rfmt>
  <rcc rId="9146" sId="1" odxf="1" dxf="1">
    <nc r="E653" t="inlineStr">
      <is>
        <t>W1029317/1</t>
      </is>
    </nc>
    <odxf/>
    <ndxf/>
  </rcc>
  <rcc rId="9147" sId="1" odxf="1" dxf="1">
    <nc r="F653" t="inlineStr">
      <is>
        <t>VER3/0142-0840-BA</t>
      </is>
    </nc>
    <odxf/>
    <ndxf/>
  </rcc>
  <rcc rId="9148" sId="1" odxf="1" dxf="1">
    <nc r="G653" t="inlineStr">
      <is>
        <t>Single Use Gliderite Stylet Santoprene</t>
      </is>
    </nc>
    <odxf/>
    <ndxf/>
  </rcc>
  <rcc rId="9149" sId="1" odxf="1" dxf="1">
    <nc r="H653">
      <v>157.9</v>
    </nc>
    <odxf/>
    <ndxf/>
  </rcc>
  <rcc rId="9150" sId="1" odxf="1" dxf="1">
    <nc r="I653">
      <v>78.95</v>
    </nc>
    <odxf/>
    <ndxf/>
  </rcc>
  <rcc rId="9151" sId="1" odxf="1" dxf="1">
    <nc r="J653">
      <v>30000</v>
    </nc>
    <odxf/>
    <ndxf/>
  </rcc>
  <rcc rId="9152" sId="1" odxf="1" dxf="1">
    <nc r="K653">
      <v>0</v>
    </nc>
    <odxf/>
    <ndxf/>
  </rcc>
  <rcc rId="9153" sId="1" odxf="1" dxf="1" numFmtId="19">
    <nc r="L653">
      <v>46243.701388888891</v>
    </nc>
    <odxf/>
    <ndxf/>
  </rcc>
  <rcc rId="9154" sId="1" odxf="1" dxf="1" numFmtId="19">
    <nc r="M653">
      <v>46247.006944444445</v>
    </nc>
    <odxf/>
    <ndxf/>
  </rcc>
  <rfmt sheetId="1" sqref="N653" start="0" length="0">
    <dxf/>
  </rfmt>
  <rfmt sheetId="1" sqref="O653" start="0" length="0">
    <dxf/>
  </rfmt>
  <rfmt sheetId="1" sqref="P653" start="0" length="0">
    <dxf/>
  </rfmt>
  <rfmt sheetId="1" sqref="Q653" start="0" length="0">
    <dxf/>
  </rfmt>
  <rfmt sheetId="1" sqref="R653" start="0" length="0">
    <dxf/>
  </rfmt>
  <rfmt sheetId="1" sqref="S653" start="0" length="0">
    <dxf/>
  </rfmt>
  <rfmt sheetId="1" sqref="T653" start="0" length="0">
    <dxf/>
  </rfmt>
  <rfmt sheetId="1" sqref="U653" start="0" length="0">
    <dxf/>
  </rfmt>
  <rfmt sheetId="1" sqref="V653" start="0" length="0">
    <dxf/>
  </rfmt>
  <rfmt sheetId="1" sqref="W653" start="0" length="0">
    <dxf/>
  </rfmt>
  <rfmt sheetId="1" sqref="X653" start="0" length="0">
    <dxf/>
  </rfmt>
  <rfmt sheetId="1" sqref="Y653" start="0" length="0">
    <dxf/>
  </rfmt>
  <rfmt sheetId="1" sqref="Z653" start="0" length="0">
    <dxf/>
  </rfmt>
  <rcc rId="9155" sId="1" odxf="1" dxf="1">
    <nc r="AA653" t="inlineStr">
      <is>
        <t>1</t>
      </is>
    </nc>
    <odxf/>
    <ndxf/>
  </rcc>
  <rcc rId="9156" sId="1" odxf="1" dxf="1">
    <nc r="AB653" t="inlineStr">
      <is>
        <t>0</t>
      </is>
    </nc>
    <odxf/>
    <ndxf/>
  </rcc>
  <rfmt sheetId="1" sqref="AC653" start="0" length="0">
    <dxf/>
  </rfmt>
  <rfmt sheetId="1" sqref="AD653" start="0" length="0">
    <dxf/>
  </rfmt>
  <rfmt sheetId="1" sqref="AE653" start="0" length="0">
    <dxf/>
  </rfmt>
  <rfmt sheetId="1" sqref="AF653" start="0" length="0">
    <dxf/>
  </rfmt>
  <rfmt sheetId="1" sqref="AG653" start="0" length="0">
    <dxf/>
  </rfmt>
  <rfmt sheetId="1" sqref="AH653" start="0" length="0">
    <dxf/>
  </rfmt>
  <rfmt sheetId="1" sqref="A653:XFD653" start="0" length="0">
    <dxf/>
  </rfmt>
  <rrc rId="9157" sId="1" ref="A647:XFD647" action="insertRow"/>
  <rm rId="9158" sheetId="1" source="A642:XFD642" destination="A647:XFD647" sourceSheetId="1">
    <rfmt sheetId="1" xfDxf="1" sqref="A647:XFD647" start="0" length="0"/>
    <rfmt sheetId="1" sqref="L647" start="0" length="0">
      <dxf>
        <numFmt numFmtId="164" formatCode="mm\-dd\-yyyy"/>
      </dxf>
    </rfmt>
    <rfmt sheetId="1" sqref="M647" start="0" length="0">
      <dxf>
        <numFmt numFmtId="164" formatCode="mm\-dd\-yyyy"/>
      </dxf>
    </rfmt>
  </rm>
  <rrc rId="9159" sId="1" ref="A642:XFD642" action="deleteRow">
    <rfmt sheetId="1" xfDxf="1" sqref="A642:XFD642" start="0" length="0"/>
    <rfmt sheetId="1" sqref="L642" start="0" length="0">
      <dxf>
        <numFmt numFmtId="164" formatCode="mm\-dd\-yyyy"/>
      </dxf>
    </rfmt>
    <rfmt sheetId="1" sqref="M642" start="0" length="0">
      <dxf>
        <numFmt numFmtId="164" formatCode="mm\-dd\-yyyy"/>
      </dxf>
    </rfmt>
  </rrc>
  <rfmt sheetId="1" sqref="A648:XFD648" start="0" length="0">
    <dxf>
      <border>
        <bottom/>
      </border>
    </dxf>
  </rfmt>
  <rfmt sheetId="1" sqref="A642:XFD642">
    <dxf>
      <fill>
        <patternFill patternType="solid">
          <bgColor theme="8" tint="0.39997558519241921"/>
        </patternFill>
      </fill>
    </dxf>
  </rfmt>
  <rrc rId="9160" sId="1" ref="A848:XFD848" action="deleteRow">
    <rfmt sheetId="1" xfDxf="1" sqref="A848:XFD848" start="0" length="0"/>
    <rcc rId="0" sId="1">
      <nc r="A848" t="inlineStr">
        <is>
          <t>Zone 4</t>
        </is>
      </nc>
    </rcc>
    <rcc rId="0" sId="1">
      <nc r="B848">
        <v>39</v>
      </nc>
    </rcc>
    <rcc rId="0" sId="1">
      <nc r="C848">
        <v>2</v>
      </nc>
    </rcc>
    <rcc rId="0" sId="1">
      <nc r="E848" t="inlineStr">
        <is>
          <t>W1029306/1</t>
        </is>
      </nc>
    </rcc>
    <rcc rId="0" sId="1">
      <nc r="F848" t="inlineStr">
        <is>
          <t>VER3/0142-0840-BA</t>
        </is>
      </nc>
    </rcc>
    <rcc rId="0" sId="1">
      <nc r="G848" t="inlineStr">
        <is>
          <t>Single Use Gliderite Stylet Santoprene</t>
        </is>
      </nc>
    </rcc>
    <rcc rId="0" sId="1">
      <nc r="H848">
        <v>157.9</v>
      </nc>
    </rcc>
    <rcc rId="0" sId="1">
      <nc r="I848">
        <v>60</v>
      </nc>
    </rcc>
    <rcc rId="0" sId="1">
      <nc r="J848">
        <v>30000</v>
      </nc>
    </rcc>
    <rcc rId="0" sId="1">
      <nc r="K848">
        <v>7200</v>
      </nc>
    </rcc>
    <rcc rId="0" sId="1" dxf="1" numFmtId="19">
      <nc r="L848">
        <v>46208.958333333336</v>
      </nc>
      <ndxf>
        <numFmt numFmtId="164" formatCode="mm\-dd\-yyyy"/>
      </ndxf>
    </rcc>
    <rcc rId="0" sId="1" dxf="1" numFmtId="19">
      <nc r="M848">
        <v>46211.451388888891</v>
      </nc>
      <ndxf>
        <numFmt numFmtId="164" formatCode="mm\-dd\-yyyy"/>
      </ndxf>
    </rcc>
    <rcc rId="0" sId="1">
      <nc r="AA848" t="inlineStr">
        <is>
          <t>1</t>
        </is>
      </nc>
    </rcc>
    <rcc rId="0" sId="1">
      <nc r="AB848" t="inlineStr">
        <is>
          <t>0</t>
        </is>
      </nc>
    </rcc>
  </rrc>
  <rrc rId="9161" sId="1" ref="A848:XFD848" action="deleteRow">
    <rfmt sheetId="1" xfDxf="1" sqref="A848:XFD848" start="0" length="0"/>
    <rcc rId="0" sId="1">
      <nc r="A848" t="inlineStr">
        <is>
          <t>Zone 4</t>
        </is>
      </nc>
    </rcc>
    <rcc rId="0" sId="1">
      <nc r="B848">
        <v>39</v>
      </nc>
    </rcc>
    <rcc rId="0" sId="1">
      <nc r="C848">
        <v>2</v>
      </nc>
    </rcc>
    <rcc rId="0" sId="1">
      <nc r="E848" t="inlineStr">
        <is>
          <t>W1029307/1</t>
        </is>
      </nc>
    </rcc>
    <rcc rId="0" sId="1">
      <nc r="F848" t="inlineStr">
        <is>
          <t>VER3/0142-0840-BA</t>
        </is>
      </nc>
    </rcc>
    <rcc rId="0" sId="1">
      <nc r="G848" t="inlineStr">
        <is>
          <t>Single Use Gliderite Stylet Santoprene</t>
        </is>
      </nc>
    </rcc>
    <rcc rId="0" sId="1">
      <nc r="H848">
        <v>157.9</v>
      </nc>
    </rcc>
    <rcc rId="0" sId="1">
      <nc r="I848">
        <v>78.95</v>
      </nc>
    </rcc>
    <rcc rId="0" sId="1">
      <nc r="J848">
        <v>30000</v>
      </nc>
    </rcc>
    <rcc rId="0" sId="1">
      <nc r="K848">
        <v>0</v>
      </nc>
    </rcc>
    <rcc rId="0" sId="1" dxf="1" numFmtId="19">
      <nc r="L848">
        <v>46211.458333333336</v>
      </nc>
      <ndxf>
        <numFmt numFmtId="164" formatCode="mm\-dd\-yyyy"/>
      </ndxf>
    </rcc>
    <rcc rId="0" sId="1" dxf="1" numFmtId="19">
      <nc r="M848">
        <v>46214.763888888891</v>
      </nc>
      <ndxf>
        <numFmt numFmtId="164" formatCode="mm\-dd\-yyyy"/>
      </ndxf>
    </rcc>
    <rcc rId="0" sId="1">
      <nc r="AA848" t="inlineStr">
        <is>
          <t>1</t>
        </is>
      </nc>
    </rcc>
    <rcc rId="0" sId="1">
      <nc r="AB848" t="inlineStr">
        <is>
          <t>0</t>
        </is>
      </nc>
    </rcc>
  </rrc>
  <rrc rId="9162" sId="1" ref="A848:XFD848" action="deleteRow">
    <rfmt sheetId="1" xfDxf="1" sqref="A848:XFD848" start="0" length="0"/>
    <rcc rId="0" sId="1">
      <nc r="A848" t="inlineStr">
        <is>
          <t>Zone 4</t>
        </is>
      </nc>
    </rcc>
    <rcc rId="0" sId="1">
      <nc r="B848">
        <v>39</v>
      </nc>
    </rcc>
    <rcc rId="0" sId="1">
      <nc r="C848">
        <v>2</v>
      </nc>
    </rcc>
    <rcc rId="0" sId="1">
      <nc r="E848" t="inlineStr">
        <is>
          <t>W1029308/1</t>
        </is>
      </nc>
    </rcc>
    <rcc rId="0" sId="1">
      <nc r="F848" t="inlineStr">
        <is>
          <t>VER3/0142-0840-BA</t>
        </is>
      </nc>
    </rcc>
    <rcc rId="0" sId="1">
      <nc r="G848" t="inlineStr">
        <is>
          <t>Single Use Gliderite Stylet Santoprene</t>
        </is>
      </nc>
    </rcc>
    <rcc rId="0" sId="1">
      <nc r="H848">
        <v>157.9</v>
      </nc>
    </rcc>
    <rcc rId="0" sId="1">
      <nc r="I848">
        <v>78.95</v>
      </nc>
    </rcc>
    <rcc rId="0" sId="1">
      <nc r="J848">
        <v>30000</v>
      </nc>
    </rcc>
    <rcc rId="0" sId="1">
      <nc r="K848">
        <v>0</v>
      </nc>
    </rcc>
    <rcc rId="0" sId="1" dxf="1" numFmtId="19">
      <nc r="L848">
        <v>46214.770833333336</v>
      </nc>
      <ndxf>
        <numFmt numFmtId="164" formatCode="mm\-dd\-yyyy"/>
      </ndxf>
    </rcc>
    <rcc rId="0" sId="1" dxf="1" numFmtId="19">
      <nc r="M848">
        <v>46218.076388888891</v>
      </nc>
      <ndxf>
        <numFmt numFmtId="164" formatCode="mm\-dd\-yyyy"/>
      </ndxf>
    </rcc>
    <rcc rId="0" sId="1">
      <nc r="AA848" t="inlineStr">
        <is>
          <t>1</t>
        </is>
      </nc>
    </rcc>
    <rcc rId="0" sId="1">
      <nc r="AB848" t="inlineStr">
        <is>
          <t>0</t>
        </is>
      </nc>
    </rcc>
  </rrc>
  <rrc rId="9163" sId="1" ref="A848:XFD848" action="deleteRow">
    <rfmt sheetId="1" xfDxf="1" sqref="A848:XFD848" start="0" length="0"/>
    <rcc rId="0" sId="1">
      <nc r="A848" t="inlineStr">
        <is>
          <t>Zone 4</t>
        </is>
      </nc>
    </rcc>
    <rcc rId="0" sId="1">
      <nc r="B848">
        <v>39</v>
      </nc>
    </rcc>
    <rcc rId="0" sId="1">
      <nc r="C848">
        <v>2</v>
      </nc>
    </rcc>
    <rcc rId="0" sId="1">
      <nc r="E848" t="inlineStr">
        <is>
          <t>W1029309/1</t>
        </is>
      </nc>
    </rcc>
    <rcc rId="0" sId="1">
      <nc r="F848" t="inlineStr">
        <is>
          <t>VER3/0142-0840-BA</t>
        </is>
      </nc>
    </rcc>
    <rcc rId="0" sId="1">
      <nc r="G848" t="inlineStr">
        <is>
          <t>Single Use Gliderite Stylet Santoprene</t>
        </is>
      </nc>
    </rcc>
    <rcc rId="0" sId="1">
      <nc r="H848">
        <v>157.9</v>
      </nc>
    </rcc>
    <rcc rId="0" sId="1">
      <nc r="I848">
        <v>78.95</v>
      </nc>
    </rcc>
    <rcc rId="0" sId="1">
      <nc r="J848">
        <v>30000</v>
      </nc>
    </rcc>
    <rcc rId="0" sId="1">
      <nc r="K848">
        <v>0</v>
      </nc>
    </rcc>
    <rcc rId="0" sId="1" dxf="1" numFmtId="19">
      <nc r="L848">
        <v>46218.083333333336</v>
      </nc>
      <ndxf>
        <numFmt numFmtId="164" formatCode="mm\-dd\-yyyy"/>
      </ndxf>
    </rcc>
    <rcc rId="0" sId="1" dxf="1" numFmtId="19">
      <nc r="M848">
        <v>46221.388888888891</v>
      </nc>
      <ndxf>
        <numFmt numFmtId="164" formatCode="mm\-dd\-yyyy"/>
      </ndxf>
    </rcc>
    <rcc rId="0" sId="1">
      <nc r="AA848" t="inlineStr">
        <is>
          <t>1</t>
        </is>
      </nc>
    </rcc>
    <rcc rId="0" sId="1">
      <nc r="AB848" t="inlineStr">
        <is>
          <t>0</t>
        </is>
      </nc>
    </rcc>
  </rrc>
  <rrc rId="9164" sId="1" ref="A848:XFD848" action="deleteRow">
    <rfmt sheetId="1" xfDxf="1" sqref="A848:XFD848" start="0" length="0"/>
    <rcc rId="0" sId="1">
      <nc r="A848" t="inlineStr">
        <is>
          <t>Zone 4</t>
        </is>
      </nc>
    </rcc>
    <rcc rId="0" sId="1">
      <nc r="B848">
        <v>39</v>
      </nc>
    </rcc>
    <rcc rId="0" sId="1">
      <nc r="C848">
        <v>2</v>
      </nc>
    </rcc>
    <rcc rId="0" sId="1">
      <nc r="E848" t="inlineStr">
        <is>
          <t>W1029310/1</t>
        </is>
      </nc>
    </rcc>
    <rcc rId="0" sId="1">
      <nc r="F848" t="inlineStr">
        <is>
          <t>VER3/0142-0840-BA</t>
        </is>
      </nc>
    </rcc>
    <rcc rId="0" sId="1">
      <nc r="G848" t="inlineStr">
        <is>
          <t>Single Use Gliderite Stylet Santoprene</t>
        </is>
      </nc>
    </rcc>
    <rcc rId="0" sId="1">
      <nc r="H848">
        <v>157.9</v>
      </nc>
    </rcc>
    <rcc rId="0" sId="1">
      <nc r="I848">
        <v>78.95</v>
      </nc>
    </rcc>
    <rcc rId="0" sId="1">
      <nc r="J848">
        <v>30000</v>
      </nc>
    </rcc>
    <rcc rId="0" sId="1">
      <nc r="K848">
        <v>0</v>
      </nc>
    </rcc>
    <rcc rId="0" sId="1" dxf="1" numFmtId="19">
      <nc r="L848">
        <v>46221.395833333336</v>
      </nc>
      <ndxf>
        <numFmt numFmtId="164" formatCode="mm\-dd\-yyyy"/>
      </ndxf>
    </rcc>
    <rcc rId="0" sId="1" dxf="1" numFmtId="19">
      <nc r="M848">
        <v>46224.701388888891</v>
      </nc>
      <ndxf>
        <numFmt numFmtId="164" formatCode="mm\-dd\-yyyy"/>
      </ndxf>
    </rcc>
    <rcc rId="0" sId="1">
      <nc r="AA848" t="inlineStr">
        <is>
          <t>1</t>
        </is>
      </nc>
    </rcc>
    <rcc rId="0" sId="1">
      <nc r="AB848" t="inlineStr">
        <is>
          <t>0</t>
        </is>
      </nc>
    </rcc>
  </rrc>
  <rrc rId="9165" sId="1" ref="A848:XFD848" action="deleteRow">
    <rfmt sheetId="1" xfDxf="1" sqref="A848:XFD848" start="0" length="0"/>
    <rcc rId="0" sId="1">
      <nc r="A848" t="inlineStr">
        <is>
          <t>Zone 4</t>
        </is>
      </nc>
    </rcc>
    <rcc rId="0" sId="1">
      <nc r="B848">
        <v>39</v>
      </nc>
    </rcc>
    <rcc rId="0" sId="1">
      <nc r="C848">
        <v>2</v>
      </nc>
    </rcc>
    <rcc rId="0" sId="1">
      <nc r="E848" t="inlineStr">
        <is>
          <t>W1029311/1</t>
        </is>
      </nc>
    </rcc>
    <rcc rId="0" sId="1">
      <nc r="F848" t="inlineStr">
        <is>
          <t>VER3/0142-0840-BA</t>
        </is>
      </nc>
    </rcc>
    <rcc rId="0" sId="1">
      <nc r="G848" t="inlineStr">
        <is>
          <t>Single Use Gliderite Stylet Santoprene</t>
        </is>
      </nc>
    </rcc>
    <rcc rId="0" sId="1">
      <nc r="H848">
        <v>157.9</v>
      </nc>
    </rcc>
    <rcc rId="0" sId="1">
      <nc r="I848">
        <v>78.95</v>
      </nc>
    </rcc>
    <rcc rId="0" sId="1">
      <nc r="J848">
        <v>30000</v>
      </nc>
    </rcc>
    <rcc rId="0" sId="1">
      <nc r="K848">
        <v>0</v>
      </nc>
    </rcc>
    <rcc rId="0" sId="1" dxf="1" numFmtId="19">
      <nc r="L848">
        <v>46224.708333333336</v>
      </nc>
      <ndxf>
        <numFmt numFmtId="164" formatCode="mm\-dd\-yyyy"/>
      </ndxf>
    </rcc>
    <rcc rId="0" sId="1" dxf="1" numFmtId="19">
      <nc r="M848">
        <v>46228.013888888891</v>
      </nc>
      <ndxf>
        <numFmt numFmtId="164" formatCode="mm\-dd\-yyyy"/>
      </ndxf>
    </rcc>
    <rcc rId="0" sId="1">
      <nc r="AA848" t="inlineStr">
        <is>
          <t>1</t>
        </is>
      </nc>
    </rcc>
    <rcc rId="0" sId="1">
      <nc r="AB848" t="inlineStr">
        <is>
          <t>0</t>
        </is>
      </nc>
    </rcc>
  </rrc>
  <rrc rId="9166" sId="1" ref="A848:XFD848" action="deleteRow">
    <rfmt sheetId="1" xfDxf="1" sqref="A848:XFD848" start="0" length="0">
      <dxf>
        <border outline="0">
          <bottom style="thin">
            <color indexed="64"/>
          </bottom>
        </border>
      </dxf>
    </rfmt>
    <rcc rId="0" sId="1">
      <nc r="A848" t="inlineStr">
        <is>
          <t>Zone 4</t>
        </is>
      </nc>
    </rcc>
    <rcc rId="0" sId="1">
      <nc r="B848">
        <v>39</v>
      </nc>
    </rcc>
    <rcc rId="0" sId="1">
      <nc r="C848">
        <v>2</v>
      </nc>
    </rcc>
    <rcc rId="0" sId="1">
      <nc r="E848" t="inlineStr">
        <is>
          <t>W1029312/1</t>
        </is>
      </nc>
    </rcc>
    <rcc rId="0" sId="1">
      <nc r="F848" t="inlineStr">
        <is>
          <t>VER3/0142-0840-BA</t>
        </is>
      </nc>
    </rcc>
    <rcc rId="0" sId="1">
      <nc r="G848" t="inlineStr">
        <is>
          <t>Single Use Gliderite Stylet Santoprene</t>
        </is>
      </nc>
    </rcc>
    <rcc rId="0" sId="1">
      <nc r="H848">
        <v>157.9</v>
      </nc>
    </rcc>
    <rcc rId="0" sId="1">
      <nc r="I848">
        <v>78.95</v>
      </nc>
    </rcc>
    <rcc rId="0" sId="1">
      <nc r="J848">
        <v>30000</v>
      </nc>
    </rcc>
    <rcc rId="0" sId="1">
      <nc r="K848">
        <v>0</v>
      </nc>
    </rcc>
    <rcc rId="0" sId="1" dxf="1" numFmtId="19">
      <nc r="L848">
        <v>46228.020833333336</v>
      </nc>
      <ndxf>
        <numFmt numFmtId="164" formatCode="mm\-dd\-yyyy"/>
      </ndxf>
    </rcc>
    <rcc rId="0" sId="1" dxf="1" numFmtId="19">
      <nc r="M848">
        <v>46231.326388888891</v>
      </nc>
      <ndxf>
        <numFmt numFmtId="164" formatCode="mm\-dd\-yyyy"/>
      </ndxf>
    </rcc>
    <rcc rId="0" sId="1">
      <nc r="AA848" t="inlineStr">
        <is>
          <t>1</t>
        </is>
      </nc>
    </rcc>
    <rcc rId="0" sId="1">
      <nc r="AB848" t="inlineStr">
        <is>
          <t>0</t>
        </is>
      </nc>
    </rcc>
  </rrc>
  <rrc rId="9167" sId="1" ref="A862:XFD862" action="deleteRow">
    <rfmt sheetId="1" xfDxf="1" sqref="A862:XFD862" start="0" length="0">
      <dxf>
        <border outline="0">
          <bottom style="thin">
            <color indexed="64"/>
          </bottom>
        </border>
      </dxf>
    </rfmt>
    <rcc rId="0" sId="1">
      <nc r="A862" t="inlineStr">
        <is>
          <t>Zone 4</t>
        </is>
      </nc>
    </rcc>
    <rcc rId="0" sId="1">
      <nc r="B862">
        <v>42</v>
      </nc>
    </rcc>
    <rcc rId="0" sId="1">
      <nc r="C862">
        <v>0.33</v>
      </nc>
    </rcc>
    <rcc rId="0" sId="1">
      <nc r="D862" t="inlineStr">
        <is>
          <t>24-030</t>
        </is>
      </nc>
    </rcc>
    <rcc rId="0" sId="1">
      <nc r="E862" t="inlineStr">
        <is>
          <t>W1019687/1</t>
        </is>
      </nc>
    </rcc>
    <rcc rId="0" sId="1">
      <nc r="F862" t="inlineStr">
        <is>
          <t>VER1/0122-1316</t>
        </is>
      </nc>
    </rcc>
    <rcc rId="0" sId="1">
      <nc r="G862" t="inlineStr">
        <is>
          <t>Proximal Coupler, Orion</t>
        </is>
      </nc>
    </rcc>
    <rcc rId="0" sId="1">
      <nc r="H862">
        <v>7.2203999999999997</v>
      </nc>
    </rcc>
    <rcc rId="0" sId="1">
      <nc r="I862">
        <v>21.88</v>
      </nc>
    </rcc>
    <rcc rId="0" sId="1">
      <nc r="J862">
        <v>6039</v>
      </nc>
    </rcc>
    <rcc rId="0" sId="1">
      <nc r="K862">
        <v>0</v>
      </nc>
    </rcc>
    <rcc rId="0" sId="1" dxf="1" numFmtId="19">
      <nc r="L862">
        <v>46213.576388888891</v>
      </nc>
      <ndxf>
        <numFmt numFmtId="164" formatCode="mm\-dd\-yyyy"/>
      </ndxf>
    </rcc>
    <rcc rId="0" sId="1" dxf="1" numFmtId="19">
      <nc r="M862">
        <v>46216.486111111109</v>
      </nc>
      <ndxf>
        <numFmt numFmtId="164" formatCode="mm\-dd\-yyyy"/>
      </ndxf>
    </rcc>
    <rcc rId="0" sId="1">
      <nc r="AA862" t="inlineStr">
        <is>
          <t>1</t>
        </is>
      </nc>
    </rcc>
    <rcc rId="0" sId="1">
      <nc r="AB862" t="inlineStr">
        <is>
          <t>0</t>
        </is>
      </nc>
    </rcc>
  </rrc>
  <rcv guid="{31B4C6D2-0335-443E-840F-0BE68859C862}" action="delete"/>
  <rcv guid="{31B4C6D2-0335-443E-840F-0BE68859C862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168" sId="1" ref="A862:XFD870" action="insertRow"/>
  <rcc rId="9169" sId="1">
    <nc r="A862" t="inlineStr">
      <is>
        <t>Zone 4</t>
      </is>
    </nc>
  </rcc>
  <rcc rId="9170" sId="1">
    <nc r="B862">
      <v>43</v>
    </nc>
  </rcc>
  <rcc rId="9171" sId="1">
    <nc r="C862">
      <v>0.5</v>
    </nc>
  </rcc>
  <rcc rId="9172" sId="1">
    <nc r="D862" t="inlineStr">
      <is>
        <t>23-064</t>
      </is>
    </nc>
  </rcc>
  <rcc rId="9173" sId="1" odxf="1" dxf="1">
    <nc r="E862" t="inlineStr">
      <is>
        <t>W1030124-1/1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9174" sId="1">
    <nc r="F862" t="inlineStr">
      <is>
        <t>VER3/0122-1196</t>
      </is>
    </nc>
  </rcc>
  <rcc rId="9175" sId="1">
    <nc r="G862" t="inlineStr">
      <is>
        <t>Clearfit HA S4 - overmold WIP</t>
      </is>
    </nc>
  </rcc>
  <rcc rId="9176" sId="1">
    <nc r="H862">
      <v>47.5</v>
    </nc>
  </rcc>
  <rcc rId="9177" sId="1">
    <nc r="I862">
      <v>95</v>
    </nc>
  </rcc>
  <rcc rId="9178" sId="1">
    <nc r="J862">
      <v>19000</v>
    </nc>
  </rcc>
  <rcc rId="9179" sId="1">
    <nc r="K862">
      <v>0</v>
    </nc>
  </rcc>
  <rcc rId="9180" sId="1" numFmtId="19">
    <nc r="L862">
      <v>46209</v>
    </nc>
  </rcc>
  <rcc rId="9181" sId="1" numFmtId="19">
    <nc r="M862">
      <v>46212.986111111109</v>
    </nc>
  </rcc>
  <rfmt sheetId="1" sqref="N862" start="0" length="0">
    <dxf>
      <fill>
        <patternFill patternType="solid">
          <bgColor theme="8" tint="0.39997558519241921"/>
        </patternFill>
      </fill>
    </dxf>
  </rfmt>
  <rfmt sheetId="1" sqref="O862" start="0" length="0">
    <dxf>
      <fill>
        <patternFill patternType="solid">
          <bgColor theme="8" tint="0.39997558519241921"/>
        </patternFill>
      </fill>
    </dxf>
  </rfmt>
  <rfmt sheetId="1" sqref="P862" start="0" length="0">
    <dxf>
      <fill>
        <patternFill patternType="solid">
          <bgColor theme="8" tint="0.39997558519241921"/>
        </patternFill>
      </fill>
    </dxf>
  </rfmt>
  <rfmt sheetId="1" sqref="Q862" start="0" length="0">
    <dxf>
      <fill>
        <patternFill patternType="solid">
          <bgColor theme="8" tint="0.39997558519241921"/>
        </patternFill>
      </fill>
    </dxf>
  </rfmt>
  <rfmt sheetId="1" sqref="R862" start="0" length="0">
    <dxf>
      <fill>
        <patternFill patternType="solid">
          <bgColor theme="8" tint="0.39997558519241921"/>
        </patternFill>
      </fill>
    </dxf>
  </rfmt>
  <rfmt sheetId="1" sqref="S862" start="0" length="0">
    <dxf>
      <fill>
        <patternFill patternType="solid">
          <bgColor theme="8" tint="0.39997558519241921"/>
        </patternFill>
      </fill>
    </dxf>
  </rfmt>
  <rcc rId="9182" sId="1">
    <nc r="AA862" t="inlineStr">
      <is>
        <t>1</t>
      </is>
    </nc>
  </rcc>
  <rcc rId="9183" sId="1">
    <nc r="AB862" t="inlineStr">
      <is>
        <t>1</t>
      </is>
    </nc>
  </rcc>
  <rcc rId="9184" sId="1">
    <nc r="A863" t="inlineStr">
      <is>
        <t>Zone 4</t>
      </is>
    </nc>
  </rcc>
  <rcc rId="9185" sId="1">
    <nc r="B863">
      <v>43</v>
    </nc>
  </rcc>
  <rcc rId="9186" sId="1">
    <nc r="C863">
      <v>0.5</v>
    </nc>
  </rcc>
  <rcc rId="9187" sId="1">
    <nc r="D863" t="inlineStr">
      <is>
        <t>23-053</t>
      </is>
    </nc>
  </rcc>
  <rcc rId="9188" sId="1">
    <nc r="E863" t="inlineStr">
      <is>
        <t>W1030300-1/1</t>
      </is>
    </nc>
  </rcc>
  <rcc rId="9189" sId="1">
    <nc r="F863" t="inlineStr">
      <is>
        <t>VER3/0122-1200</t>
      </is>
    </nc>
  </rcc>
  <rcc rId="9190" sId="1">
    <nc r="G863" t="inlineStr">
      <is>
        <t>CLEARFIT Miller S2 - Over mold</t>
      </is>
    </nc>
  </rcc>
  <rcc rId="9191" sId="1">
    <nc r="H863">
      <v>6.665</v>
    </nc>
  </rcc>
  <rcc rId="9192" sId="1">
    <nc r="I863">
      <v>13.33</v>
    </nc>
  </rcc>
  <rcc rId="9193" sId="1">
    <nc r="J863">
      <v>2000</v>
    </nc>
  </rcc>
  <rcc rId="9194" sId="1">
    <nc r="K863">
      <v>0</v>
    </nc>
  </rcc>
  <rcc rId="9195" sId="1" numFmtId="19">
    <nc r="L863">
      <v>46212.993055555555</v>
    </nc>
  </rcc>
  <rcc rId="9196" sId="1" numFmtId="19">
    <nc r="M863">
      <v>46213.576388888891</v>
    </nc>
  </rcc>
  <rcc rId="9197" sId="1">
    <nc r="AA863" t="inlineStr">
      <is>
        <t>1</t>
      </is>
    </nc>
  </rcc>
  <rcc rId="9198" sId="1">
    <nc r="AB863" t="inlineStr">
      <is>
        <t>1</t>
      </is>
    </nc>
  </rcc>
  <rcc rId="9199" sId="1">
    <nc r="A864" t="inlineStr">
      <is>
        <t>Zone 4</t>
      </is>
    </nc>
  </rcc>
  <rcc rId="9200" sId="1">
    <nc r="B864">
      <v>43</v>
    </nc>
  </rcc>
  <rcc rId="9201" sId="1">
    <nc r="C864">
      <v>1</v>
    </nc>
  </rcc>
  <rcc rId="9202" sId="1">
    <nc r="D864" t="inlineStr">
      <is>
        <t>23-052</t>
      </is>
    </nc>
  </rcc>
  <rcc rId="9203" sId="1">
    <nc r="E864" t="inlineStr">
      <is>
        <t>W1027875/1</t>
      </is>
    </nc>
  </rcc>
  <rcc rId="9204" sId="1">
    <nc r="F864" t="inlineStr">
      <is>
        <t>VER3/0122-1276</t>
      </is>
    </nc>
  </rcc>
  <rcc rId="9205" sId="1">
    <nc r="G864" t="inlineStr">
      <is>
        <t>Sampler Container Lid</t>
      </is>
    </nc>
  </rcc>
  <rcc rId="9206" sId="1">
    <nc r="H864">
      <v>125</v>
    </nc>
  </rcc>
  <rcc rId="9207" sId="1">
    <nc r="I864">
      <v>125</v>
    </nc>
  </rcc>
  <rcc rId="9208" sId="1">
    <nc r="J864">
      <v>30000</v>
    </nc>
  </rcc>
  <rcc rId="9209" sId="1">
    <nc r="K864">
      <v>0</v>
    </nc>
  </rcc>
  <rcc rId="9210" sId="1" numFmtId="19">
    <nc r="L864">
      <v>46213.583333333336</v>
    </nc>
  </rcc>
  <rcc rId="9211" sId="1" numFmtId="19">
    <nc r="M864">
      <v>46220.784722222219</v>
    </nc>
  </rcc>
  <rcc rId="9212" sId="1">
    <nc r="AA864" t="inlineStr">
      <is>
        <t>1</t>
      </is>
    </nc>
  </rcc>
  <rcc rId="9213" sId="1">
    <nc r="AB864" t="inlineStr">
      <is>
        <t>0</t>
      </is>
    </nc>
  </rcc>
  <rcc rId="9214" sId="1">
    <nc r="A865" t="inlineStr">
      <is>
        <t>Zone 4</t>
      </is>
    </nc>
  </rcc>
  <rcc rId="9215" sId="1">
    <nc r="B865">
      <v>43</v>
    </nc>
  </rcc>
  <rcc rId="9216" sId="1">
    <nc r="C865">
      <v>0.5</v>
    </nc>
  </rcc>
  <rcc rId="9217" sId="1">
    <nc r="D865" t="inlineStr">
      <is>
        <t>23-057</t>
      </is>
    </nc>
  </rcc>
  <rcc rId="9218" sId="1">
    <nc r="E865" t="inlineStr">
      <is>
        <t>W1027807-1/1</t>
      </is>
    </nc>
  </rcc>
  <rcc rId="9219" sId="1">
    <nc r="F865" t="inlineStr">
      <is>
        <t>VER3/0122-1198</t>
      </is>
    </nc>
  </rcc>
  <rcc rId="9220" sId="1">
    <nc r="G865" t="inlineStr">
      <is>
        <t>Clearfit MAC S3</t>
      </is>
    </nc>
  </rcc>
  <rcc rId="9221" sId="1">
    <nc r="H865">
      <v>17.285</v>
    </nc>
  </rcc>
  <rcc rId="9222" sId="1">
    <nc r="I865">
      <v>34.57</v>
    </nc>
  </rcc>
  <rcc rId="9223" sId="1">
    <nc r="J865">
      <v>6500</v>
    </nc>
  </rcc>
  <rcc rId="9224" sId="1">
    <nc r="K865">
      <v>0</v>
    </nc>
  </rcc>
  <rcc rId="9225" sId="1" numFmtId="19">
    <nc r="L865">
      <v>46220.791666666664</v>
    </nc>
  </rcc>
  <rcc rId="9226" sId="1" numFmtId="19">
    <nc r="M865">
      <v>46224.263888888891</v>
    </nc>
  </rcc>
  <rcc rId="9227" sId="1">
    <nc r="AA865" t="inlineStr">
      <is>
        <t>1</t>
      </is>
    </nc>
  </rcc>
  <rcc rId="9228" sId="1">
    <nc r="AB865" t="inlineStr">
      <is>
        <t>1</t>
      </is>
    </nc>
  </rcc>
  <rcc rId="9229" sId="1">
    <nc r="A866" t="inlineStr">
      <is>
        <t>Zone 4</t>
      </is>
    </nc>
  </rcc>
  <rcc rId="9230" sId="1">
    <nc r="B866">
      <v>43</v>
    </nc>
  </rcc>
  <rcc rId="9231" sId="1">
    <nc r="C866">
      <v>0.5</v>
    </nc>
  </rcc>
  <rcc rId="9232" sId="1">
    <nc r="D866" t="inlineStr">
      <is>
        <t>23-062</t>
      </is>
    </nc>
  </rcc>
  <rcc rId="9233" sId="1">
    <nc r="E866" t="inlineStr">
      <is>
        <t>W1026751-1/1</t>
      </is>
    </nc>
  </rcc>
  <rcc rId="9234" sId="1">
    <nc r="F866" t="inlineStr">
      <is>
        <t>VER3/0122-1195</t>
      </is>
    </nc>
  </rcc>
  <rcc rId="9235" sId="1">
    <nc r="G866" t="inlineStr">
      <is>
        <t>Clearfit HA S3 – Overmold WIP</t>
      </is>
    </nc>
  </rcc>
  <rcc rId="9236" sId="1">
    <nc r="H866">
      <v>44.83</v>
    </nc>
  </rcc>
  <rcc rId="9237" sId="1">
    <nc r="I866">
      <v>89.66</v>
    </nc>
  </rcc>
  <rcc rId="9238" sId="1">
    <nc r="J866">
      <v>13000</v>
    </nc>
  </rcc>
  <rcc rId="9239" sId="1">
    <nc r="K866">
      <v>0</v>
    </nc>
  </rcc>
  <rcc rId="9240" sId="1" numFmtId="19">
    <nc r="L866">
      <v>46224.270833333336</v>
    </nc>
  </rcc>
  <rcc rId="9241" sId="1" numFmtId="19">
    <nc r="M866">
      <v>46230.034722222219</v>
    </nc>
  </rcc>
  <rcc rId="9242" sId="1">
    <nc r="AA866" t="inlineStr">
      <is>
        <t>1</t>
      </is>
    </nc>
  </rcc>
  <rcc rId="9243" sId="1">
    <nc r="AB866" t="inlineStr">
      <is>
        <t>1</t>
      </is>
    </nc>
  </rcc>
  <rcc rId="9244" sId="1">
    <nc r="A867" t="inlineStr">
      <is>
        <t>Zone 4</t>
      </is>
    </nc>
  </rcc>
  <rcc rId="9245" sId="1">
    <nc r="B867">
      <v>43</v>
    </nc>
  </rcc>
  <rcc rId="9246" sId="1">
    <nc r="C867">
      <v>0.5</v>
    </nc>
  </rcc>
  <rcc rId="9247" sId="1">
    <nc r="D867" t="inlineStr">
      <is>
        <t>23-064</t>
      </is>
    </nc>
  </rcc>
  <rcc rId="9248" sId="1" odxf="1" dxf="1">
    <nc r="E867" t="inlineStr">
      <is>
        <t>W1024595-1/1</t>
      </is>
    </nc>
    <odxf>
      <border outline="0">
        <bottom/>
      </border>
    </odxf>
    <ndxf>
      <border outline="0">
        <bottom style="thin">
          <color indexed="64"/>
        </bottom>
      </border>
    </ndxf>
  </rcc>
  <rcc rId="9249" sId="1">
    <nc r="F867" t="inlineStr">
      <is>
        <t>VER3/0122-1196</t>
      </is>
    </nc>
  </rcc>
  <rcc rId="9250" sId="1">
    <nc r="G867" t="inlineStr">
      <is>
        <t>Clearfit HA S4 - overmold WIP</t>
      </is>
    </nc>
  </rcc>
  <rcc rId="9251" sId="1">
    <nc r="H867">
      <v>35.134999999999998</v>
    </nc>
  </rcc>
  <rcc rId="9252" sId="1">
    <nc r="I867">
      <v>70.27</v>
    </nc>
  </rcc>
  <rcc rId="9253" sId="1">
    <nc r="J867">
      <v>13000</v>
    </nc>
  </rcc>
  <rcc rId="9254" sId="1">
    <nc r="K867">
      <v>0</v>
    </nc>
  </rcc>
  <rcc rId="9255" sId="1" numFmtId="19">
    <nc r="L867">
      <v>46230.041666666664</v>
    </nc>
  </rcc>
  <rcc rId="9256" sId="1" numFmtId="19">
    <nc r="M867">
      <v>46233</v>
    </nc>
  </rcc>
  <rfmt sheetId="1" sqref="N867" start="0" length="0">
    <dxf>
      <border outline="0">
        <bottom style="thin">
          <color indexed="64"/>
        </bottom>
      </border>
    </dxf>
  </rfmt>
  <rfmt sheetId="1" sqref="O867" start="0" length="0">
    <dxf>
      <border outline="0">
        <bottom style="thin">
          <color indexed="64"/>
        </bottom>
      </border>
    </dxf>
  </rfmt>
  <rfmt sheetId="1" sqref="P867" start="0" length="0">
    <dxf>
      <border outline="0">
        <bottom style="thin">
          <color indexed="64"/>
        </bottom>
      </border>
    </dxf>
  </rfmt>
  <rfmt sheetId="1" sqref="Q867" start="0" length="0">
    <dxf>
      <border outline="0">
        <bottom style="thin">
          <color indexed="64"/>
        </bottom>
      </border>
    </dxf>
  </rfmt>
  <rfmt sheetId="1" sqref="R867" start="0" length="0">
    <dxf>
      <border outline="0">
        <bottom style="thin">
          <color indexed="64"/>
        </bottom>
      </border>
    </dxf>
  </rfmt>
  <rfmt sheetId="1" sqref="S867" start="0" length="0">
    <dxf>
      <border outline="0">
        <bottom style="thin">
          <color indexed="64"/>
        </bottom>
      </border>
    </dxf>
  </rfmt>
  <rcc rId="9257" sId="1">
    <nc r="AA867" t="inlineStr">
      <is>
        <t>1</t>
      </is>
    </nc>
  </rcc>
  <rcc rId="9258" sId="1">
    <nc r="AB867" t="inlineStr">
      <is>
        <t>1</t>
      </is>
    </nc>
  </rcc>
  <rcc rId="9259" sId="1">
    <nc r="A868" t="inlineStr">
      <is>
        <t>Zone 4</t>
      </is>
    </nc>
  </rcc>
  <rcc rId="9260" sId="1">
    <nc r="B868">
      <v>43</v>
    </nc>
  </rcc>
  <rcc rId="9261" sId="1">
    <nc r="C868">
      <v>0.5</v>
    </nc>
  </rcc>
  <rcc rId="9262" sId="1">
    <nc r="D868" t="inlineStr">
      <is>
        <t>23-053</t>
      </is>
    </nc>
  </rcc>
  <rcc rId="9263" sId="1">
    <nc r="E868" t="inlineStr">
      <is>
        <t>W1022681-1/1</t>
      </is>
    </nc>
  </rcc>
  <rcc rId="9264" sId="1">
    <nc r="F868" t="inlineStr">
      <is>
        <t>VER3/0122-1200</t>
      </is>
    </nc>
  </rcc>
  <rcc rId="9265" sId="1">
    <nc r="G868" t="inlineStr">
      <is>
        <t>CLEARFIT Miller S2 - Over mold</t>
      </is>
    </nc>
  </rcc>
  <rcc rId="9266" sId="1">
    <nc r="H868">
      <v>21.664999999999999</v>
    </nc>
  </rcc>
  <rcc rId="9267" sId="1">
    <nc r="I868">
      <v>43.33</v>
    </nc>
  </rcc>
  <rcc rId="9268" sId="1">
    <nc r="J868">
      <v>6500</v>
    </nc>
  </rcc>
  <rcc rId="9269" sId="1">
    <nc r="K868">
      <v>0</v>
    </nc>
  </rcc>
  <rcc rId="9270" sId="1" numFmtId="19">
    <nc r="L868">
      <v>46233.006944444445</v>
    </nc>
  </rcc>
  <rcc rId="9271" sId="1" numFmtId="19">
    <nc r="M868">
      <v>46234.840277777781</v>
    </nc>
  </rcc>
  <rcc rId="9272" sId="1">
    <nc r="AA868" t="inlineStr">
      <is>
        <t>1</t>
      </is>
    </nc>
  </rcc>
  <rcc rId="9273" sId="1">
    <nc r="AB868" t="inlineStr">
      <is>
        <t>1</t>
      </is>
    </nc>
  </rcc>
  <rcc rId="9274" sId="1">
    <nc r="A869" t="inlineStr">
      <is>
        <t>Zone 4</t>
      </is>
    </nc>
  </rcc>
  <rcc rId="9275" sId="1">
    <nc r="B869">
      <v>43</v>
    </nc>
  </rcc>
  <rcc rId="9276" sId="1">
    <nc r="C869">
      <v>0.5</v>
    </nc>
  </rcc>
  <rcc rId="9277" sId="1">
    <nc r="D869" t="inlineStr">
      <is>
        <t>23-038</t>
      </is>
    </nc>
  </rcc>
  <rcc rId="9278" sId="1">
    <nc r="E869" t="inlineStr">
      <is>
        <t>W1022647-1/1</t>
      </is>
    </nc>
  </rcc>
  <rcc rId="9279" sId="1">
    <nc r="F869" t="inlineStr">
      <is>
        <t>VER3/0122-1199</t>
      </is>
    </nc>
  </rcc>
  <rcc rId="9280" sId="1">
    <nc r="G869" t="inlineStr">
      <is>
        <t>CLEARFIT MAC S4</t>
      </is>
    </nc>
  </rcc>
  <rcc rId="9281" sId="1">
    <nc r="H869">
      <v>11.285</v>
    </nc>
  </rcc>
  <rcc rId="9282" sId="1">
    <nc r="I869">
      <v>22.57</v>
    </nc>
  </rcc>
  <rcc rId="9283" sId="1">
    <nc r="J869">
      <v>6500</v>
    </nc>
  </rcc>
  <rcc rId="9284" sId="1">
    <nc r="K869">
      <v>0</v>
    </nc>
  </rcc>
  <rcc rId="9285" sId="1" numFmtId="19">
    <nc r="L869">
      <v>46240.729166666664</v>
    </nc>
  </rcc>
  <rcc rId="9286" sId="1" numFmtId="19">
    <nc r="M869">
      <v>46243.993055555555</v>
    </nc>
  </rcc>
  <rcc rId="9287" sId="1">
    <nc r="AA869" t="inlineStr">
      <is>
        <t>1</t>
      </is>
    </nc>
  </rcc>
  <rcc rId="9288" sId="1">
    <nc r="AB869" t="inlineStr">
      <is>
        <t>1</t>
      </is>
    </nc>
  </rcc>
  <rcc rId="9289" sId="1">
    <nc r="A870" t="inlineStr">
      <is>
        <t>Zone 4</t>
      </is>
    </nc>
  </rcc>
  <rcc rId="9290" sId="1">
    <nc r="B870">
      <v>43</v>
    </nc>
  </rcc>
  <rcc rId="9291" sId="1">
    <nc r="C870">
      <v>1</v>
    </nc>
  </rcc>
  <rcc rId="9292" sId="1">
    <nc r="D870" t="inlineStr">
      <is>
        <t>23-050</t>
      </is>
    </nc>
  </rcc>
  <rcc rId="9293" sId="1">
    <nc r="E870" t="inlineStr">
      <is>
        <t>W1022781/1</t>
      </is>
    </nc>
  </rcc>
  <rcc rId="9294" sId="1">
    <nc r="F870" t="inlineStr">
      <is>
        <t>VER3/0122-1288</t>
      </is>
    </nc>
  </rcc>
  <rcc rId="9295" sId="1">
    <nc r="G870" t="inlineStr">
      <is>
        <t>Sampler Container Bottle</t>
      </is>
    </nc>
  </rcc>
  <rcc rId="9296" sId="1">
    <nc r="H870">
      <v>120</v>
    </nc>
  </rcc>
  <rcc rId="9297" sId="1">
    <nc r="I870">
      <v>120</v>
    </nc>
  </rcc>
  <rcc rId="9298" sId="1">
    <nc r="J870">
      <v>27000</v>
    </nc>
  </rcc>
  <rcc rId="9299" sId="1">
    <nc r="K870">
      <v>0</v>
    </nc>
  </rcc>
  <rcc rId="9300" sId="1" numFmtId="19">
    <nc r="L870">
      <v>46244</v>
    </nc>
  </rcc>
  <rcc rId="9301" sId="1" numFmtId="19">
    <nc r="M870">
      <v>46250.993055555555</v>
    </nc>
  </rcc>
  <rcc rId="9302" sId="1">
    <nc r="AA870" t="inlineStr">
      <is>
        <t>1</t>
      </is>
    </nc>
  </rcc>
  <rcc rId="9303" sId="1">
    <nc r="AB870" t="inlineStr">
      <is>
        <t>0</t>
      </is>
    </nc>
  </rcc>
  <rrc rId="9304" sId="1" ref="A871:XFD871" action="deleteRow">
    <rfmt sheetId="1" xfDxf="1" sqref="A871:XFD871" start="0" length="0">
      <dxf>
        <fill>
          <patternFill patternType="solid">
            <bgColor theme="8" tint="0.39997558519241921"/>
          </patternFill>
        </fill>
      </dxf>
    </rfmt>
    <rcc rId="0" sId="1">
      <nc r="A871" t="inlineStr">
        <is>
          <t>Zone 4</t>
        </is>
      </nc>
    </rcc>
    <rcc rId="0" sId="1">
      <nc r="B871">
        <v>43</v>
      </nc>
    </rcc>
    <rcc rId="0" sId="1">
      <nc r="C871">
        <v>0.5</v>
      </nc>
    </rcc>
    <rcc rId="0" sId="1">
      <nc r="D871" t="inlineStr">
        <is>
          <t>23-064</t>
        </is>
      </nc>
    </rcc>
    <rcc rId="0" sId="1">
      <nc r="E871" t="inlineStr">
        <is>
          <t>W1030124-1/1</t>
        </is>
      </nc>
    </rcc>
    <rcc rId="0" sId="1">
      <nc r="F871" t="inlineStr">
        <is>
          <t>VER3/0122-1196</t>
        </is>
      </nc>
    </rcc>
    <rcc rId="0" sId="1">
      <nc r="G871" t="inlineStr">
        <is>
          <t>Clearfit HA S4 - overmold WIP</t>
        </is>
      </nc>
    </rcc>
    <rcc rId="0" sId="1">
      <nc r="H871">
        <v>15</v>
      </nc>
    </rcc>
    <rcc rId="0" sId="1">
      <nc r="I871">
        <v>30</v>
      </nc>
    </rcc>
    <rcc rId="0" sId="1">
      <nc r="J871">
        <v>6000</v>
      </nc>
    </rcc>
    <rcc rId="0" sId="1">
      <nc r="K871">
        <v>0</v>
      </nc>
    </rcc>
    <rcc rId="0" sId="1" dxf="1" numFmtId="19">
      <nc r="L871">
        <v>46212.069444444445</v>
      </nc>
      <ndxf>
        <numFmt numFmtId="164" formatCode="mm\-dd\-yyyy"/>
      </ndxf>
    </rcc>
    <rcc rId="0" sId="1" dxf="1" numFmtId="19">
      <nc r="M871">
        <v>46213.347222222219</v>
      </nc>
      <ndxf>
        <numFmt numFmtId="164" formatCode="mm\-dd\-yyyy"/>
      </ndxf>
    </rcc>
    <rcc rId="0" sId="1">
      <nc r="AA871" t="inlineStr">
        <is>
          <t>1</t>
        </is>
      </nc>
    </rcc>
    <rcc rId="0" sId="1">
      <nc r="AB871" t="inlineStr">
        <is>
          <t>1</t>
        </is>
      </nc>
    </rcc>
  </rrc>
  <rrc rId="9305" sId="1" ref="A871:XFD871" action="deleteRow">
    <rfmt sheetId="1" xfDxf="1" sqref="A871:XFD871" start="0" length="0"/>
    <rcc rId="0" sId="1">
      <nc r="A871" t="inlineStr">
        <is>
          <t>Zone 4</t>
        </is>
      </nc>
    </rcc>
    <rcc rId="0" sId="1">
      <nc r="B871">
        <v>43</v>
      </nc>
    </rcc>
    <rcc rId="0" sId="1">
      <nc r="C871">
        <v>1</v>
      </nc>
    </rcc>
    <rcc rId="0" sId="1">
      <nc r="D871" t="inlineStr">
        <is>
          <t>23-052</t>
        </is>
      </nc>
    </rcc>
    <rcc rId="0" sId="1">
      <nc r="E871" t="inlineStr">
        <is>
          <t>W1027875/1</t>
        </is>
      </nc>
    </rcc>
    <rcc rId="0" sId="1">
      <nc r="F871" t="inlineStr">
        <is>
          <t>VER3/0122-1276</t>
        </is>
      </nc>
    </rcc>
    <rcc rId="0" sId="1">
      <nc r="G871" t="inlineStr">
        <is>
          <t>Sampler Container Lid</t>
        </is>
      </nc>
    </rcc>
    <rcc rId="0" sId="1">
      <nc r="H871">
        <v>125</v>
      </nc>
    </rcc>
    <rcc rId="0" sId="1">
      <nc r="I871">
        <v>125</v>
      </nc>
    </rcc>
    <rcc rId="0" sId="1">
      <nc r="J871">
        <v>30000</v>
      </nc>
    </rcc>
    <rcc rId="0" sId="1">
      <nc r="K871">
        <v>0</v>
      </nc>
    </rcc>
    <rcc rId="0" sId="1" dxf="1" numFmtId="19">
      <nc r="L871">
        <v>46213.354166666664</v>
      </nc>
      <ndxf>
        <numFmt numFmtId="164" formatCode="mm\-dd\-yyyy"/>
      </ndxf>
    </rcc>
    <rcc rId="0" sId="1" dxf="1" numFmtId="19">
      <nc r="M871">
        <v>46220.555555555555</v>
      </nc>
      <ndxf>
        <numFmt numFmtId="164" formatCode="mm\-dd\-yyyy"/>
      </ndxf>
    </rcc>
    <rcc rId="0" sId="1">
      <nc r="AA871" t="inlineStr">
        <is>
          <t>1</t>
        </is>
      </nc>
    </rcc>
    <rcc rId="0" sId="1">
      <nc r="AB871" t="inlineStr">
        <is>
          <t>0</t>
        </is>
      </nc>
    </rcc>
  </rrc>
  <rrc rId="9306" sId="1" ref="A871:XFD871" action="deleteRow">
    <rfmt sheetId="1" xfDxf="1" sqref="A871:XFD871" start="0" length="0"/>
    <rcc rId="0" sId="1">
      <nc r="A871" t="inlineStr">
        <is>
          <t>Zone 4</t>
        </is>
      </nc>
    </rcc>
    <rcc rId="0" sId="1">
      <nc r="B871">
        <v>43</v>
      </nc>
    </rcc>
    <rcc rId="0" sId="1">
      <nc r="C871">
        <v>0.5</v>
      </nc>
    </rcc>
    <rcc rId="0" sId="1">
      <nc r="D871" t="inlineStr">
        <is>
          <t>23-057</t>
        </is>
      </nc>
    </rcc>
    <rcc rId="0" sId="1">
      <nc r="E871" t="inlineStr">
        <is>
          <t>W1027807-1/1</t>
        </is>
      </nc>
    </rcc>
    <rcc rId="0" sId="1">
      <nc r="F871" t="inlineStr">
        <is>
          <t>VER3/0122-1198</t>
        </is>
      </nc>
    </rcc>
    <rcc rId="0" sId="1">
      <nc r="G871" t="inlineStr">
        <is>
          <t>Clearfit MAC S3</t>
        </is>
      </nc>
    </rcc>
    <rcc rId="0" sId="1">
      <nc r="H871">
        <v>17.285</v>
      </nc>
    </rcc>
    <rcc rId="0" sId="1">
      <nc r="I871">
        <v>34.57</v>
      </nc>
    </rcc>
    <rcc rId="0" sId="1">
      <nc r="J871">
        <v>6500</v>
      </nc>
    </rcc>
    <rcc rId="0" sId="1">
      <nc r="K871">
        <v>0</v>
      </nc>
    </rcc>
    <rcc rId="0" sId="1" dxf="1" numFmtId="19">
      <nc r="L871">
        <v>46220.5625</v>
      </nc>
      <ndxf>
        <numFmt numFmtId="164" formatCode="mm\-dd\-yyyy"/>
      </ndxf>
    </rcc>
    <rcc rId="0" sId="1" dxf="1" numFmtId="19">
      <nc r="M871">
        <v>46224.034722222219</v>
      </nc>
      <ndxf>
        <numFmt numFmtId="164" formatCode="mm\-dd\-yyyy"/>
      </ndxf>
    </rcc>
    <rcc rId="0" sId="1">
      <nc r="AA871" t="inlineStr">
        <is>
          <t>1</t>
        </is>
      </nc>
    </rcc>
    <rcc rId="0" sId="1">
      <nc r="AB871" t="inlineStr">
        <is>
          <t>1</t>
        </is>
      </nc>
    </rcc>
  </rrc>
  <rrc rId="9307" sId="1" ref="A871:XFD871" action="deleteRow">
    <rfmt sheetId="1" xfDxf="1" sqref="A871:XFD871" start="0" length="0"/>
    <rcc rId="0" sId="1">
      <nc r="A871" t="inlineStr">
        <is>
          <t>Zone 4</t>
        </is>
      </nc>
    </rcc>
    <rcc rId="0" sId="1">
      <nc r="B871">
        <v>43</v>
      </nc>
    </rcc>
    <rcc rId="0" sId="1">
      <nc r="C871">
        <v>0.5</v>
      </nc>
    </rcc>
    <rcc rId="0" sId="1">
      <nc r="D871" t="inlineStr">
        <is>
          <t>23-062</t>
        </is>
      </nc>
    </rcc>
    <rcc rId="0" sId="1">
      <nc r="E871" t="inlineStr">
        <is>
          <t>W1026751-1/1</t>
        </is>
      </nc>
    </rcc>
    <rcc rId="0" sId="1">
      <nc r="F871" t="inlineStr">
        <is>
          <t>VER3/0122-1195</t>
        </is>
      </nc>
    </rcc>
    <rcc rId="0" sId="1">
      <nc r="G871" t="inlineStr">
        <is>
          <t>Clearfit HA S3 – Overmold WIP</t>
        </is>
      </nc>
    </rcc>
    <rcc rId="0" sId="1">
      <nc r="H871">
        <v>44.83</v>
      </nc>
    </rcc>
    <rcc rId="0" sId="1">
      <nc r="I871">
        <v>89.66</v>
      </nc>
    </rcc>
    <rcc rId="0" sId="1">
      <nc r="J871">
        <v>13000</v>
      </nc>
    </rcc>
    <rcc rId="0" sId="1">
      <nc r="K871">
        <v>0</v>
      </nc>
    </rcc>
    <rcc rId="0" sId="1" dxf="1" numFmtId="19">
      <nc r="L871">
        <v>46224.041666666664</v>
      </nc>
      <ndxf>
        <numFmt numFmtId="164" formatCode="mm\-dd\-yyyy"/>
      </ndxf>
    </rcc>
    <rcc rId="0" sId="1" dxf="1" numFmtId="19">
      <nc r="M871">
        <v>46227.805555555555</v>
      </nc>
      <ndxf>
        <numFmt numFmtId="164" formatCode="mm\-dd\-yyyy"/>
      </ndxf>
    </rcc>
    <rcc rId="0" sId="1">
      <nc r="AA871" t="inlineStr">
        <is>
          <t>1</t>
        </is>
      </nc>
    </rcc>
    <rcc rId="0" sId="1">
      <nc r="AB871" t="inlineStr">
        <is>
          <t>1</t>
        </is>
      </nc>
    </rcc>
  </rrc>
  <rrc rId="9308" sId="1" ref="A871:XFD871" action="deleteRow">
    <rfmt sheetId="1" xfDxf="1" sqref="A871:XFD871" start="0" length="0">
      <dxf>
        <border outline="0">
          <bottom style="thin">
            <color indexed="64"/>
          </bottom>
        </border>
      </dxf>
    </rfmt>
    <rcc rId="0" sId="1">
      <nc r="A871" t="inlineStr">
        <is>
          <t>Zone 4</t>
        </is>
      </nc>
    </rcc>
    <rcc rId="0" sId="1">
      <nc r="B871">
        <v>43</v>
      </nc>
    </rcc>
    <rcc rId="0" sId="1">
      <nc r="C871">
        <v>0.5</v>
      </nc>
    </rcc>
    <rcc rId="0" sId="1">
      <nc r="D871" t="inlineStr">
        <is>
          <t>23-064</t>
        </is>
      </nc>
    </rcc>
    <rcc rId="0" sId="1">
      <nc r="E871" t="inlineStr">
        <is>
          <t>W1024595-1/1</t>
        </is>
      </nc>
    </rcc>
    <rcc rId="0" sId="1">
      <nc r="F871" t="inlineStr">
        <is>
          <t>VER3/0122-1196</t>
        </is>
      </nc>
    </rcc>
    <rcc rId="0" sId="1">
      <nc r="G871" t="inlineStr">
        <is>
          <t>Clearfit HA S4 - overmold WIP</t>
        </is>
      </nc>
    </rcc>
    <rcc rId="0" sId="1">
      <nc r="H871">
        <v>35.134999999999998</v>
      </nc>
    </rcc>
    <rcc rId="0" sId="1">
      <nc r="I871">
        <v>70.27</v>
      </nc>
    </rcc>
    <rcc rId="0" sId="1">
      <nc r="J871">
        <v>13000</v>
      </nc>
    </rcc>
    <rcc rId="0" sId="1">
      <nc r="K871">
        <v>0</v>
      </nc>
    </rcc>
    <rcc rId="0" sId="1" dxf="1" numFmtId="19">
      <nc r="L871">
        <v>46227.8125</v>
      </nc>
      <ndxf>
        <numFmt numFmtId="164" formatCode="mm\-dd\-yyyy"/>
      </ndxf>
    </rcc>
    <rcc rId="0" sId="1" dxf="1" numFmtId="19">
      <nc r="M871">
        <v>46232.770833333336</v>
      </nc>
      <ndxf>
        <numFmt numFmtId="164" formatCode="mm\-dd\-yyyy"/>
      </ndxf>
    </rcc>
    <rcc rId="0" sId="1">
      <nc r="AA871" t="inlineStr">
        <is>
          <t>1</t>
        </is>
      </nc>
    </rcc>
    <rcc rId="0" sId="1">
      <nc r="AB871" t="inlineStr">
        <is>
          <t>1</t>
        </is>
      </nc>
    </rcc>
  </rrc>
  <rfmt sheetId="1" sqref="A861:XFD861" start="0" length="0">
    <dxf>
      <border>
        <bottom style="thin">
          <color indexed="64"/>
        </bottom>
      </border>
    </dxf>
  </rfmt>
  <rfmt sheetId="1" sqref="A862:XFD862">
    <dxf>
      <fill>
        <patternFill>
          <bgColor theme="8" tint="0.39997558519241921"/>
        </patternFill>
      </fill>
    </dxf>
  </rfmt>
  <rfmt sheetId="1" sqref="A867:XFD867" start="0" length="0">
    <dxf>
      <border>
        <bottom/>
      </border>
    </dxf>
  </rfmt>
  <rrc rId="9309" sId="1" ref="A871:XFD877" action="insertRow"/>
  <rcc rId="9310" sId="1">
    <nc r="A871" t="inlineStr">
      <is>
        <t>Zone 4</t>
      </is>
    </nc>
  </rcc>
  <rcc rId="9311" sId="1">
    <nc r="B871">
      <v>45</v>
    </nc>
  </rcc>
  <rcc rId="9312" sId="1">
    <nc r="C871">
      <v>0.5</v>
    </nc>
  </rcc>
  <rcc rId="9313" sId="1">
    <nc r="D871" t="inlineStr">
      <is>
        <t>23-065</t>
      </is>
    </nc>
  </rcc>
  <rcc rId="9314" sId="1" odxf="1" dxf="1">
    <nc r="E871" t="inlineStr">
      <is>
        <t>W1030124/1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cc rId="9315" sId="1">
    <nc r="F871" t="inlineStr">
      <is>
        <t>VER3/0122-1196</t>
      </is>
    </nc>
  </rcc>
  <rcc rId="9316" sId="1">
    <nc r="G871" t="inlineStr">
      <is>
        <t>Clearfit HA S4 - overmold WIP</t>
      </is>
    </nc>
  </rcc>
  <rcc rId="9317" sId="1">
    <nc r="H871">
      <v>47.5</v>
    </nc>
  </rcc>
  <rcc rId="9318" sId="1">
    <nc r="I871">
      <v>95</v>
    </nc>
  </rcc>
  <rcc rId="9319" sId="1">
    <nc r="J871">
      <v>19000</v>
    </nc>
  </rcc>
  <rcc rId="9320" sId="1">
    <nc r="K871">
      <v>0</v>
    </nc>
  </rcc>
  <rcc rId="9321" sId="1" numFmtId="19">
    <nc r="L871">
      <v>46209.006944444445</v>
    </nc>
  </rcc>
  <rcc rId="9322" sId="1" numFmtId="19">
    <nc r="M871">
      <v>46212.993055555555</v>
    </nc>
  </rcc>
  <rfmt sheetId="1" sqref="N871" start="0" length="0">
    <dxf>
      <fill>
        <patternFill patternType="solid">
          <bgColor theme="8" tint="0.39997558519241921"/>
        </patternFill>
      </fill>
    </dxf>
  </rfmt>
  <rfmt sheetId="1" sqref="O871" start="0" length="0">
    <dxf>
      <fill>
        <patternFill patternType="solid">
          <bgColor theme="8" tint="0.39997558519241921"/>
        </patternFill>
      </fill>
    </dxf>
  </rfmt>
  <rfmt sheetId="1" sqref="P871" start="0" length="0">
    <dxf>
      <fill>
        <patternFill patternType="solid">
          <bgColor theme="8" tint="0.39997558519241921"/>
        </patternFill>
      </fill>
    </dxf>
  </rfmt>
  <rfmt sheetId="1" sqref="Q871" start="0" length="0">
    <dxf>
      <fill>
        <patternFill patternType="solid">
          <bgColor theme="8" tint="0.39997558519241921"/>
        </patternFill>
      </fill>
    </dxf>
  </rfmt>
  <rfmt sheetId="1" sqref="R871" start="0" length="0">
    <dxf>
      <fill>
        <patternFill patternType="solid">
          <bgColor theme="8" tint="0.39997558519241921"/>
        </patternFill>
      </fill>
    </dxf>
  </rfmt>
  <rfmt sheetId="1" sqref="S871" start="0" length="0">
    <dxf>
      <fill>
        <patternFill patternType="solid">
          <bgColor theme="8" tint="0.39997558519241921"/>
        </patternFill>
      </fill>
    </dxf>
  </rfmt>
  <rcc rId="9323" sId="1">
    <nc r="AA871" t="inlineStr">
      <is>
        <t>1</t>
      </is>
    </nc>
  </rcc>
  <rcc rId="9324" sId="1">
    <nc r="AB871" t="inlineStr">
      <is>
        <t>0</t>
      </is>
    </nc>
  </rcc>
  <rcc rId="9325" sId="1">
    <nc r="A872" t="inlineStr">
      <is>
        <t>Zone 4</t>
      </is>
    </nc>
  </rcc>
  <rcc rId="9326" sId="1">
    <nc r="B872">
      <v>45</v>
    </nc>
  </rcc>
  <rcc rId="9327" sId="1">
    <nc r="C872">
      <v>0.5</v>
    </nc>
  </rcc>
  <rcc rId="9328" sId="1">
    <nc r="D872" t="inlineStr">
      <is>
        <t>23-054</t>
      </is>
    </nc>
  </rcc>
  <rcc rId="9329" sId="1">
    <nc r="E872" t="inlineStr">
      <is>
        <t>W1030300/1</t>
      </is>
    </nc>
  </rcc>
  <rcc rId="9330" sId="1">
    <nc r="F872" t="inlineStr">
      <is>
        <t>VER3/0122-1200</t>
      </is>
    </nc>
  </rcc>
  <rcc rId="9331" sId="1">
    <nc r="G872" t="inlineStr">
      <is>
        <t>CLEARFIT Miller S2 - Over mold</t>
      </is>
    </nc>
  </rcc>
  <rcc rId="9332" sId="1">
    <nc r="H872">
      <v>6.665</v>
    </nc>
  </rcc>
  <rcc rId="9333" sId="1">
    <nc r="I872">
      <v>13.33</v>
    </nc>
  </rcc>
  <rcc rId="9334" sId="1">
    <nc r="J872">
      <v>2000</v>
    </nc>
  </rcc>
  <rcc rId="9335" sId="1">
    <nc r="K872">
      <v>0</v>
    </nc>
  </rcc>
  <rcc rId="9336" sId="1" numFmtId="19">
    <nc r="L872">
      <v>46213.006944444445</v>
    </nc>
  </rcc>
  <rcc rId="9337" sId="1" numFmtId="19">
    <nc r="M872">
      <v>46213.590277777781</v>
    </nc>
  </rcc>
  <rcc rId="9338" sId="1">
    <nc r="AA872" t="inlineStr">
      <is>
        <t>1</t>
      </is>
    </nc>
  </rcc>
  <rcc rId="9339" sId="1">
    <nc r="AB872" t="inlineStr">
      <is>
        <t>0</t>
      </is>
    </nc>
  </rcc>
  <rcc rId="9340" sId="1">
    <nc r="A873" t="inlineStr">
      <is>
        <t>Zone 4</t>
      </is>
    </nc>
  </rcc>
  <rcc rId="9341" sId="1">
    <nc r="B873">
      <v>45</v>
    </nc>
  </rcc>
  <rcc rId="9342" sId="1">
    <nc r="C873">
      <v>0.5</v>
    </nc>
  </rcc>
  <rcc rId="9343" sId="1">
    <nc r="D873" t="inlineStr">
      <is>
        <t>23-061</t>
      </is>
    </nc>
  </rcc>
  <rcc rId="9344" sId="1">
    <nc r="E873" t="inlineStr">
      <is>
        <t>W1027807/1</t>
      </is>
    </nc>
  </rcc>
  <rcc rId="9345" sId="1">
    <nc r="F873" t="inlineStr">
      <is>
        <t>VER3/0122-1198</t>
      </is>
    </nc>
  </rcc>
  <rcc rId="9346" sId="1">
    <nc r="G873" t="inlineStr">
      <is>
        <t>Clearfit MAC S3</t>
      </is>
    </nc>
  </rcc>
  <rcc rId="9347" sId="1">
    <nc r="H873">
      <v>17.285</v>
    </nc>
  </rcc>
  <rcc rId="9348" sId="1">
    <nc r="I873">
      <v>34.57</v>
    </nc>
  </rcc>
  <rcc rId="9349" sId="1">
    <nc r="J873">
      <v>6500</v>
    </nc>
  </rcc>
  <rcc rId="9350" sId="1">
    <nc r="K873">
      <v>0</v>
    </nc>
  </rcc>
  <rcc rId="9351" sId="1" numFmtId="19">
    <nc r="L873">
      <v>46222.965277777781</v>
    </nc>
  </rcc>
  <rcc rId="9352" sId="1" numFmtId="19">
    <nc r="M873">
      <v>46224.4375</v>
    </nc>
  </rcc>
  <rcc rId="9353" sId="1">
    <nc r="AA873" t="inlineStr">
      <is>
        <t>1</t>
      </is>
    </nc>
  </rcc>
  <rcc rId="9354" sId="1">
    <nc r="AB873" t="inlineStr">
      <is>
        <t>0</t>
      </is>
    </nc>
  </rcc>
  <rcc rId="9355" sId="1">
    <nc r="A874" t="inlineStr">
      <is>
        <t>Zone 4</t>
      </is>
    </nc>
  </rcc>
  <rcc rId="9356" sId="1">
    <nc r="B874">
      <v>45</v>
    </nc>
  </rcc>
  <rcc rId="9357" sId="1">
    <nc r="C874">
      <v>0.5</v>
    </nc>
  </rcc>
  <rcc rId="9358" sId="1">
    <nc r="D874" t="inlineStr">
      <is>
        <t>23-063</t>
      </is>
    </nc>
  </rcc>
  <rcc rId="9359" sId="1">
    <nc r="E874" t="inlineStr">
      <is>
        <t>W1026751/1</t>
      </is>
    </nc>
  </rcc>
  <rcc rId="9360" sId="1">
    <nc r="F874" t="inlineStr">
      <is>
        <t>VER3/0122-1195</t>
      </is>
    </nc>
  </rcc>
  <rcc rId="9361" sId="1">
    <nc r="G874" t="inlineStr">
      <is>
        <t>Clearfit HA S3 – Overmold WIP</t>
      </is>
    </nc>
  </rcc>
  <rcc rId="9362" sId="1">
    <nc r="H874">
      <v>44.83</v>
    </nc>
  </rcc>
  <rcc rId="9363" sId="1">
    <nc r="I874">
      <v>89.66</v>
    </nc>
  </rcc>
  <rcc rId="9364" sId="1">
    <nc r="J874">
      <v>13000</v>
    </nc>
  </rcc>
  <rcc rId="9365" sId="1">
    <nc r="K874">
      <v>0</v>
    </nc>
  </rcc>
  <rcc rId="9366" sId="1" numFmtId="19">
    <nc r="L874">
      <v>46224.277777777781</v>
    </nc>
  </rcc>
  <rcc rId="9367" sId="1" numFmtId="19">
    <nc r="M874">
      <v>46230.041666666664</v>
    </nc>
  </rcc>
  <rcc rId="9368" sId="1">
    <nc r="AA874" t="inlineStr">
      <is>
        <t>1</t>
      </is>
    </nc>
  </rcc>
  <rcc rId="9369" sId="1">
    <nc r="AB874" t="inlineStr">
      <is>
        <t>0</t>
      </is>
    </nc>
  </rcc>
  <rcc rId="9370" sId="1">
    <nc r="A875" t="inlineStr">
      <is>
        <t>Zone 4</t>
      </is>
    </nc>
  </rcc>
  <rcc rId="9371" sId="1">
    <nc r="B875">
      <v>45</v>
    </nc>
  </rcc>
  <rcc rId="9372" sId="1">
    <nc r="C875">
      <v>0.5</v>
    </nc>
  </rcc>
  <rcc rId="9373" sId="1">
    <nc r="D875" t="inlineStr">
      <is>
        <t>23-065</t>
      </is>
    </nc>
  </rcc>
  <rcc rId="9374" sId="1" odxf="1" dxf="1">
    <nc r="E875" t="inlineStr">
      <is>
        <t>W1024595/1</t>
      </is>
    </nc>
    <odxf>
      <border outline="0">
        <bottom/>
      </border>
    </odxf>
    <ndxf>
      <border outline="0">
        <bottom style="thin">
          <color indexed="64"/>
        </bottom>
      </border>
    </ndxf>
  </rcc>
  <rcc rId="9375" sId="1">
    <nc r="F875" t="inlineStr">
      <is>
        <t>VER3/0122-1196</t>
      </is>
    </nc>
  </rcc>
  <rcc rId="9376" sId="1">
    <nc r="G875" t="inlineStr">
      <is>
        <t>Clearfit HA S4 - overmold WIP</t>
      </is>
    </nc>
  </rcc>
  <rcc rId="9377" sId="1">
    <nc r="H875">
      <v>32.5</v>
    </nc>
  </rcc>
  <rcc rId="9378" sId="1">
    <nc r="I875">
      <v>65</v>
    </nc>
  </rcc>
  <rcc rId="9379" sId="1">
    <nc r="J875">
      <v>13000</v>
    </nc>
  </rcc>
  <rcc rId="9380" sId="1">
    <nc r="K875">
      <v>0</v>
    </nc>
  </rcc>
  <rcc rId="9381" sId="1" numFmtId="19">
    <nc r="L875">
      <v>46230.270833333336</v>
    </nc>
  </rcc>
  <rcc rId="9382" sId="1" numFmtId="19">
    <nc r="M875">
      <v>46233.006944444445</v>
    </nc>
  </rcc>
  <rfmt sheetId="1" sqref="N875" start="0" length="0">
    <dxf>
      <border outline="0">
        <bottom style="thin">
          <color indexed="64"/>
        </bottom>
      </border>
    </dxf>
  </rfmt>
  <rfmt sheetId="1" sqref="O875" start="0" length="0">
    <dxf>
      <border outline="0">
        <bottom style="thin">
          <color indexed="64"/>
        </bottom>
      </border>
    </dxf>
  </rfmt>
  <rfmt sheetId="1" sqref="P875" start="0" length="0">
    <dxf>
      <border outline="0">
        <bottom style="thin">
          <color indexed="64"/>
        </bottom>
      </border>
    </dxf>
  </rfmt>
  <rfmt sheetId="1" sqref="Q875" start="0" length="0">
    <dxf>
      <border outline="0">
        <bottom style="thin">
          <color indexed="64"/>
        </bottom>
      </border>
    </dxf>
  </rfmt>
  <rfmt sheetId="1" sqref="R875" start="0" length="0">
    <dxf>
      <border outline="0">
        <bottom style="thin">
          <color indexed="64"/>
        </bottom>
      </border>
    </dxf>
  </rfmt>
  <rfmt sheetId="1" sqref="S875" start="0" length="0">
    <dxf>
      <border outline="0">
        <bottom style="thin">
          <color indexed="64"/>
        </bottom>
      </border>
    </dxf>
  </rfmt>
  <rcc rId="9383" sId="1">
    <nc r="AA875" t="inlineStr">
      <is>
        <t>1</t>
      </is>
    </nc>
  </rcc>
  <rcc rId="9384" sId="1">
    <nc r="AB875" t="inlineStr">
      <is>
        <t>0</t>
      </is>
    </nc>
  </rcc>
  <rcc rId="9385" sId="1">
    <nc r="A876" t="inlineStr">
      <is>
        <t>Zone 4</t>
      </is>
    </nc>
  </rcc>
  <rcc rId="9386" sId="1">
    <nc r="B876">
      <v>45</v>
    </nc>
  </rcc>
  <rcc rId="9387" sId="1">
    <nc r="C876">
      <v>0.5</v>
    </nc>
  </rcc>
  <rcc rId="9388" sId="1">
    <nc r="D876" t="inlineStr">
      <is>
        <t>23-054</t>
      </is>
    </nc>
  </rcc>
  <rcc rId="9389" sId="1">
    <nc r="E876" t="inlineStr">
      <is>
        <t>W1022681/1</t>
      </is>
    </nc>
  </rcc>
  <rcc rId="9390" sId="1">
    <nc r="F876" t="inlineStr">
      <is>
        <t>VER3/0122-1200</t>
      </is>
    </nc>
  </rcc>
  <rcc rId="9391" sId="1">
    <nc r="G876" t="inlineStr">
      <is>
        <t>CLEARFIT Miller S2 - Over mold</t>
      </is>
    </nc>
  </rcc>
  <rcc rId="9392" sId="1">
    <nc r="H876">
      <v>21.664999999999999</v>
    </nc>
  </rcc>
  <rcc rId="9393" sId="1">
    <nc r="I876">
      <v>43.33</v>
    </nc>
  </rcc>
  <rcc rId="9394" sId="1">
    <nc r="J876">
      <v>6500</v>
    </nc>
  </rcc>
  <rcc rId="9395" sId="1">
    <nc r="K876">
      <v>0</v>
    </nc>
  </rcc>
  <rcc rId="9396" sId="1" numFmtId="19">
    <nc r="L876">
      <v>46233.013888888891</v>
    </nc>
  </rcc>
  <rcc rId="9397" sId="1" numFmtId="19">
    <nc r="M876">
      <v>46234.847222222219</v>
    </nc>
  </rcc>
  <rcc rId="9398" sId="1">
    <nc r="AA876" t="inlineStr">
      <is>
        <t>1</t>
      </is>
    </nc>
  </rcc>
  <rcc rId="9399" sId="1">
    <nc r="AB876" t="inlineStr">
      <is>
        <t>0</t>
      </is>
    </nc>
  </rcc>
  <rcc rId="9400" sId="1">
    <nc r="A877" t="inlineStr">
      <is>
        <t>Zone 4</t>
      </is>
    </nc>
  </rcc>
  <rcc rId="9401" sId="1">
    <nc r="B877">
      <v>45</v>
    </nc>
  </rcc>
  <rcc rId="9402" sId="1">
    <nc r="C877">
      <v>0.5</v>
    </nc>
  </rcc>
  <rcc rId="9403" sId="1">
    <nc r="D877" t="inlineStr">
      <is>
        <t>23-039</t>
      </is>
    </nc>
  </rcc>
  <rcc rId="9404" sId="1">
    <nc r="E877" t="inlineStr">
      <is>
        <t>W1022647/1</t>
      </is>
    </nc>
  </rcc>
  <rcc rId="9405" sId="1">
    <nc r="F877" t="inlineStr">
      <is>
        <t>VER3/0122-1199</t>
      </is>
    </nc>
  </rcc>
  <rcc rId="9406" sId="1">
    <nc r="G877" t="inlineStr">
      <is>
        <t>CLEARFIT MAC S4</t>
      </is>
    </nc>
  </rcc>
  <rcc rId="9407" sId="1">
    <nc r="H877">
      <v>11.285</v>
    </nc>
  </rcc>
  <rcc rId="9408" sId="1">
    <nc r="I877">
      <v>22.57</v>
    </nc>
  </rcc>
  <rcc rId="9409" sId="1">
    <nc r="J877">
      <v>6500</v>
    </nc>
  </rcc>
  <rcc rId="9410" sId="1">
    <nc r="K877">
      <v>0</v>
    </nc>
  </rcc>
  <rcc rId="9411" sId="1" numFmtId="19">
    <nc r="L877">
      <v>46240.729166666664</v>
    </nc>
  </rcc>
  <rcc rId="9412" sId="1" numFmtId="19">
    <nc r="M877">
      <v>46243.993055555555</v>
    </nc>
  </rcc>
  <rcc rId="9413" sId="1">
    <nc r="AA877" t="inlineStr">
      <is>
        <t>1</t>
      </is>
    </nc>
  </rcc>
  <rcc rId="9414" sId="1">
    <nc r="AB877" t="inlineStr">
      <is>
        <t>0</t>
      </is>
    </nc>
  </rcc>
  <rrc rId="9415" sId="1" ref="A878:XFD878" action="deleteRow">
    <rfmt sheetId="1" xfDxf="1" sqref="A878:XFD878" start="0" length="0">
      <dxf>
        <fill>
          <patternFill patternType="solid">
            <bgColor theme="8" tint="0.39997558519241921"/>
          </patternFill>
        </fill>
      </dxf>
    </rfmt>
    <rcc rId="0" sId="1">
      <nc r="A878" t="inlineStr">
        <is>
          <t>Zone 4</t>
        </is>
      </nc>
    </rcc>
    <rcc rId="0" sId="1">
      <nc r="B878">
        <v>45</v>
      </nc>
    </rcc>
    <rcc rId="0" sId="1">
      <nc r="C878">
        <v>0.5</v>
      </nc>
    </rcc>
    <rcc rId="0" sId="1">
      <nc r="D878" t="inlineStr">
        <is>
          <t>23-065</t>
        </is>
      </nc>
    </rcc>
    <rcc rId="0" sId="1">
      <nc r="E878" t="inlineStr">
        <is>
          <t>W1030124/1</t>
        </is>
      </nc>
    </rcc>
    <rcc rId="0" sId="1">
      <nc r="F878" t="inlineStr">
        <is>
          <t>VER3/0122-1196</t>
        </is>
      </nc>
    </rcc>
    <rcc rId="0" sId="1">
      <nc r="G878" t="inlineStr">
        <is>
          <t>Clearfit HA S4 - overmold WIP</t>
        </is>
      </nc>
    </rcc>
    <rcc rId="0" sId="1">
      <nc r="H878">
        <v>15</v>
      </nc>
    </rcc>
    <rcc rId="0" sId="1">
      <nc r="I878">
        <v>30</v>
      </nc>
    </rcc>
    <rcc rId="0" sId="1">
      <nc r="J878">
        <v>6000</v>
      </nc>
    </rcc>
    <rcc rId="0" sId="1">
      <nc r="K878">
        <v>0</v>
      </nc>
    </rcc>
    <rcc rId="0" sId="1" dxf="1" numFmtId="19">
      <nc r="L878">
        <v>46212.083333333336</v>
      </nc>
      <ndxf>
        <numFmt numFmtId="164" formatCode="mm\-dd\-yyyy"/>
      </ndxf>
    </rcc>
    <rcc rId="0" sId="1" dxf="1" numFmtId="19">
      <nc r="M878">
        <v>46213.361111111109</v>
      </nc>
      <ndxf>
        <numFmt numFmtId="164" formatCode="mm\-dd\-yyyy"/>
      </ndxf>
    </rcc>
    <rcc rId="0" sId="1">
      <nc r="AA878" t="inlineStr">
        <is>
          <t>1</t>
        </is>
      </nc>
    </rcc>
    <rcc rId="0" sId="1">
      <nc r="AB878" t="inlineStr">
        <is>
          <t>0</t>
        </is>
      </nc>
    </rcc>
  </rrc>
  <rrc rId="9416" sId="1" ref="A878:XFD878" action="deleteRow">
    <rfmt sheetId="1" xfDxf="1" sqref="A878:XFD878" start="0" length="0"/>
    <rcc rId="0" sId="1">
      <nc r="A878" t="inlineStr">
        <is>
          <t>Zone 4</t>
        </is>
      </nc>
    </rcc>
    <rcc rId="0" sId="1">
      <nc r="B878">
        <v>45</v>
      </nc>
    </rcc>
    <rcc rId="0" sId="1">
      <nc r="C878">
        <v>0.5</v>
      </nc>
    </rcc>
    <rcc rId="0" sId="1">
      <nc r="D878" t="inlineStr">
        <is>
          <t>23-061</t>
        </is>
      </nc>
    </rcc>
    <rcc rId="0" sId="1">
      <nc r="E878" t="inlineStr">
        <is>
          <t>W1027807/1</t>
        </is>
      </nc>
    </rcc>
    <rcc rId="0" sId="1">
      <nc r="F878" t="inlineStr">
        <is>
          <t>VER3/0122-1198</t>
        </is>
      </nc>
    </rcc>
    <rcc rId="0" sId="1">
      <nc r="G878" t="inlineStr">
        <is>
          <t>Clearfit MAC S3</t>
        </is>
      </nc>
    </rcc>
    <rcc rId="0" sId="1">
      <nc r="H878">
        <v>17.285</v>
      </nc>
    </rcc>
    <rcc rId="0" sId="1">
      <nc r="I878">
        <v>34.57</v>
      </nc>
    </rcc>
    <rcc rId="0" sId="1">
      <nc r="J878">
        <v>6500</v>
      </nc>
    </rcc>
    <rcc rId="0" sId="1">
      <nc r="K878">
        <v>0</v>
      </nc>
    </rcc>
    <rcc rId="0" sId="1" dxf="1" numFmtId="19">
      <nc r="L878">
        <v>46220.569444444445</v>
      </nc>
      <ndxf>
        <numFmt numFmtId="164" formatCode="mm\-dd\-yyyy"/>
      </ndxf>
    </rcc>
    <rcc rId="0" sId="1" dxf="1" numFmtId="19">
      <nc r="M878">
        <v>46224.041666666664</v>
      </nc>
      <ndxf>
        <numFmt numFmtId="164" formatCode="mm\-dd\-yyyy"/>
      </ndxf>
    </rcc>
    <rcc rId="0" sId="1">
      <nc r="AA878" t="inlineStr">
        <is>
          <t>1</t>
        </is>
      </nc>
    </rcc>
    <rcc rId="0" sId="1">
      <nc r="AB878" t="inlineStr">
        <is>
          <t>0</t>
        </is>
      </nc>
    </rcc>
  </rrc>
  <rrc rId="9417" sId="1" ref="A878:XFD878" action="deleteRow">
    <rfmt sheetId="1" xfDxf="1" sqref="A878:XFD878" start="0" length="0"/>
    <rcc rId="0" sId="1">
      <nc r="A878" t="inlineStr">
        <is>
          <t>Zone 4</t>
        </is>
      </nc>
    </rcc>
    <rcc rId="0" sId="1">
      <nc r="B878">
        <v>45</v>
      </nc>
    </rcc>
    <rcc rId="0" sId="1">
      <nc r="C878">
        <v>0.5</v>
      </nc>
    </rcc>
    <rcc rId="0" sId="1">
      <nc r="D878" t="inlineStr">
        <is>
          <t>23-063</t>
        </is>
      </nc>
    </rcc>
    <rcc rId="0" sId="1">
      <nc r="E878" t="inlineStr">
        <is>
          <t>W1026751/1</t>
        </is>
      </nc>
    </rcc>
    <rcc rId="0" sId="1">
      <nc r="F878" t="inlineStr">
        <is>
          <t>VER3/0122-1195</t>
        </is>
      </nc>
    </rcc>
    <rcc rId="0" sId="1">
      <nc r="G878" t="inlineStr">
        <is>
          <t>Clearfit HA S3 – Overmold WIP</t>
        </is>
      </nc>
    </rcc>
    <rcc rId="0" sId="1">
      <nc r="H878">
        <v>44.83</v>
      </nc>
    </rcc>
    <rcc rId="0" sId="1">
      <nc r="I878">
        <v>89.66</v>
      </nc>
    </rcc>
    <rcc rId="0" sId="1">
      <nc r="J878">
        <v>13000</v>
      </nc>
    </rcc>
    <rcc rId="0" sId="1">
      <nc r="K878">
        <v>0</v>
      </nc>
    </rcc>
    <rcc rId="0" sId="1" dxf="1" numFmtId="19">
      <nc r="L878">
        <v>46224.048611111109</v>
      </nc>
      <ndxf>
        <numFmt numFmtId="164" formatCode="mm\-dd\-yyyy"/>
      </ndxf>
    </rcc>
    <rcc rId="0" sId="1" dxf="1" numFmtId="19">
      <nc r="M878">
        <v>46227.8125</v>
      </nc>
      <ndxf>
        <numFmt numFmtId="164" formatCode="mm\-dd\-yyyy"/>
      </ndxf>
    </rcc>
    <rcc rId="0" sId="1">
      <nc r="AA878" t="inlineStr">
        <is>
          <t>1</t>
        </is>
      </nc>
    </rcc>
    <rcc rId="0" sId="1">
      <nc r="AB878" t="inlineStr">
        <is>
          <t>0</t>
        </is>
      </nc>
    </rcc>
  </rrc>
  <rrc rId="9418" sId="1" ref="A878:XFD878" action="deleteRow">
    <rfmt sheetId="1" xfDxf="1" sqref="A878:XFD878" start="0" length="0">
      <dxf>
        <border outline="0">
          <bottom style="thin">
            <color indexed="64"/>
          </bottom>
        </border>
      </dxf>
    </rfmt>
    <rcc rId="0" sId="1">
      <nc r="A878" t="inlineStr">
        <is>
          <t>Zone 4</t>
        </is>
      </nc>
    </rcc>
    <rcc rId="0" sId="1">
      <nc r="B878">
        <v>45</v>
      </nc>
    </rcc>
    <rcc rId="0" sId="1">
      <nc r="C878">
        <v>0.5</v>
      </nc>
    </rcc>
    <rcc rId="0" sId="1">
      <nc r="D878" t="inlineStr">
        <is>
          <t>23-065</t>
        </is>
      </nc>
    </rcc>
    <rcc rId="0" sId="1">
      <nc r="E878" t="inlineStr">
        <is>
          <t>W1024595/1</t>
        </is>
      </nc>
    </rcc>
    <rcc rId="0" sId="1">
      <nc r="F878" t="inlineStr">
        <is>
          <t>VER3/0122-1196</t>
        </is>
      </nc>
    </rcc>
    <rcc rId="0" sId="1">
      <nc r="G878" t="inlineStr">
        <is>
          <t>Clearfit HA S4 - overmold WIP</t>
        </is>
      </nc>
    </rcc>
    <rcc rId="0" sId="1">
      <nc r="H878">
        <v>32.5</v>
      </nc>
    </rcc>
    <rcc rId="0" sId="1">
      <nc r="I878">
        <v>65</v>
      </nc>
    </rcc>
    <rcc rId="0" sId="1">
      <nc r="J878">
        <v>13000</v>
      </nc>
    </rcc>
    <rcc rId="0" sId="1">
      <nc r="K878">
        <v>0</v>
      </nc>
    </rcc>
    <rcc rId="0" sId="1" dxf="1" numFmtId="19">
      <nc r="L878">
        <v>46230.041666666664</v>
      </nc>
      <ndxf>
        <numFmt numFmtId="164" formatCode="mm\-dd\-yyyy"/>
      </ndxf>
    </rcc>
    <rcc rId="0" sId="1" dxf="1" numFmtId="19">
      <nc r="M878">
        <v>46232.777777777781</v>
      </nc>
      <ndxf>
        <numFmt numFmtId="164" formatCode="mm\-dd\-yyyy"/>
      </ndxf>
    </rcc>
    <rcc rId="0" sId="1">
      <nc r="AA878" t="inlineStr">
        <is>
          <t>1</t>
        </is>
      </nc>
    </rcc>
    <rcc rId="0" sId="1">
      <nc r="AB878" t="inlineStr">
        <is>
          <t>0</t>
        </is>
      </nc>
    </rcc>
  </rrc>
  <rfmt sheetId="1" sqref="A870:XFD870" start="0" length="0">
    <dxf>
      <border>
        <bottom style="thin">
          <color indexed="64"/>
        </bottom>
      </border>
    </dxf>
  </rfmt>
  <rfmt sheetId="1" sqref="A871:XFD871">
    <dxf>
      <fill>
        <patternFill>
          <bgColor theme="8" tint="0.39997558519241921"/>
        </patternFill>
      </fill>
    </dxf>
  </rfmt>
  <rfmt sheetId="1" sqref="A875:XFD875" start="0" length="0">
    <dxf>
      <border>
        <bottom/>
      </border>
    </dxf>
  </rfmt>
  <rfmt sheetId="1" sqref="A877:XFD877" start="0" length="0">
    <dxf>
      <border>
        <bottom style="thin">
          <color indexed="64"/>
        </bottom>
      </border>
    </dxf>
  </rfmt>
  <rrc rId="9419" sId="1" ref="A934:XFD940" action="insertRow"/>
  <rcc rId="9420" sId="1">
    <nc r="A934" t="inlineStr">
      <is>
        <t>Zone 4</t>
      </is>
    </nc>
  </rcc>
  <rcc rId="9421" sId="1">
    <nc r="B934" t="inlineStr">
      <is>
        <t>Mold Man</t>
      </is>
    </nc>
  </rcc>
  <rcc rId="9422" sId="1">
    <nc r="C934">
      <v>3.5</v>
    </nc>
  </rcc>
  <rcc rId="9423" sId="1">
    <nc r="E934" t="inlineStr">
      <is>
        <t>W1030145/1</t>
      </is>
    </nc>
  </rcc>
  <rcc rId="9424" sId="1">
    <nc r="F934" t="inlineStr">
      <is>
        <t>VER3/0142-0802</t>
      </is>
    </nc>
  </rcc>
  <rcc rId="9425" sId="1">
    <nc r="H934">
      <v>304.36</v>
    </nc>
  </rcc>
  <rcc rId="9426" sId="1">
    <nc r="I934">
      <v>86.96</v>
    </nc>
  </rcc>
  <rcc rId="9427" sId="1">
    <nc r="J934">
      <v>60000</v>
    </nc>
  </rcc>
  <rcc rId="9428" sId="1">
    <nc r="K934">
      <v>0</v>
    </nc>
  </rcc>
  <rcc rId="9429" sId="1" numFmtId="19">
    <nc r="L934">
      <v>46208.958333333336</v>
    </nc>
  </rcc>
  <rcc rId="9430" sId="1" numFmtId="19">
    <nc r="M934">
      <v>46212.597222222219</v>
    </nc>
  </rcc>
  <rcc rId="9431" sId="1">
    <nc r="AA934" t="inlineStr">
      <is>
        <t>1</t>
      </is>
    </nc>
  </rcc>
  <rcc rId="9432" sId="1">
    <nc r="AB934" t="inlineStr">
      <is>
        <t>0</t>
      </is>
    </nc>
  </rcc>
  <rcc rId="9433" sId="1">
    <nc r="A935" t="inlineStr">
      <is>
        <t>Zone 4</t>
      </is>
    </nc>
  </rcc>
  <rcc rId="9434" sId="1">
    <nc r="B935" t="inlineStr">
      <is>
        <t>Mold Man</t>
      </is>
    </nc>
  </rcc>
  <rcc rId="9435" sId="1">
    <nc r="C935">
      <v>3.5</v>
    </nc>
  </rcc>
  <rcc rId="9436" sId="1">
    <nc r="E935" t="inlineStr">
      <is>
        <t>W1028671/SMI</t>
      </is>
    </nc>
  </rcc>
  <rcc rId="9437" sId="1">
    <nc r="F935" t="inlineStr">
      <is>
        <t>VER3/0142-0802</t>
      </is>
    </nc>
  </rcc>
  <rcc rId="9438" sId="1">
    <nc r="G935" t="inlineStr">
      <is>
        <t>Encapsulated LoPro/Mac Ti, SU, 2.0</t>
      </is>
    </nc>
  </rcc>
  <rcc rId="9439" sId="1">
    <nc r="H935">
      <v>253.61</v>
    </nc>
  </rcc>
  <rcc rId="9440" sId="1">
    <nc r="I935">
      <v>72.459999999999994</v>
    </nc>
  </rcc>
  <rcc rId="9441" sId="1">
    <nc r="J935">
      <v>50000</v>
    </nc>
  </rcc>
  <rcc rId="9442" sId="1">
    <nc r="K935">
      <v>0</v>
    </nc>
  </rcc>
  <rcc rId="9443" sId="1" numFmtId="19">
    <nc r="L935">
      <v>46212.604166666664</v>
    </nc>
  </rcc>
  <rcc rId="9444" sId="1" numFmtId="19">
    <nc r="M935">
      <v>46215.638888888891</v>
    </nc>
  </rcc>
  <rcc rId="9445" sId="1">
    <nc r="AA935" t="inlineStr">
      <is>
        <t>SMI</t>
      </is>
    </nc>
  </rcc>
  <rcc rId="9446" sId="1">
    <nc r="AB935" t="inlineStr">
      <is>
        <t>0</t>
      </is>
    </nc>
  </rcc>
  <rcc rId="9447" sId="1">
    <nc r="A936" t="inlineStr">
      <is>
        <t>Zone 4</t>
      </is>
    </nc>
  </rcc>
  <rcc rId="9448" sId="1">
    <nc r="B936" t="inlineStr">
      <is>
        <t>Mold Man</t>
      </is>
    </nc>
  </rcc>
  <rcc rId="9449" sId="1">
    <nc r="C936">
      <v>3.5</v>
    </nc>
  </rcc>
  <rcc rId="9450" sId="1">
    <nc r="E936" t="inlineStr">
      <is>
        <t>W1028672/SMI</t>
      </is>
    </nc>
  </rcc>
  <rcc rId="9451" sId="1">
    <nc r="F936" t="inlineStr">
      <is>
        <t>VER3/0142-0802</t>
      </is>
    </nc>
  </rcc>
  <rcc rId="9452" sId="1">
    <nc r="G936" t="inlineStr">
      <is>
        <t>Encapsulated LoPro/Mac Ti, SU, 2.0</t>
      </is>
    </nc>
  </rcc>
  <rcc rId="9453" sId="1">
    <nc r="H936">
      <v>253.61</v>
    </nc>
  </rcc>
  <rcc rId="9454" sId="1">
    <nc r="I936">
      <v>72.459999999999994</v>
    </nc>
  </rcc>
  <rcc rId="9455" sId="1">
    <nc r="J936">
      <v>50000</v>
    </nc>
  </rcc>
  <rcc rId="9456" sId="1">
    <nc r="K936">
      <v>0</v>
    </nc>
  </rcc>
  <rcc rId="9457" sId="1" numFmtId="19">
    <nc r="L936">
      <v>46215.645833333336</v>
    </nc>
  </rcc>
  <rcc rId="9458" sId="1" numFmtId="19">
    <nc r="M936">
      <v>46218.680555555555</v>
    </nc>
  </rcc>
  <rcc rId="9459" sId="1">
    <nc r="AA936" t="inlineStr">
      <is>
        <t>SMI</t>
      </is>
    </nc>
  </rcc>
  <rcc rId="9460" sId="1">
    <nc r="AB936" t="inlineStr">
      <is>
        <t>0</t>
      </is>
    </nc>
  </rcc>
  <rcc rId="9461" sId="1">
    <nc r="A937" t="inlineStr">
      <is>
        <t>Zone 4</t>
      </is>
    </nc>
  </rcc>
  <rcc rId="9462" sId="1">
    <nc r="B937" t="inlineStr">
      <is>
        <t>Mold Man</t>
      </is>
    </nc>
  </rcc>
  <rcc rId="9463" sId="1">
    <nc r="C937">
      <v>3.5</v>
    </nc>
  </rcc>
  <rcc rId="9464" sId="1">
    <nc r="E937" t="inlineStr">
      <is>
        <t>W1028673/SMI</t>
      </is>
    </nc>
  </rcc>
  <rcc rId="9465" sId="1">
    <nc r="F937" t="inlineStr">
      <is>
        <t>VER3/0142-0802</t>
      </is>
    </nc>
  </rcc>
  <rcc rId="9466" sId="1">
    <nc r="G937" t="inlineStr">
      <is>
        <t>Encapsulated LoPro/Mac Ti, SU, 2.0</t>
      </is>
    </nc>
  </rcc>
  <rcc rId="9467" sId="1">
    <nc r="H937">
      <v>253.61</v>
    </nc>
  </rcc>
  <rcc rId="9468" sId="1">
    <nc r="I937">
      <v>72.459999999999994</v>
    </nc>
  </rcc>
  <rcc rId="9469" sId="1">
    <nc r="J937">
      <v>50000</v>
    </nc>
  </rcc>
  <rcc rId="9470" sId="1">
    <nc r="K937">
      <v>0</v>
    </nc>
  </rcc>
  <rcc rId="9471" sId="1" numFmtId="19">
    <nc r="L937">
      <v>46218.6875</v>
    </nc>
  </rcc>
  <rcc rId="9472" sId="1" numFmtId="19">
    <nc r="M937">
      <v>46221.722222222219</v>
    </nc>
  </rcc>
  <rcc rId="9473" sId="1">
    <nc r="AA937" t="inlineStr">
      <is>
        <t>SMI</t>
      </is>
    </nc>
  </rcc>
  <rcc rId="9474" sId="1">
    <nc r="AB937" t="inlineStr">
      <is>
        <t>0</t>
      </is>
    </nc>
  </rcc>
  <rcc rId="9475" sId="1">
    <nc r="A938" t="inlineStr">
      <is>
        <t>Zone 4</t>
      </is>
    </nc>
  </rcc>
  <rcc rId="9476" sId="1">
    <nc r="B938" t="inlineStr">
      <is>
        <t>Mold Man</t>
      </is>
    </nc>
  </rcc>
  <rcc rId="9477" sId="1">
    <nc r="C938">
      <v>3.5</v>
    </nc>
  </rcc>
  <rcc rId="9478" sId="1">
    <nc r="E938" t="inlineStr">
      <is>
        <t>W1028674/SMI</t>
      </is>
    </nc>
  </rcc>
  <rcc rId="9479" sId="1">
    <nc r="F938" t="inlineStr">
      <is>
        <t>VER3/0142-0802</t>
      </is>
    </nc>
  </rcc>
  <rcc rId="9480" sId="1">
    <nc r="G938" t="inlineStr">
      <is>
        <t>Encapsulated LoPro/Mac Ti, SU, 2.0</t>
      </is>
    </nc>
  </rcc>
  <rcc rId="9481" sId="1">
    <nc r="H938">
      <v>253.61</v>
    </nc>
  </rcc>
  <rcc rId="9482" sId="1">
    <nc r="I938">
      <v>72.459999999999994</v>
    </nc>
  </rcc>
  <rcc rId="9483" sId="1">
    <nc r="J938">
      <v>50000</v>
    </nc>
  </rcc>
  <rcc rId="9484" sId="1">
    <nc r="K938">
      <v>0</v>
    </nc>
  </rcc>
  <rcc rId="9485" sId="1" numFmtId="19">
    <nc r="L938">
      <v>46221.729166666664</v>
    </nc>
  </rcc>
  <rcc rId="9486" sId="1" numFmtId="19">
    <nc r="M938">
      <v>46224.763888888891</v>
    </nc>
  </rcc>
  <rcc rId="9487" sId="1">
    <nc r="AA938" t="inlineStr">
      <is>
        <t>SMI</t>
      </is>
    </nc>
  </rcc>
  <rcc rId="9488" sId="1">
    <nc r="AB938" t="inlineStr">
      <is>
        <t>0</t>
      </is>
    </nc>
  </rcc>
  <rcc rId="9489" sId="1">
    <nc r="A939" t="inlineStr">
      <is>
        <t>Zone 4</t>
      </is>
    </nc>
  </rcc>
  <rcc rId="9490" sId="1">
    <nc r="B939" t="inlineStr">
      <is>
        <t>Mold Man</t>
      </is>
    </nc>
  </rcc>
  <rcc rId="9491" sId="1">
    <nc r="C939">
      <v>3.5</v>
    </nc>
  </rcc>
  <rcc rId="9492" sId="1">
    <nc r="E939" t="inlineStr">
      <is>
        <t>W1028675/SMI</t>
      </is>
    </nc>
  </rcc>
  <rcc rId="9493" sId="1">
    <nc r="F939" t="inlineStr">
      <is>
        <t>VER3/0142-0802</t>
      </is>
    </nc>
  </rcc>
  <rcc rId="9494" sId="1">
    <nc r="G939" t="inlineStr">
      <is>
        <t>Encapsulated LoPro/Mac Ti, SU, 2.0</t>
      </is>
    </nc>
  </rcc>
  <rcc rId="9495" sId="1">
    <nc r="H939">
      <v>253.61</v>
    </nc>
  </rcc>
  <rcc rId="9496" sId="1">
    <nc r="I939">
      <v>72.459999999999994</v>
    </nc>
  </rcc>
  <rcc rId="9497" sId="1">
    <nc r="J939">
      <v>50000</v>
    </nc>
  </rcc>
  <rcc rId="9498" sId="1">
    <nc r="K939">
      <v>0</v>
    </nc>
  </rcc>
  <rcc rId="9499" sId="1" numFmtId="19">
    <nc r="L939">
      <v>46224.770833333336</v>
    </nc>
  </rcc>
  <rcc rId="9500" sId="1" numFmtId="19">
    <nc r="M939">
      <v>46227.805555555555</v>
    </nc>
  </rcc>
  <rcc rId="9501" sId="1">
    <nc r="AA939" t="inlineStr">
      <is>
        <t>SMI</t>
      </is>
    </nc>
  </rcc>
  <rcc rId="9502" sId="1">
    <nc r="AB939" t="inlineStr">
      <is>
        <t>0</t>
      </is>
    </nc>
  </rcc>
  <rcc rId="9503" sId="1">
    <nc r="A940" t="inlineStr">
      <is>
        <t>Zone 4</t>
      </is>
    </nc>
  </rcc>
  <rcc rId="9504" sId="1">
    <nc r="B940" t="inlineStr">
      <is>
        <t>Mold Man</t>
      </is>
    </nc>
  </rcc>
  <rcc rId="9505" sId="1">
    <nc r="C940">
      <v>3.5</v>
    </nc>
  </rcc>
  <rcc rId="9506" sId="1" odxf="1" dxf="1">
    <nc r="E940" t="inlineStr">
      <is>
        <t>W1028676/SMI</t>
      </is>
    </nc>
    <odxf>
      <border outline="0">
        <bottom/>
      </border>
    </odxf>
    <ndxf>
      <border outline="0">
        <bottom style="thin">
          <color indexed="64"/>
        </bottom>
      </border>
    </ndxf>
  </rcc>
  <rcc rId="9507" sId="1">
    <nc r="F940" t="inlineStr">
      <is>
        <t>VER3/0142-0802</t>
      </is>
    </nc>
  </rcc>
  <rcc rId="9508" sId="1">
    <nc r="G940" t="inlineStr">
      <is>
        <t>Encapsulated LoPro/Mac Ti, SU, 2.0</t>
      </is>
    </nc>
  </rcc>
  <rcc rId="9509" sId="1">
    <nc r="H940">
      <v>253.61</v>
    </nc>
  </rcc>
  <rcc rId="9510" sId="1">
    <nc r="I940">
      <v>72.459999999999994</v>
    </nc>
  </rcc>
  <rcc rId="9511" sId="1">
    <nc r="J940">
      <v>50000</v>
    </nc>
  </rcc>
  <rcc rId="9512" sId="1">
    <nc r="K940">
      <v>0</v>
    </nc>
  </rcc>
  <rcc rId="9513" sId="1" numFmtId="19">
    <nc r="L940">
      <v>46227.8125</v>
    </nc>
  </rcc>
  <rcc rId="9514" sId="1" numFmtId="19">
    <nc r="M940">
      <v>46230.847222222219</v>
    </nc>
  </rcc>
  <rfmt sheetId="1" sqref="N940" start="0" length="0">
    <dxf>
      <border outline="0">
        <bottom style="thin">
          <color indexed="64"/>
        </bottom>
      </border>
    </dxf>
  </rfmt>
  <rfmt sheetId="1" sqref="O940" start="0" length="0">
    <dxf>
      <border outline="0">
        <bottom style="thin">
          <color indexed="64"/>
        </bottom>
      </border>
    </dxf>
  </rfmt>
  <rfmt sheetId="1" sqref="P940" start="0" length="0">
    <dxf>
      <border outline="0">
        <bottom style="thin">
          <color indexed="64"/>
        </bottom>
      </border>
    </dxf>
  </rfmt>
  <rfmt sheetId="1" sqref="Q940" start="0" length="0">
    <dxf>
      <border outline="0">
        <bottom style="thin">
          <color indexed="64"/>
        </bottom>
      </border>
    </dxf>
  </rfmt>
  <rfmt sheetId="1" sqref="R940" start="0" length="0">
    <dxf>
      <border outline="0">
        <bottom style="thin">
          <color indexed="64"/>
        </bottom>
      </border>
    </dxf>
  </rfmt>
  <rfmt sheetId="1" sqref="S940" start="0" length="0">
    <dxf>
      <border outline="0">
        <bottom style="thin">
          <color indexed="64"/>
        </bottom>
      </border>
    </dxf>
  </rfmt>
  <rcc rId="9515" sId="1">
    <nc r="AA940" t="inlineStr">
      <is>
        <t>SMI</t>
      </is>
    </nc>
  </rcc>
  <rcc rId="9516" sId="1">
    <nc r="AB940" t="inlineStr">
      <is>
        <t>0</t>
      </is>
    </nc>
  </rcc>
  <rrc rId="9517" sId="1" ref="A941:XFD941" action="deleteRow">
    <rfmt sheetId="1" xfDxf="1" sqref="A941:XFD941" start="0" length="0"/>
    <rcc rId="0" sId="1">
      <nc r="A941" t="inlineStr">
        <is>
          <t>Zone 4</t>
        </is>
      </nc>
    </rcc>
    <rcc rId="0" sId="1">
      <nc r="B941" t="inlineStr">
        <is>
          <t>Mold Man</t>
        </is>
      </nc>
    </rcc>
    <rcc rId="0" sId="1">
      <nc r="C941">
        <v>3.5</v>
      </nc>
    </rcc>
    <rcc rId="0" sId="1">
      <nc r="E941" t="inlineStr">
        <is>
          <t>W1027279/SMI</t>
        </is>
      </nc>
    </rcc>
    <rcc rId="0" sId="1">
      <nc r="F941" t="inlineStr">
        <is>
          <t>VER3/0142-0802</t>
        </is>
      </nc>
    </rcc>
    <rcc rId="0" sId="1">
      <nc r="G941" t="inlineStr">
        <is>
          <t>Encapsulated LoPro/Mac Ti, SU, 2.0</t>
        </is>
      </nc>
    </rcc>
    <rcc rId="0" sId="1">
      <nc r="H941">
        <v>253.61</v>
      </nc>
    </rcc>
    <rcc rId="0" sId="1">
      <nc r="I941">
        <v>14.12</v>
      </nc>
    </rcc>
    <rcc rId="0" sId="1">
      <nc r="J941">
        <v>50000</v>
      </nc>
    </rcc>
    <rcc rId="0" sId="1">
      <nc r="K941">
        <v>40256</v>
      </nc>
    </rcc>
    <rcc rId="0" sId="1" dxf="1" numFmtId="19">
      <nc r="L941">
        <v>46208.958333333336</v>
      </nc>
      <ndxf>
        <numFmt numFmtId="164" formatCode="mm\-dd\-yyyy"/>
      </ndxf>
    </rcc>
    <rcc rId="0" sId="1" dxf="1" numFmtId="19">
      <nc r="M941">
        <v>46209.541666666664</v>
      </nc>
      <ndxf>
        <numFmt numFmtId="164" formatCode="mm\-dd\-yyyy"/>
      </ndxf>
    </rcc>
    <rcc rId="0" sId="1">
      <nc r="AA941" t="inlineStr">
        <is>
          <t>SMI</t>
        </is>
      </nc>
    </rcc>
    <rcc rId="0" sId="1">
      <nc r="AB941" t="inlineStr">
        <is>
          <t>0</t>
        </is>
      </nc>
    </rcc>
  </rrc>
  <rrc rId="9518" sId="1" ref="A941:XFD941" action="deleteRow">
    <rfmt sheetId="1" xfDxf="1" sqref="A941:XFD941" start="0" length="0"/>
    <rcc rId="0" sId="1">
      <nc r="A941" t="inlineStr">
        <is>
          <t>Zone 4</t>
        </is>
      </nc>
    </rcc>
    <rcc rId="0" sId="1">
      <nc r="B941" t="inlineStr">
        <is>
          <t>Mold Man</t>
        </is>
      </nc>
    </rcc>
    <rcc rId="0" sId="1">
      <nc r="C941">
        <v>3.5</v>
      </nc>
    </rcc>
    <rcc rId="0" sId="1">
      <nc r="E941" t="inlineStr">
        <is>
          <t>W1028671/SMI</t>
        </is>
      </nc>
    </rcc>
    <rcc rId="0" sId="1">
      <nc r="F941" t="inlineStr">
        <is>
          <t>VER3/0142-0802</t>
        </is>
      </nc>
    </rcc>
    <rcc rId="0" sId="1">
      <nc r="G941" t="inlineStr">
        <is>
          <t>Encapsulated LoPro/Mac Ti, SU, 2.0</t>
        </is>
      </nc>
    </rcc>
    <rcc rId="0" sId="1">
      <nc r="H941">
        <v>253.61</v>
      </nc>
    </rcc>
    <rcc rId="0" sId="1">
      <nc r="I941">
        <v>72.459999999999994</v>
      </nc>
    </rcc>
    <rcc rId="0" sId="1">
      <nc r="J941">
        <v>50000</v>
      </nc>
    </rcc>
    <rcc rId="0" sId="1">
      <nc r="K941">
        <v>0</v>
      </nc>
    </rcc>
    <rcc rId="0" sId="1" dxf="1" numFmtId="19">
      <nc r="L941">
        <v>46209.548611111109</v>
      </nc>
      <ndxf>
        <numFmt numFmtId="164" formatCode="mm\-dd\-yyyy"/>
      </ndxf>
    </rcc>
    <rcc rId="0" sId="1" dxf="1" numFmtId="19">
      <nc r="M941">
        <v>46212.583333333336</v>
      </nc>
      <ndxf>
        <numFmt numFmtId="164" formatCode="mm\-dd\-yyyy"/>
      </ndxf>
    </rcc>
    <rcc rId="0" sId="1">
      <nc r="AA941" t="inlineStr">
        <is>
          <t>SMI</t>
        </is>
      </nc>
    </rcc>
    <rcc rId="0" sId="1">
      <nc r="AB941" t="inlineStr">
        <is>
          <t>0</t>
        </is>
      </nc>
    </rcc>
  </rrc>
  <rrc rId="9519" sId="1" ref="A941:XFD941" action="deleteRow">
    <rfmt sheetId="1" xfDxf="1" sqref="A941:XFD941" start="0" length="0"/>
    <rcc rId="0" sId="1">
      <nc r="A941" t="inlineStr">
        <is>
          <t>Zone 4</t>
        </is>
      </nc>
    </rcc>
    <rcc rId="0" sId="1">
      <nc r="B941" t="inlineStr">
        <is>
          <t>Mold Man</t>
        </is>
      </nc>
    </rcc>
    <rcc rId="0" sId="1">
      <nc r="C941">
        <v>3.5</v>
      </nc>
    </rcc>
    <rcc rId="0" sId="1">
      <nc r="E941" t="inlineStr">
        <is>
          <t>W1028672/SMI</t>
        </is>
      </nc>
    </rcc>
    <rcc rId="0" sId="1">
      <nc r="F941" t="inlineStr">
        <is>
          <t>VER3/0142-0802</t>
        </is>
      </nc>
    </rcc>
    <rcc rId="0" sId="1">
      <nc r="G941" t="inlineStr">
        <is>
          <t>Encapsulated LoPro/Mac Ti, SU, 2.0</t>
        </is>
      </nc>
    </rcc>
    <rcc rId="0" sId="1">
      <nc r="H941">
        <v>253.61</v>
      </nc>
    </rcc>
    <rcc rId="0" sId="1">
      <nc r="I941">
        <v>72.459999999999994</v>
      </nc>
    </rcc>
    <rcc rId="0" sId="1">
      <nc r="J941">
        <v>50000</v>
      </nc>
    </rcc>
    <rcc rId="0" sId="1">
      <nc r="K941">
        <v>0</v>
      </nc>
    </rcc>
    <rcc rId="0" sId="1" dxf="1" numFmtId="19">
      <nc r="L941">
        <v>46212.590277777781</v>
      </nc>
      <ndxf>
        <numFmt numFmtId="164" formatCode="mm\-dd\-yyyy"/>
      </ndxf>
    </rcc>
    <rcc rId="0" sId="1" dxf="1" numFmtId="19">
      <nc r="M941">
        <v>46215.625</v>
      </nc>
      <ndxf>
        <numFmt numFmtId="164" formatCode="mm\-dd\-yyyy"/>
      </ndxf>
    </rcc>
    <rcc rId="0" sId="1">
      <nc r="AA941" t="inlineStr">
        <is>
          <t>SMI</t>
        </is>
      </nc>
    </rcc>
    <rcc rId="0" sId="1">
      <nc r="AB941" t="inlineStr">
        <is>
          <t>0</t>
        </is>
      </nc>
    </rcc>
  </rrc>
  <rrc rId="9520" sId="1" ref="A941:XFD941" action="deleteRow">
    <rfmt sheetId="1" xfDxf="1" sqref="A941:XFD941" start="0" length="0"/>
    <rcc rId="0" sId="1">
      <nc r="A941" t="inlineStr">
        <is>
          <t>Zone 4</t>
        </is>
      </nc>
    </rcc>
    <rcc rId="0" sId="1">
      <nc r="B941" t="inlineStr">
        <is>
          <t>Mold Man</t>
        </is>
      </nc>
    </rcc>
    <rcc rId="0" sId="1">
      <nc r="C941">
        <v>3.5</v>
      </nc>
    </rcc>
    <rcc rId="0" sId="1">
      <nc r="E941" t="inlineStr">
        <is>
          <t>W1028673/SMI</t>
        </is>
      </nc>
    </rcc>
    <rcc rId="0" sId="1">
      <nc r="F941" t="inlineStr">
        <is>
          <t>VER3/0142-0802</t>
        </is>
      </nc>
    </rcc>
    <rcc rId="0" sId="1">
      <nc r="G941" t="inlineStr">
        <is>
          <t>Encapsulated LoPro/Mac Ti, SU, 2.0</t>
        </is>
      </nc>
    </rcc>
    <rcc rId="0" sId="1">
      <nc r="H941">
        <v>253.61</v>
      </nc>
    </rcc>
    <rcc rId="0" sId="1">
      <nc r="I941">
        <v>72.459999999999994</v>
      </nc>
    </rcc>
    <rcc rId="0" sId="1">
      <nc r="J941">
        <v>50000</v>
      </nc>
    </rcc>
    <rcc rId="0" sId="1">
      <nc r="K941">
        <v>0</v>
      </nc>
    </rcc>
    <rcc rId="0" sId="1" dxf="1" numFmtId="19">
      <nc r="L941">
        <v>46215.631944444445</v>
      </nc>
      <ndxf>
        <numFmt numFmtId="164" formatCode="mm\-dd\-yyyy"/>
      </ndxf>
    </rcc>
    <rcc rId="0" sId="1" dxf="1" numFmtId="19">
      <nc r="M941">
        <v>46218.666666666664</v>
      </nc>
      <ndxf>
        <numFmt numFmtId="164" formatCode="mm\-dd\-yyyy"/>
      </ndxf>
    </rcc>
    <rcc rId="0" sId="1">
      <nc r="AA941" t="inlineStr">
        <is>
          <t>SMI</t>
        </is>
      </nc>
    </rcc>
    <rcc rId="0" sId="1">
      <nc r="AB941" t="inlineStr">
        <is>
          <t>0</t>
        </is>
      </nc>
    </rcc>
  </rrc>
  <rrc rId="9521" sId="1" ref="A941:XFD941" action="deleteRow">
    <rfmt sheetId="1" xfDxf="1" sqref="A941:XFD941" start="0" length="0"/>
    <rcc rId="0" sId="1">
      <nc r="A941" t="inlineStr">
        <is>
          <t>Zone 4</t>
        </is>
      </nc>
    </rcc>
    <rcc rId="0" sId="1">
      <nc r="B941" t="inlineStr">
        <is>
          <t>Mold Man</t>
        </is>
      </nc>
    </rcc>
    <rcc rId="0" sId="1">
      <nc r="C941">
        <v>3.5</v>
      </nc>
    </rcc>
    <rcc rId="0" sId="1">
      <nc r="E941" t="inlineStr">
        <is>
          <t>W1028674/SMI</t>
        </is>
      </nc>
    </rcc>
    <rcc rId="0" sId="1">
      <nc r="F941" t="inlineStr">
        <is>
          <t>VER3/0142-0802</t>
        </is>
      </nc>
    </rcc>
    <rcc rId="0" sId="1">
      <nc r="G941" t="inlineStr">
        <is>
          <t>Encapsulated LoPro/Mac Ti, SU, 2.0</t>
        </is>
      </nc>
    </rcc>
    <rcc rId="0" sId="1">
      <nc r="H941">
        <v>253.61</v>
      </nc>
    </rcc>
    <rcc rId="0" sId="1">
      <nc r="I941">
        <v>72.459999999999994</v>
      </nc>
    </rcc>
    <rcc rId="0" sId="1">
      <nc r="J941">
        <v>50000</v>
      </nc>
    </rcc>
    <rcc rId="0" sId="1">
      <nc r="K941">
        <v>0</v>
      </nc>
    </rcc>
    <rcc rId="0" sId="1" dxf="1" numFmtId="19">
      <nc r="L941">
        <v>46218.673611111109</v>
      </nc>
      <ndxf>
        <numFmt numFmtId="164" formatCode="mm\-dd\-yyyy"/>
      </ndxf>
    </rcc>
    <rcc rId="0" sId="1" dxf="1" numFmtId="19">
      <nc r="M941">
        <v>46221.708333333336</v>
      </nc>
      <ndxf>
        <numFmt numFmtId="164" formatCode="mm\-dd\-yyyy"/>
      </ndxf>
    </rcc>
    <rcc rId="0" sId="1">
      <nc r="AA941" t="inlineStr">
        <is>
          <t>SMI</t>
        </is>
      </nc>
    </rcc>
    <rcc rId="0" sId="1">
      <nc r="AB941" t="inlineStr">
        <is>
          <t>0</t>
        </is>
      </nc>
    </rcc>
  </rrc>
  <rrc rId="9522" sId="1" ref="A941:XFD941" action="deleteRow">
    <rfmt sheetId="1" xfDxf="1" sqref="A941:XFD941" start="0" length="0"/>
    <rcc rId="0" sId="1">
      <nc r="A941" t="inlineStr">
        <is>
          <t>Zone 4</t>
        </is>
      </nc>
    </rcc>
    <rcc rId="0" sId="1">
      <nc r="B941" t="inlineStr">
        <is>
          <t>Mold Man</t>
        </is>
      </nc>
    </rcc>
    <rcc rId="0" sId="1">
      <nc r="C941">
        <v>3.5</v>
      </nc>
    </rcc>
    <rcc rId="0" sId="1">
      <nc r="E941" t="inlineStr">
        <is>
          <t>W1028675/SMI</t>
        </is>
      </nc>
    </rcc>
    <rcc rId="0" sId="1">
      <nc r="F941" t="inlineStr">
        <is>
          <t>VER3/0142-0802</t>
        </is>
      </nc>
    </rcc>
    <rcc rId="0" sId="1">
      <nc r="G941" t="inlineStr">
        <is>
          <t>Encapsulated LoPro/Mac Ti, SU, 2.0</t>
        </is>
      </nc>
    </rcc>
    <rcc rId="0" sId="1">
      <nc r="H941">
        <v>253.61</v>
      </nc>
    </rcc>
    <rcc rId="0" sId="1">
      <nc r="I941">
        <v>72.459999999999994</v>
      </nc>
    </rcc>
    <rcc rId="0" sId="1">
      <nc r="J941">
        <v>50000</v>
      </nc>
    </rcc>
    <rcc rId="0" sId="1">
      <nc r="K941">
        <v>0</v>
      </nc>
    </rcc>
    <rcc rId="0" sId="1" dxf="1" numFmtId="19">
      <nc r="L941">
        <v>46221.715277777781</v>
      </nc>
      <ndxf>
        <numFmt numFmtId="164" formatCode="mm\-dd\-yyyy"/>
      </ndxf>
    </rcc>
    <rcc rId="0" sId="1" dxf="1" numFmtId="19">
      <nc r="M941">
        <v>46224.75</v>
      </nc>
      <ndxf>
        <numFmt numFmtId="164" formatCode="mm\-dd\-yyyy"/>
      </ndxf>
    </rcc>
    <rcc rId="0" sId="1">
      <nc r="AA941" t="inlineStr">
        <is>
          <t>SMI</t>
        </is>
      </nc>
    </rcc>
    <rcc rId="0" sId="1">
      <nc r="AB941" t="inlineStr">
        <is>
          <t>0</t>
        </is>
      </nc>
    </rcc>
  </rrc>
  <rrc rId="9523" sId="1" ref="A941:XFD941" action="deleteRow">
    <rfmt sheetId="1" xfDxf="1" sqref="A941:XFD941" start="0" length="0"/>
    <rcc rId="0" sId="1">
      <nc r="A941" t="inlineStr">
        <is>
          <t>Zone 4</t>
        </is>
      </nc>
    </rcc>
    <rcc rId="0" sId="1">
      <nc r="B941" t="inlineStr">
        <is>
          <t>Mold Man</t>
        </is>
      </nc>
    </rcc>
    <rcc rId="0" sId="1">
      <nc r="C941">
        <v>3.5</v>
      </nc>
    </rcc>
    <rcc rId="0" sId="1" dxf="1">
      <nc r="E941" t="inlineStr">
        <is>
          <t>W1028676/SMI</t>
        </is>
      </nc>
      <ndxf>
        <border outline="0">
          <bottom style="thin">
            <color indexed="64"/>
          </bottom>
        </border>
      </ndxf>
    </rcc>
    <rcc rId="0" sId="1">
      <nc r="F941" t="inlineStr">
        <is>
          <t>VER3/0142-0802</t>
        </is>
      </nc>
    </rcc>
    <rcc rId="0" sId="1">
      <nc r="G941" t="inlineStr">
        <is>
          <t>Encapsulated LoPro/Mac Ti, SU, 2.0</t>
        </is>
      </nc>
    </rcc>
    <rcc rId="0" sId="1">
      <nc r="H941">
        <v>253.61</v>
      </nc>
    </rcc>
    <rcc rId="0" sId="1">
      <nc r="I941">
        <v>72.459999999999994</v>
      </nc>
    </rcc>
    <rcc rId="0" sId="1">
      <nc r="J941">
        <v>50000</v>
      </nc>
    </rcc>
    <rcc rId="0" sId="1">
      <nc r="K941">
        <v>0</v>
      </nc>
    </rcc>
    <rcc rId="0" sId="1" dxf="1" numFmtId="19">
      <nc r="L941">
        <v>46224.756944444445</v>
      </nc>
      <ndxf>
        <numFmt numFmtId="164" formatCode="mm\-dd\-yyyy"/>
      </ndxf>
    </rcc>
    <rcc rId="0" sId="1" dxf="1" numFmtId="19">
      <nc r="M941">
        <v>46227.791666666664</v>
      </nc>
      <ndxf>
        <numFmt numFmtId="164" formatCode="mm\-dd\-yyyy"/>
      </ndxf>
    </rcc>
    <rfmt sheetId="1" sqref="N941" start="0" length="0">
      <dxf>
        <border outline="0">
          <bottom style="thin">
            <color indexed="64"/>
          </bottom>
        </border>
      </dxf>
    </rfmt>
    <rfmt sheetId="1" sqref="O941" start="0" length="0">
      <dxf>
        <border outline="0">
          <bottom style="thin">
            <color indexed="64"/>
          </bottom>
        </border>
      </dxf>
    </rfmt>
    <rfmt sheetId="1" sqref="P941" start="0" length="0">
      <dxf>
        <border outline="0">
          <bottom style="thin">
            <color indexed="64"/>
          </bottom>
        </border>
      </dxf>
    </rfmt>
    <rfmt sheetId="1" sqref="Q941" start="0" length="0">
      <dxf>
        <border outline="0">
          <bottom style="thin">
            <color indexed="64"/>
          </bottom>
        </border>
      </dxf>
    </rfmt>
    <rfmt sheetId="1" sqref="R941" start="0" length="0">
      <dxf>
        <border outline="0">
          <bottom style="thin">
            <color indexed="64"/>
          </bottom>
        </border>
      </dxf>
    </rfmt>
    <rfmt sheetId="1" sqref="S941" start="0" length="0">
      <dxf>
        <border outline="0">
          <bottom style="thin">
            <color indexed="64"/>
          </bottom>
        </border>
      </dxf>
    </rfmt>
    <rcc rId="0" sId="1">
      <nc r="AA941" t="inlineStr">
        <is>
          <t>SMI</t>
        </is>
      </nc>
    </rcc>
    <rcc rId="0" sId="1">
      <nc r="AB941" t="inlineStr">
        <is>
          <t>0</t>
        </is>
      </nc>
    </rcc>
  </rrc>
  <rrc rId="9524" sId="1" ref="A941:XFD941" action="deleteRow">
    <rfmt sheetId="1" xfDxf="1" sqref="A941:XFD941" start="0" length="0">
      <dxf>
        <border outline="0">
          <bottom style="medium">
            <color indexed="64"/>
          </bottom>
        </border>
      </dxf>
    </rfmt>
    <rcc rId="0" sId="1">
      <nc r="A941" t="inlineStr">
        <is>
          <t>Zone 4</t>
        </is>
      </nc>
    </rcc>
    <rcc rId="0" sId="1">
      <nc r="B941" t="inlineStr">
        <is>
          <t>Mold Man</t>
        </is>
      </nc>
    </rcc>
    <rcc rId="0" sId="1">
      <nc r="C941">
        <v>3.5</v>
      </nc>
    </rcc>
    <rcc rId="0" sId="1">
      <nc r="E941" t="inlineStr">
        <is>
          <t>W1030145/1</t>
        </is>
      </nc>
    </rcc>
    <rcc rId="0" sId="1">
      <nc r="F941" t="inlineStr">
        <is>
          <t>VER3/0142-0802</t>
        </is>
      </nc>
    </rcc>
    <rcc rId="0" sId="1">
      <nc r="G941" t="inlineStr">
        <is>
          <t>Encapsulated LoPro/Mac Ti, SU, 2.0</t>
        </is>
      </nc>
    </rcc>
    <rcc rId="0" sId="1">
      <nc r="H941">
        <v>304.36</v>
      </nc>
    </rcc>
    <rcc rId="0" sId="1">
      <nc r="I941">
        <v>86.96</v>
      </nc>
    </rcc>
    <rcc rId="0" sId="1">
      <nc r="J941">
        <v>60000</v>
      </nc>
    </rcc>
    <rcc rId="0" sId="1">
      <nc r="K941">
        <v>0</v>
      </nc>
    </rcc>
    <rcc rId="0" sId="1" dxf="1" numFmtId="19">
      <nc r="L941">
        <v>46227.798611111109</v>
      </nc>
      <ndxf>
        <numFmt numFmtId="164" formatCode="mm\-dd\-yyyy"/>
      </ndxf>
    </rcc>
    <rcc rId="0" sId="1" dxf="1" numFmtId="19">
      <nc r="M941">
        <v>46231.4375</v>
      </nc>
      <ndxf>
        <numFmt numFmtId="164" formatCode="mm\-dd\-yyyy"/>
      </ndxf>
    </rcc>
    <rcc rId="0" sId="1">
      <nc r="AA941" t="inlineStr">
        <is>
          <t>1</t>
        </is>
      </nc>
    </rcc>
    <rcc rId="0" sId="1">
      <nc r="AB941" t="inlineStr">
        <is>
          <t>0</t>
        </is>
      </nc>
    </rcc>
  </rrc>
  <rfmt sheetId="1" sqref="A933:XFD933" start="0" length="0">
    <dxf>
      <border>
        <bottom style="thin">
          <color indexed="64"/>
        </bottom>
      </border>
    </dxf>
  </rfmt>
  <rfmt sheetId="1" sqref="A934:XFD934">
    <dxf>
      <fill>
        <patternFill patternType="solid">
          <bgColor theme="8" tint="0.39997558519241921"/>
        </patternFill>
      </fill>
    </dxf>
  </rfmt>
  <rcc rId="9525" sId="1">
    <nc r="G934" t="inlineStr">
      <is>
        <r>
          <t>Encapsulated LoPro/Mac Ti, SU, 2.0 -</t>
        </r>
        <r>
          <rPr>
            <b/>
            <sz val="11"/>
            <color rgb="FFFF0000"/>
            <rFont val="Aptos Narrow"/>
            <family val="2"/>
          </rPr>
          <t xml:space="preserve"> </t>
        </r>
        <r>
          <rPr>
            <b/>
            <sz val="11"/>
            <color theme="6"/>
            <rFont val="Aptos Narrow"/>
            <family val="2"/>
          </rPr>
          <t>PFC Cameras</t>
        </r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948:XFD948" start="0" length="0">
    <dxf>
      <border>
        <bottom style="thin">
          <color indexed="64"/>
        </bottom>
      </border>
    </dxf>
  </rfmt>
  <rfmt sheetId="1" sqref="A955:XFD955" start="0" length="0">
    <dxf>
      <border>
        <bottom style="thin">
          <color indexed="64"/>
        </bottom>
      </border>
    </dxf>
  </rfmt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923:XFD923" start="0" length="0">
    <dxf>
      <border>
        <bottom style="thin">
          <color indexed="64"/>
        </bottom>
      </border>
    </dxf>
  </rfmt>
  <rfmt sheetId="1" sqref="A916:XFD916" start="0" length="0">
    <dxf>
      <border>
        <bottom style="thin">
          <color indexed="64"/>
        </bottom>
      </border>
    </dxf>
  </rfmt>
  <rfmt sheetId="1" sqref="A913:XFD913" start="0" length="0">
    <dxf>
      <border>
        <bottom style="thin">
          <color indexed="64"/>
        </bottom>
      </border>
    </dxf>
  </rfmt>
  <rfmt sheetId="1" sqref="A904:XFD904" start="0" length="0">
    <dxf>
      <border>
        <bottom style="thin">
          <color indexed="64"/>
        </bottom>
      </border>
    </dxf>
  </rfmt>
  <rfmt sheetId="1" sqref="A932:XFD932" start="0" length="0">
    <dxf>
      <border>
        <bottom style="thin">
          <color indexed="64"/>
        </bottom>
      </border>
    </dxf>
  </rfmt>
  <rfmt sheetId="1" sqref="A848:XFD848">
    <dxf>
      <fill>
        <patternFill patternType="solid">
          <bgColor theme="8" tint="0.39997558519241921"/>
        </patternFill>
      </fill>
    </dxf>
  </rfmt>
  <rfmt sheetId="1" sqref="A578:XFD578">
    <dxf>
      <fill>
        <patternFill>
          <bgColor theme="8" tint="0.39997558519241921"/>
        </patternFill>
      </fill>
    </dxf>
  </rfmt>
  <rrc rId="9526" sId="1" ref="A450:XFD450" action="insertRow"/>
  <rm rId="9527" sheetId="1" source="A448:XFD448" destination="A450:XFD450" sourceSheetId="1">
    <rfmt sheetId="1" xfDxf="1" sqref="A450:XFD450" start="0" length="0"/>
    <rfmt sheetId="1" sqref="L450" start="0" length="0">
      <dxf>
        <numFmt numFmtId="164" formatCode="mm\-dd\-yyyy"/>
      </dxf>
    </rfmt>
    <rfmt sheetId="1" sqref="M450" start="0" length="0">
      <dxf>
        <numFmt numFmtId="164" formatCode="mm\-dd\-yyyy"/>
      </dxf>
    </rfmt>
  </rm>
  <rrc rId="9528" sId="1" ref="A448:XFD448" action="deleteRow">
    <rfmt sheetId="1" xfDxf="1" sqref="A448:XFD448" start="0" length="0"/>
    <rfmt sheetId="1" sqref="L448" start="0" length="0">
      <dxf>
        <numFmt numFmtId="164" formatCode="mm\-dd\-yyyy"/>
      </dxf>
    </rfmt>
    <rfmt sheetId="1" sqref="M448" start="0" length="0">
      <dxf>
        <numFmt numFmtId="164" formatCode="mm\-dd\-yyyy"/>
      </dxf>
    </rfmt>
  </rrc>
  <rrc rId="9529" sId="1" ref="A451:XFD451" action="insertRow"/>
  <rm rId="9530" sheetId="1" source="A453:XFD453" destination="A451:XFD451" sourceSheetId="1">
    <rfmt sheetId="1" xfDxf="1" sqref="A451:XFD451" start="0" length="0">
      <dxf>
        <fill>
          <patternFill patternType="solid">
            <bgColor theme="0" tint="-4.9989318521683403E-2"/>
          </patternFill>
        </fill>
      </dxf>
    </rfmt>
    <rfmt sheetId="1" sqref="L451" start="0" length="0">
      <dxf>
        <numFmt numFmtId="164" formatCode="mm\-dd\-yyyy"/>
      </dxf>
    </rfmt>
    <rfmt sheetId="1" sqref="M451" start="0" length="0">
      <dxf>
        <numFmt numFmtId="164" formatCode="mm\-dd\-yyyy"/>
      </dxf>
    </rfmt>
  </rm>
  <rrc rId="9531" sId="1" ref="A453:XFD453" action="deleteRow">
    <rfmt sheetId="1" xfDxf="1" sqref="A453:XFD453" start="0" length="0"/>
    <rfmt sheetId="1" sqref="L453" start="0" length="0">
      <dxf>
        <numFmt numFmtId="164" formatCode="mm\-dd\-yyyy"/>
      </dxf>
    </rfmt>
    <rfmt sheetId="1" sqref="M453" start="0" length="0">
      <dxf>
        <numFmt numFmtId="164" formatCode="mm\-dd\-yyyy"/>
      </dxf>
    </rfmt>
  </rrc>
  <rrc rId="9532" sId="1" ref="A504:XFD504" action="insertRow"/>
  <rm rId="9533" sheetId="1" source="A506:XFD506" destination="A504:XFD504" sourceSheetId="1">
    <rfmt sheetId="1" xfDxf="1" sqref="A504:XFD504" start="0" length="0">
      <dxf>
        <fill>
          <patternFill patternType="solid">
            <bgColor theme="0" tint="-4.9989318521683403E-2"/>
          </patternFill>
        </fill>
      </dxf>
    </rfmt>
    <rfmt sheetId="1" sqref="L504" start="0" length="0">
      <dxf>
        <numFmt numFmtId="164" formatCode="mm\-dd\-yyyy"/>
      </dxf>
    </rfmt>
    <rfmt sheetId="1" sqref="M504" start="0" length="0">
      <dxf>
        <numFmt numFmtId="164" formatCode="mm\-dd\-yyyy"/>
      </dxf>
    </rfmt>
  </rm>
  <rrc rId="9534" sId="1" ref="A506:XFD506" action="deleteRow">
    <rfmt sheetId="1" xfDxf="1" sqref="A506:XFD506" start="0" length="0"/>
    <rfmt sheetId="1" sqref="L506" start="0" length="0">
      <dxf>
        <numFmt numFmtId="164" formatCode="mm\-dd\-yyyy"/>
      </dxf>
    </rfmt>
    <rfmt sheetId="1" sqref="M506" start="0" length="0">
      <dxf>
        <numFmt numFmtId="164" formatCode="mm\-dd\-yyyy"/>
      </dxf>
    </rfmt>
  </rrc>
  <rrc rId="9535" sId="1" ref="A452:XFD452" action="insertRow"/>
  <rm rId="9536" sheetId="1" source="A449:XFD449" destination="A452:XFD452" sourceSheetId="1">
    <rfmt sheetId="1" xfDxf="1" sqref="A452:XFD452" start="0" length="0"/>
    <rfmt sheetId="1" sqref="L452" start="0" length="0">
      <dxf>
        <numFmt numFmtId="164" formatCode="mm\-dd\-yyyy"/>
      </dxf>
    </rfmt>
    <rfmt sheetId="1" sqref="M452" start="0" length="0">
      <dxf>
        <numFmt numFmtId="164" formatCode="mm\-dd\-yyyy"/>
      </dxf>
    </rfmt>
  </rm>
  <rrc rId="9537" sId="1" ref="A449:XFD449" action="deleteRow">
    <rfmt sheetId="1" xfDxf="1" sqref="A449:XFD449" start="0" length="0"/>
    <rfmt sheetId="1" sqref="L449" start="0" length="0">
      <dxf>
        <numFmt numFmtId="164" formatCode="mm\-dd\-yyyy"/>
      </dxf>
    </rfmt>
    <rfmt sheetId="1" sqref="M449" start="0" length="0">
      <dxf>
        <numFmt numFmtId="164" formatCode="mm\-dd\-yyyy"/>
      </dxf>
    </rfmt>
  </rrc>
  <rrc rId="9538" sId="1" ref="A449:XFD449" action="insertRow"/>
  <rm rId="9539" sheetId="1" source="A451:XFD451" destination="A449:XFD449" sourceSheetId="1">
    <rfmt sheetId="1" xfDxf="1" sqref="A449:XFD449" start="0" length="0"/>
    <rfmt sheetId="1" sqref="L449" start="0" length="0">
      <dxf>
        <numFmt numFmtId="164" formatCode="mm\-dd\-yyyy"/>
      </dxf>
    </rfmt>
    <rfmt sheetId="1" sqref="M449" start="0" length="0">
      <dxf>
        <numFmt numFmtId="164" formatCode="mm\-dd\-yyyy"/>
      </dxf>
    </rfmt>
  </rm>
  <rrc rId="9540" sId="1" ref="A451:XFD451" action="deleteRow">
    <rfmt sheetId="1" xfDxf="1" sqref="A451:XFD451" start="0" length="0"/>
    <rfmt sheetId="1" sqref="L451" start="0" length="0">
      <dxf>
        <numFmt numFmtId="164" formatCode="mm\-dd\-yyyy"/>
      </dxf>
    </rfmt>
    <rfmt sheetId="1" sqref="M451" start="0" length="0">
      <dxf>
        <numFmt numFmtId="164" formatCode="mm\-dd\-yyyy"/>
      </dxf>
    </rfmt>
  </rrc>
  <rrc rId="9541" sId="1" ref="A451:XFD451" action="insertRow"/>
  <rm rId="9542" sheetId="1" source="A455:XFD455" destination="A451:XFD451" sourceSheetId="1">
    <rfmt sheetId="1" xfDxf="1" sqref="A451:XFD451" start="0" length="0">
      <dxf>
        <fill>
          <patternFill patternType="solid">
            <bgColor theme="0" tint="-4.9989318521683403E-2"/>
          </patternFill>
        </fill>
      </dxf>
    </rfmt>
    <rfmt sheetId="1" sqref="L451" start="0" length="0">
      <dxf>
        <numFmt numFmtId="164" formatCode="mm\-dd\-yyyy"/>
      </dxf>
    </rfmt>
    <rfmt sheetId="1" sqref="M451" start="0" length="0">
      <dxf>
        <numFmt numFmtId="164" formatCode="mm\-dd\-yyyy"/>
      </dxf>
    </rfmt>
  </rm>
  <rrc rId="9543" sId="1" ref="A455:XFD455" action="deleteRow">
    <rfmt sheetId="1" xfDxf="1" sqref="A455:XFD455" start="0" length="0"/>
    <rfmt sheetId="1" sqref="L455" start="0" length="0">
      <dxf>
        <numFmt numFmtId="164" formatCode="mm\-dd\-yyyy"/>
      </dxf>
    </rfmt>
    <rfmt sheetId="1" sqref="M455" start="0" length="0">
      <dxf>
        <numFmt numFmtId="164" formatCode="mm\-dd\-yyyy"/>
      </dxf>
    </rfmt>
  </rrc>
  <rrc rId="9544" sId="1" ref="A456:XFD456" action="insertRow"/>
  <rm rId="9545" sheetId="1" source="A452:XFD452" destination="A456:XFD456" sourceSheetId="1">
    <rfmt sheetId="1" xfDxf="1" sqref="A456:XFD456" start="0" length="0"/>
    <rfmt sheetId="1" sqref="L456" start="0" length="0">
      <dxf>
        <numFmt numFmtId="164" formatCode="mm\-dd\-yyyy"/>
      </dxf>
    </rfmt>
    <rfmt sheetId="1" sqref="M456" start="0" length="0">
      <dxf>
        <numFmt numFmtId="164" formatCode="mm\-dd\-yyyy"/>
      </dxf>
    </rfmt>
  </rm>
  <rrc rId="9546" sId="1" ref="A452:XFD452" action="deleteRow">
    <rfmt sheetId="1" xfDxf="1" sqref="A452:XFD452" start="0" length="0"/>
    <rfmt sheetId="1" sqref="L452" start="0" length="0">
      <dxf>
        <numFmt numFmtId="164" formatCode="mm\-dd\-yyyy"/>
      </dxf>
    </rfmt>
    <rfmt sheetId="1" sqref="M452" start="0" length="0">
      <dxf>
        <numFmt numFmtId="164" formatCode="mm\-dd\-yyyy"/>
      </dxf>
    </rfmt>
  </rr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547" sId="1" ref="A804:XFD804" action="insertRow"/>
  <rm rId="9548" sheetId="1" source="A806:XFD806" destination="A804:XFD804" sourceSheetId="1">
    <rfmt sheetId="1" xfDxf="1" sqref="A804:XFD804" start="0" length="0">
      <dxf/>
    </rfmt>
    <rfmt sheetId="1" sqref="L804" start="0" length="0">
      <dxf>
        <numFmt numFmtId="164" formatCode="mm\-dd\-yyyy"/>
      </dxf>
    </rfmt>
    <rfmt sheetId="1" sqref="M804" start="0" length="0">
      <dxf>
        <numFmt numFmtId="164" formatCode="mm\-dd\-yyyy"/>
      </dxf>
    </rfmt>
  </rm>
  <rrc rId="9549" sId="1" ref="A806:XFD806" action="deleteRow">
    <rfmt sheetId="1" xfDxf="1" sqref="A806:XFD806" start="0" length="0"/>
    <rfmt sheetId="1" sqref="L806" start="0" length="0">
      <dxf>
        <numFmt numFmtId="164" formatCode="mm\-dd\-yyyy"/>
      </dxf>
    </rfmt>
    <rfmt sheetId="1" sqref="M806" start="0" length="0">
      <dxf>
        <numFmt numFmtId="164" formatCode="mm\-dd\-yyyy"/>
      </dxf>
    </rfmt>
  </rrc>
  <rfmt sheetId="1" sqref="A805:XFD805" start="0" length="0">
    <dxf>
      <border>
        <bottom style="thin">
          <color indexed="64"/>
        </bottom>
      </border>
    </dxf>
  </rfmt>
  <rfmt sheetId="1" sqref="A805:XFD805" start="0" length="0">
    <dxf>
      <border>
        <top/>
      </border>
    </dxf>
  </rfmt>
  <rfmt sheetId="1" sqref="A805:XFD805" start="0" length="0">
    <dxf>
      <border>
        <bottom/>
      </border>
    </dxf>
  </rfmt>
  <rfmt sheetId="1" sqref="A805:XFD805" start="0" length="0">
    <dxf>
      <border>
        <bottom style="thin">
          <color indexed="64"/>
        </bottom>
      </border>
    </dxf>
  </rfmt>
  <rcv guid="{31B4C6D2-0335-443E-840F-0BE68859C862}" action="delete"/>
  <rcv guid="{31B4C6D2-0335-443E-840F-0BE68859C862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550" sId="1" ref="A935:XFD935" action="insertRow"/>
  <rfmt sheetId="1" sqref="A935:XFD935">
    <dxf>
      <fill>
        <patternFill patternType="none">
          <bgColor auto="1"/>
        </patternFill>
      </fill>
    </dxf>
  </rfmt>
  <rcc rId="9551" sId="1" xfDxf="1" dxf="1">
    <nc r="F935" t="inlineStr">
      <is>
        <t>VER3/0142-0976</t>
      </is>
    </nc>
  </rcc>
  <rcc rId="9552" sId="1" xfDxf="1" dxf="1">
    <nc r="G935" t="inlineStr">
      <is>
        <t>OVM7695 Encapsulated Miller PCBA</t>
      </is>
    </nc>
  </rcc>
  <rfmt sheetId="1" sqref="I935">
    <dxf>
      <border diagonalUp="0" diagonalDown="0" outline="0">
        <left/>
        <right/>
        <top/>
        <bottom/>
      </border>
    </dxf>
  </rfmt>
  <rcc rId="9553" sId="1">
    <nc r="H935">
      <f>I935*3.5</f>
    </nc>
  </rcc>
  <rcc rId="9554" sId="1">
    <nc r="E935" t="inlineStr">
      <is>
        <t>W1030321/1</t>
      </is>
    </nc>
  </rcc>
  <rfmt sheetId="1" sqref="E935">
    <dxf>
      <border diagonalUp="0" diagonalDown="0" outline="0">
        <left/>
        <right/>
        <top/>
        <bottom/>
      </border>
    </dxf>
  </rfmt>
  <rcc rId="9555" sId="1">
    <nc r="A935" t="inlineStr">
      <is>
        <t>Zone 4</t>
      </is>
    </nc>
  </rcc>
  <rcc rId="9556" sId="1">
    <nc r="B935" t="inlineStr">
      <is>
        <t>Mold Man</t>
      </is>
    </nc>
  </rcc>
  <rcc rId="9557" sId="1">
    <nc r="C935">
      <v>3.5</v>
    </nc>
  </rcc>
  <rfmt sheetId="1" sqref="J935">
    <dxf>
      <border diagonalUp="0" diagonalDown="0" outline="0">
        <left/>
        <right/>
        <top/>
        <bottom/>
      </border>
    </dxf>
  </rfmt>
  <rcc rId="9558" sId="1">
    <nc r="K935">
      <v>0</v>
    </nc>
  </rcc>
  <rfmt sheetId="1" sqref="K935">
    <dxf>
      <border diagonalUp="0" diagonalDown="0" outline="0">
        <left/>
        <right/>
        <top/>
        <bottom/>
      </border>
    </dxf>
  </rfmt>
  <rcc rId="9559" sId="1" numFmtId="19">
    <nc r="L935">
      <v>46212</v>
    </nc>
  </rcc>
  <rcc rId="9560" sId="1" numFmtId="19">
    <nc r="M935">
      <v>46212</v>
    </nc>
  </rcc>
  <rcc rId="9561" sId="1">
    <nc r="I935">
      <v>21.32</v>
    </nc>
  </rcc>
  <rcc rId="9562" sId="1">
    <nc r="J935">
      <v>4700</v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63" sId="1">
    <nc r="O267" t="inlineStr">
      <is>
        <t>P</t>
      </is>
    </nc>
  </rcc>
  <rcc rId="9564" sId="1">
    <nc r="O272" t="inlineStr">
      <is>
        <t>P</t>
      </is>
    </nc>
  </rcc>
  <rcc rId="9565" sId="1">
    <nc r="O282" t="inlineStr">
      <is>
        <t>P</t>
      </is>
    </nc>
  </rcc>
  <rcc rId="9566" sId="1">
    <nc r="O293" t="inlineStr">
      <is>
        <t>P</t>
      </is>
    </nc>
  </rcc>
  <rcc rId="9567" sId="1">
    <nc r="O255" t="inlineStr">
      <is>
        <t>P</t>
      </is>
    </nc>
  </rcc>
  <rcv guid="{18C7549D-5684-4D56-9442-4D85880122F5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293:F293" start="0" length="2147483647">
    <dxf>
      <font>
        <b/>
      </font>
    </dxf>
  </rfmt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444:XFD444">
    <dxf>
      <fill>
        <patternFill>
          <bgColor rgb="FF00B050"/>
        </patternFill>
      </fill>
    </dxf>
  </rfmt>
  <rfmt sheetId="1" sqref="A550:XFD550">
    <dxf>
      <fill>
        <patternFill>
          <bgColor rgb="FF00B050"/>
        </patternFill>
      </fill>
    </dxf>
  </rfmt>
  <rfmt sheetId="1" sqref="A549:XFD549">
    <dxf>
      <fill>
        <patternFill>
          <bgColor rgb="FF00B050"/>
        </patternFill>
      </fill>
    </dxf>
  </rfmt>
  <rrc rId="9568" sId="1" ref="A551:XFD551" action="insertRow"/>
  <rm rId="9569" sheetId="1" source="A553:XFD553" destination="A551:XFD551" sourceSheetId="1">
    <rfmt sheetId="1" xfDxf="1" sqref="A551:XFD551" start="0" length="0">
      <dxf>
        <fill>
          <patternFill patternType="solid">
            <bgColor rgb="FF00B050"/>
          </patternFill>
        </fill>
      </dxf>
    </rfmt>
    <rfmt sheetId="1" sqref="L551" start="0" length="0">
      <dxf>
        <numFmt numFmtId="164" formatCode="mm\-dd\-yyyy"/>
      </dxf>
    </rfmt>
    <rfmt sheetId="1" sqref="M551" start="0" length="0">
      <dxf>
        <numFmt numFmtId="164" formatCode="mm\-dd\-yyyy"/>
      </dxf>
    </rfmt>
  </rm>
  <rrc rId="9570" sId="1" ref="A553:XFD553" action="deleteRow">
    <rfmt sheetId="1" xfDxf="1" sqref="A553:XFD553" start="0" length="0"/>
    <rfmt sheetId="1" sqref="L553" start="0" length="0">
      <dxf>
        <numFmt numFmtId="164" formatCode="mm\-dd\-yyyy"/>
      </dxf>
    </rfmt>
    <rfmt sheetId="1" sqref="M553" start="0" length="0">
      <dxf>
        <numFmt numFmtId="164" formatCode="mm\-dd\-yyyy"/>
      </dxf>
    </rfmt>
  </rrc>
  <rrc rId="9571" sId="1" ref="A552:XFD552" action="insertRow"/>
  <rm rId="9572" sheetId="1" source="A548:XFD548" destination="A552:XFD552" sourceSheetId="1">
    <rfmt sheetId="1" xfDxf="1" sqref="A552:XFD552" start="0" length="0"/>
    <rfmt sheetId="1" sqref="L552" start="0" length="0">
      <dxf>
        <numFmt numFmtId="164" formatCode="mm\-dd\-yyyy"/>
      </dxf>
    </rfmt>
    <rfmt sheetId="1" sqref="M552" start="0" length="0">
      <dxf>
        <numFmt numFmtId="164" formatCode="mm\-dd\-yyyy"/>
      </dxf>
    </rfmt>
  </rm>
  <rrc rId="9573" sId="1" ref="A548:XFD548" action="deleteRow">
    <rfmt sheetId="1" xfDxf="1" sqref="A548:XFD548" start="0" length="0"/>
    <rfmt sheetId="1" sqref="L548" start="0" length="0">
      <dxf>
        <numFmt numFmtId="164" formatCode="mm\-dd\-yyyy"/>
      </dxf>
    </rfmt>
    <rfmt sheetId="1" sqref="M548" start="0" length="0">
      <dxf>
        <numFmt numFmtId="164" formatCode="mm\-dd\-yyyy"/>
      </dxf>
    </rfmt>
  </rrc>
  <rfmt sheetId="1" sqref="A551:XFD551">
    <dxf>
      <fill>
        <patternFill patternType="none">
          <bgColor auto="1"/>
        </patternFill>
      </fill>
    </dxf>
  </rfmt>
  <rfmt sheetId="1" sqref="E550:O550">
    <dxf>
      <fill>
        <patternFill patternType="solid">
          <bgColor theme="8" tint="0.39997558519241921"/>
        </patternFill>
      </fill>
    </dxf>
  </rfmt>
  <rcv guid="{5E43336C-C4AC-4860-9F15-9A8E94A38B84}" action="add"/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574" sId="1" ref="A548:XFD548" action="deleteRow">
    <rfmt sheetId="1" xfDxf="1" sqref="A548:XFD548" start="0" length="0">
      <dxf>
        <fill>
          <patternFill patternType="solid">
            <bgColor rgb="FF00B050"/>
          </patternFill>
        </fill>
      </dxf>
    </rfmt>
    <rcc rId="0" sId="1">
      <nc r="A548" t="inlineStr">
        <is>
          <t>Zone 3</t>
        </is>
      </nc>
    </rcc>
    <rcc rId="0" sId="1">
      <nc r="B548" t="inlineStr">
        <is>
          <t>Lopro QC S4</t>
        </is>
      </nc>
    </rcc>
    <rcc rId="0" sId="1">
      <nc r="C548">
        <v>5.5</v>
      </nc>
    </rcc>
    <rcc rId="0" sId="1">
      <nc r="D548" t="inlineStr">
        <is>
          <t>24-015</t>
        </is>
      </nc>
    </rcc>
    <rcc rId="0" sId="1">
      <nc r="E548" t="inlineStr">
        <is>
          <t>W1029429/Cel</t>
        </is>
      </nc>
    </rcc>
    <rcc rId="0" sId="1">
      <nc r="F548" t="inlineStr">
        <is>
          <t>VER1/0270-1084</t>
        </is>
      </nc>
    </rcc>
    <rcc rId="0" sId="1">
      <nc r="G548" t="inlineStr">
        <is>
          <t>Spectrum QC HA S4</t>
        </is>
      </nc>
    </rcc>
    <rcc rId="0" sId="1">
      <nc r="H548">
        <v>2.5299999999999998</v>
      </nc>
    </rcc>
    <rcc rId="0" sId="1">
      <nc r="I548">
        <v>0.1</v>
      </nc>
    </rcc>
    <rcc rId="0" sId="1">
      <nc r="J548">
        <v>10.199999999999999</v>
      </nc>
    </rcc>
    <rcc rId="0" sId="1">
      <nc r="K548">
        <v>8</v>
      </nc>
    </rcc>
    <rcc rId="0" sId="1" dxf="1" numFmtId="19">
      <nc r="L548">
        <v>46208.958333333336</v>
      </nc>
      <ndxf>
        <numFmt numFmtId="164" formatCode="mm\-dd\-yyyy"/>
      </ndxf>
    </rcc>
    <rcc rId="0" sId="1" dxf="1" numFmtId="19">
      <nc r="M548">
        <v>46208.958333333336</v>
      </nc>
      <ndxf>
        <numFmt numFmtId="164" formatCode="mm\-dd\-yyyy"/>
      </ndxf>
    </rcc>
    <rcc rId="0" sId="1">
      <nc r="O548" t="inlineStr">
        <is>
          <t>P</t>
        </is>
      </nc>
    </rcc>
    <rcc rId="0" sId="1">
      <nc r="AA548" t="inlineStr">
        <is>
          <t>Cel</t>
        </is>
      </nc>
    </rcc>
    <rcc rId="0" sId="1">
      <nc r="AB548" t="inlineStr">
        <is>
          <t>0</t>
        </is>
      </nc>
    </rcc>
  </rrc>
  <rrc rId="9575" sId="1" ref="A548:XFD548" action="deleteRow">
    <rfmt sheetId="1" xfDxf="1" sqref="A548:XFD548" start="0" length="0">
      <dxf>
        <fill>
          <patternFill patternType="solid">
            <bgColor rgb="FF00B050"/>
          </patternFill>
        </fill>
      </dxf>
    </rfmt>
    <rcc rId="0" sId="1">
      <nc r="A548" t="inlineStr">
        <is>
          <t>Zone 3</t>
        </is>
      </nc>
    </rcc>
    <rcc rId="0" sId="1">
      <nc r="B548" t="inlineStr">
        <is>
          <t>Lopro QC S4</t>
        </is>
      </nc>
    </rcc>
    <rcc rId="0" sId="1">
      <nc r="C548">
        <v>5.5</v>
      </nc>
    </rcc>
    <rcc rId="0" sId="1">
      <nc r="D548" t="inlineStr">
        <is>
          <t>24-015</t>
        </is>
      </nc>
    </rcc>
    <rcc rId="0" sId="1">
      <nc r="E548" t="inlineStr">
        <is>
          <t>W1029430/SMI</t>
        </is>
      </nc>
    </rcc>
    <rcc rId="0" sId="1">
      <nc r="F548" t="inlineStr">
        <is>
          <t>VER1/0270-1084</t>
        </is>
      </nc>
    </rcc>
    <rcc rId="0" sId="1">
      <nc r="G548" t="inlineStr">
        <is>
          <t>Spectrum QC HA S4</t>
        </is>
      </nc>
    </rcc>
    <rcc rId="0" sId="1">
      <nc r="H548">
        <v>2.5299999999999998</v>
      </nc>
    </rcc>
    <rcc rId="0" sId="1">
      <nc r="I548">
        <v>0.46</v>
      </nc>
    </rcc>
    <rcc rId="0" sId="1">
      <nc r="J548">
        <v>10.199999999999999</v>
      </nc>
    </rcc>
    <rcc rId="0" sId="1">
      <nc r="K548">
        <v>0</v>
      </nc>
    </rcc>
    <rcc rId="0" sId="1" dxf="1" numFmtId="19">
      <nc r="L548">
        <v>46210.159722222219</v>
      </nc>
      <ndxf>
        <numFmt numFmtId="164" formatCode="mm\-dd\-yyyy"/>
      </ndxf>
    </rcc>
    <rcc rId="0" sId="1" dxf="1" numFmtId="19">
      <nc r="M548">
        <v>46210.194444444445</v>
      </nc>
      <ndxf>
        <numFmt numFmtId="164" formatCode="mm\-dd\-yyyy"/>
      </ndxf>
    </rcc>
    <rcc rId="0" sId="1">
      <nc r="O548" t="inlineStr">
        <is>
          <t>P</t>
        </is>
      </nc>
    </rcc>
    <rcc rId="0" sId="1">
      <nc r="AA548" t="inlineStr">
        <is>
          <t>SMI</t>
        </is>
      </nc>
    </rcc>
    <rcc rId="0" sId="1">
      <nc r="AB548" t="inlineStr">
        <is>
          <t>0</t>
        </is>
      </nc>
    </rcc>
  </rrc>
  <rrc rId="9576" sId="1" ref="A599:XFD599" action="insertRow"/>
  <rm rId="9577" sheetId="1" source="A601:XFD601" destination="A599:XFD599" sourceSheetId="1">
    <rfmt sheetId="1" xfDxf="1" sqref="A599:XFD599" start="0" length="0">
      <dxf/>
    </rfmt>
    <rfmt sheetId="1" sqref="L599" start="0" length="0">
      <dxf>
        <numFmt numFmtId="164" formatCode="mm\-dd\-yyyy"/>
      </dxf>
    </rfmt>
    <rfmt sheetId="1" sqref="M599" start="0" length="0">
      <dxf>
        <numFmt numFmtId="164" formatCode="mm\-dd\-yyyy"/>
      </dxf>
    </rfmt>
  </rm>
  <rrc rId="9578" sId="1" ref="A601:XFD601" action="deleteRow">
    <rfmt sheetId="1" xfDxf="1" sqref="A601:XFD601" start="0" length="0"/>
    <rfmt sheetId="1" sqref="L601" start="0" length="0">
      <dxf>
        <numFmt numFmtId="164" formatCode="mm\-dd\-yyyy"/>
      </dxf>
    </rfmt>
    <rfmt sheetId="1" sqref="M601" start="0" length="0">
      <dxf>
        <numFmt numFmtId="164" formatCode="mm\-dd\-yyyy"/>
      </dxf>
    </rfmt>
  </rrc>
  <rfmt sheetId="1" sqref="A599:XFD599">
    <dxf>
      <fill>
        <patternFill patternType="solid">
          <bgColor theme="8" tint="0.39997558519241921"/>
        </patternFill>
      </fill>
    </dxf>
  </rfmt>
  <rfmt sheetId="1" sqref="A600:XFD600">
    <dxf>
      <fill>
        <patternFill patternType="none">
          <bgColor auto="1"/>
        </patternFill>
      </fill>
    </dxf>
  </rfmt>
  <rfmt sheetId="1" sqref="A548:XFD548">
    <dxf>
      <fill>
        <patternFill>
          <bgColor theme="8" tint="0.39997558519241921"/>
        </patternFill>
      </fill>
    </dxf>
  </rfmt>
  <rrc rId="9579" sId="1" ref="A444:XFD444" action="deleteRow">
    <rfmt sheetId="1" xfDxf="1" sqref="A444:XFD444" start="0" length="0">
      <dxf>
        <fill>
          <patternFill patternType="solid">
            <bgColor rgb="FF00B050"/>
          </patternFill>
        </fill>
      </dxf>
    </rfmt>
    <rcc rId="0" sId="1">
      <nc r="A444" t="inlineStr">
        <is>
          <t>Zone 3</t>
        </is>
      </nc>
    </rcc>
    <rcc rId="0" sId="1">
      <nc r="B444" t="inlineStr">
        <is>
          <t>Lopro HDMI Mix</t>
        </is>
      </nc>
    </rcc>
    <rcc rId="0" sId="1">
      <nc r="C444">
        <v>4</v>
      </nc>
    </rcc>
    <rcc rId="0" sId="1">
      <nc r="E444" t="inlineStr">
        <is>
          <t>W1029483/Cel</t>
        </is>
      </nc>
    </rcc>
    <rcc rId="0" sId="1">
      <nc r="F444" t="inlineStr">
        <is>
          <t>VER1/0270-1135</t>
        </is>
      </nc>
    </rcc>
    <rcc rId="0" sId="1">
      <nc r="G444" t="inlineStr">
        <is>
          <t>Spectrum QC Mac S2</t>
        </is>
      </nc>
    </rcc>
    <rcc rId="0" sId="1">
      <nc r="H444">
        <v>1.4</v>
      </nc>
    </rcc>
    <rcc rId="0" sId="1">
      <nc r="I444">
        <v>0.35</v>
      </nc>
    </rcc>
    <rcc rId="0" sId="1">
      <nc r="J444">
        <v>4.2</v>
      </nc>
    </rcc>
    <rcc rId="0" sId="1">
      <nc r="K444">
        <v>0</v>
      </nc>
    </rcc>
    <rcc rId="0" sId="1" dxf="1" numFmtId="19">
      <nc r="L444">
        <v>46208.958333333336</v>
      </nc>
      <ndxf>
        <numFmt numFmtId="164" formatCode="mm\-dd\-yyyy"/>
      </ndxf>
    </rcc>
    <rcc rId="0" sId="1" dxf="1" numFmtId="19">
      <nc r="M444">
        <v>46208.993055555555</v>
      </nc>
      <ndxf>
        <numFmt numFmtId="164" formatCode="mm\-dd\-yyyy"/>
      </ndxf>
    </rcc>
    <rcc rId="0" sId="1">
      <nc r="AA444" t="inlineStr">
        <is>
          <t>Cel</t>
        </is>
      </nc>
    </rcc>
    <rcc rId="0" sId="1">
      <nc r="AB444" t="inlineStr">
        <is>
          <t>0</t>
        </is>
      </nc>
    </rcc>
  </rrc>
  <rcv guid="{31B4C6D2-0335-443E-840F-0BE68859C862}" action="delete"/>
  <rcv guid="{31B4C6D2-0335-443E-840F-0BE68859C862}" action="add"/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580" sId="1" ref="A598:XFD598" action="insertRow"/>
  <rm rId="9581" sheetId="1" source="A600:XFD600" destination="A598:XFD598" sourceSheetId="1">
    <rfmt sheetId="1" xfDxf="1" sqref="A598:XFD598" start="0" length="0">
      <dxf/>
    </rfmt>
    <rfmt sheetId="1" sqref="L598" start="0" length="0">
      <dxf>
        <numFmt numFmtId="164" formatCode="mm\-dd\-yyyy"/>
      </dxf>
    </rfmt>
    <rfmt sheetId="1" sqref="M598" start="0" length="0">
      <dxf>
        <numFmt numFmtId="164" formatCode="mm\-dd\-yyyy"/>
      </dxf>
    </rfmt>
  </rm>
  <rrc rId="9582" sId="1" ref="A600:XFD600" action="deleteRow">
    <rfmt sheetId="1" xfDxf="1" sqref="A600:XFD600" start="0" length="0"/>
    <rfmt sheetId="1" sqref="L600" start="0" length="0">
      <dxf>
        <numFmt numFmtId="164" formatCode="mm\-dd\-yyyy"/>
      </dxf>
    </rfmt>
    <rfmt sheetId="1" sqref="M600" start="0" length="0">
      <dxf>
        <numFmt numFmtId="164" formatCode="mm\-dd\-yyyy"/>
      </dxf>
    </rfmt>
  </rrc>
  <rfmt sheetId="1" sqref="A599:XFD599">
    <dxf>
      <fill>
        <patternFill patternType="none">
          <bgColor auto="1"/>
        </patternFill>
      </fill>
    </dxf>
  </rfmt>
  <rfmt sheetId="1" sqref="A598:XFD598">
    <dxf>
      <fill>
        <patternFill patternType="solid">
          <bgColor theme="8" tint="0.39997558519241921"/>
        </patternFill>
      </fill>
    </dxf>
  </rfmt>
  <rfmt sheetId="1" sqref="E483:G483">
    <dxf>
      <fill>
        <patternFill patternType="solid">
          <bgColor theme="5" tint="0.39997558519241921"/>
        </patternFill>
      </fill>
    </dxf>
  </rfmt>
  <rcc rId="9583" sId="1">
    <oc r="G483" t="inlineStr">
      <is>
        <t>QC ECO ,MAC S4, NS, GS SPECTRUM BOX-10</t>
      </is>
    </oc>
    <nc r="G483" t="inlineStr">
      <is>
        <r>
          <t xml:space="preserve">QC ECO ,MAC S4, NS, GS SPECTRUM BOX-10 - </t>
        </r>
        <r>
          <rPr>
            <b/>
            <sz val="11"/>
            <color rgb="FFFF0000"/>
            <rFont val="Aptos Narrow"/>
            <family val="2"/>
          </rPr>
          <t>MIPI Cameras</t>
        </r>
      </is>
    </nc>
  </rcc>
  <rfmt sheetId="1" sqref="A522:XFD522">
    <dxf>
      <fill>
        <patternFill patternType="solid">
          <bgColor theme="5" tint="0.39997558519241921"/>
        </patternFill>
      </fill>
    </dxf>
  </rfmt>
  <rfmt sheetId="1" sqref="A552:XFD552">
    <dxf>
      <fill>
        <patternFill patternType="solid">
          <bgColor theme="5" tint="0.39997558519241921"/>
        </patternFill>
      </fill>
    </dxf>
  </rfmt>
  <rfmt sheetId="1" sqref="A464:XFD464">
    <dxf>
      <fill>
        <patternFill patternType="solid">
          <bgColor theme="5" tint="0.39997558519241921"/>
        </patternFill>
      </fill>
    </dxf>
  </rfmt>
  <rcc rId="9584" sId="1">
    <oc r="G503" t="inlineStr">
      <is>
        <t>QC ECO ,HA S2.5, NS, GS SPECTRUM BOX-10</t>
      </is>
    </oc>
    <nc r="G503" t="inlineStr">
      <is>
        <r>
          <t xml:space="preserve">QC ECO ,HA S2.5, NS, GS SPECTRUM BOX-10 - </t>
        </r>
        <r>
          <rPr>
            <b/>
            <sz val="11"/>
            <color rgb="FFFF0000"/>
            <rFont val="Aptos Narrow"/>
            <family val="2"/>
          </rPr>
          <t>MIPI Cameras</t>
        </r>
      </is>
    </nc>
  </rcc>
  <rfmt sheetId="1" sqref="A503:XFD503">
    <dxf>
      <fill>
        <patternFill patternType="solid">
          <bgColor theme="5" tint="0.39997558519241921"/>
        </patternFill>
      </fill>
    </dxf>
  </rfmt>
  <rcc rId="9585" sId="1">
    <oc r="G522" t="inlineStr">
      <is>
        <t>Spectrum QC HA S3</t>
      </is>
    </oc>
    <nc r="G522" t="inlineStr">
      <is>
        <r>
          <t xml:space="preserve">Spectrum QC HA S3 - </t>
        </r>
        <r>
          <rPr>
            <b/>
            <sz val="11"/>
            <color rgb="FFFF0000"/>
            <rFont val="Aptos Narrow"/>
            <family val="2"/>
          </rPr>
          <t>MIPI Cameras</t>
        </r>
      </is>
    </nc>
  </rcc>
  <rfmt sheetId="1" sqref="A503:XFD503">
    <dxf>
      <fill>
        <patternFill patternType="none">
          <bgColor auto="1"/>
        </patternFill>
      </fill>
    </dxf>
  </rfmt>
  <rfmt sheetId="1" sqref="E503:G503">
    <dxf>
      <fill>
        <patternFill patternType="solid">
          <bgColor theme="5" tint="0.39997558519241921"/>
        </patternFill>
      </fill>
    </dxf>
  </rfmt>
  <rfmt sheetId="1" sqref="A522:XFD522">
    <dxf>
      <fill>
        <patternFill patternType="none">
          <bgColor auto="1"/>
        </patternFill>
      </fill>
    </dxf>
  </rfmt>
  <rfmt sheetId="1" sqref="E522:J522">
    <dxf>
      <fill>
        <patternFill patternType="solid">
          <bgColor theme="5" tint="0.39997558519241921"/>
        </patternFill>
      </fill>
    </dxf>
  </rfmt>
  <rfmt sheetId="1" sqref="A552:XFD552">
    <dxf>
      <fill>
        <patternFill patternType="none">
          <bgColor auto="1"/>
        </patternFill>
      </fill>
    </dxf>
  </rfmt>
  <rfmt sheetId="1" sqref="E552:J552">
    <dxf>
      <fill>
        <patternFill patternType="solid">
          <bgColor theme="5" tint="0.39997558519241921"/>
        </patternFill>
      </fill>
    </dxf>
  </rfmt>
  <rcc rId="9586" sId="1">
    <oc r="G603" t="inlineStr">
      <is>
        <t>QC ECO, MAC S2, NS, GS SPECTRUM BOX-10</t>
      </is>
    </oc>
    <nc r="G603" t="inlineStr">
      <is>
        <r>
          <t xml:space="preserve">QC ECO, MAC S2, NS, GS SPECTRUM BOX-10 - </t>
        </r>
        <r>
          <rPr>
            <b/>
            <sz val="11"/>
            <color rgb="FFFF0000"/>
            <rFont val="Aptos Narrow"/>
            <family val="2"/>
          </rPr>
          <t>MIPI Cameras</t>
        </r>
      </is>
    </nc>
  </rcc>
  <rfmt sheetId="1" sqref="E603:J603">
    <dxf>
      <fill>
        <patternFill patternType="solid">
          <bgColor theme="5" tint="0.39997558519241921"/>
        </patternFill>
      </fill>
    </dxf>
  </rfmt>
  <rfmt sheetId="1" sqref="H603:J603">
    <dxf>
      <fill>
        <patternFill patternType="none">
          <bgColor auto="1"/>
        </patternFill>
      </fill>
    </dxf>
  </rfmt>
  <rfmt sheetId="1" sqref="A464:XFD464">
    <dxf>
      <fill>
        <patternFill patternType="none">
          <bgColor auto="1"/>
        </patternFill>
      </fill>
    </dxf>
  </rfmt>
  <rfmt sheetId="1" sqref="E464:G464">
    <dxf>
      <fill>
        <patternFill patternType="solid">
          <bgColor theme="5" tint="0.39997558519241921"/>
        </patternFill>
      </fill>
    </dxf>
  </rfmt>
  <rfmt sheetId="1" sqref="H522:J522">
    <dxf>
      <fill>
        <patternFill patternType="none">
          <bgColor auto="1"/>
        </patternFill>
      </fill>
    </dxf>
  </rfmt>
  <rfmt sheetId="1" sqref="H552:J552">
    <dxf>
      <fill>
        <patternFill patternType="none">
          <bgColor auto="1"/>
        </patternFill>
      </fill>
    </dxf>
  </rfmt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587" sId="1">
    <oc r="G464" t="inlineStr">
      <is>
        <t>QC ECO ,MAC S3, NS, GS SPECTRUM BOX-10</t>
      </is>
    </oc>
    <nc r="G464" t="inlineStr">
      <is>
        <r>
          <t xml:space="preserve">QC ECO ,MAC S3, NS, GS SPECTRUM BOX-10- </t>
        </r>
        <r>
          <rPr>
            <b/>
            <sz val="11"/>
            <color rgb="FFFF0000"/>
            <rFont val="Aptos Narrow"/>
            <family val="2"/>
          </rPr>
          <t>MIPI Cameras</t>
        </r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58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  <rfmt sheetId="1" sqref="N76" start="0" length="0">
      <dxf>
        <border outline="0">
          <bottom style="medium">
            <color indexed="64"/>
          </bottom>
        </border>
      </dxf>
    </rfmt>
    <rfmt sheetId="1" sqref="O76" start="0" length="0">
      <dxf>
        <border outline="0">
          <bottom style="medium">
            <color indexed="64"/>
          </bottom>
        </border>
      </dxf>
    </rfmt>
    <rfmt sheetId="1" sqref="P76" start="0" length="0">
      <dxf>
        <border outline="0">
          <bottom style="medium">
            <color indexed="64"/>
          </bottom>
        </border>
      </dxf>
    </rfmt>
    <rfmt sheetId="1" sqref="Q76" start="0" length="0">
      <dxf>
        <border outline="0">
          <bottom style="medium">
            <color indexed="64"/>
          </bottom>
        </border>
      </dxf>
    </rfmt>
    <rfmt sheetId="1" sqref="R76" start="0" length="0">
      <dxf>
        <border outline="0">
          <bottom style="medium">
            <color indexed="64"/>
          </bottom>
        </border>
      </dxf>
    </rfmt>
    <rfmt sheetId="1" sqref="S76" start="0" length="0">
      <dxf>
        <border outline="0">
          <bottom style="medium">
            <color indexed="64"/>
          </bottom>
        </border>
      </dxf>
    </rfmt>
  </rrc>
  <rrc rId="9589" sId="1" ref="A76:XFD76" action="deleteRow">
    <rfmt sheetId="1" xfDxf="1" sqref="A76:XFD76" start="0" length="0"/>
  </rrc>
  <rrc rId="9590" sId="1" ref="A76:XFD76" action="deleteRow">
    <rfmt sheetId="1" xfDxf="1" sqref="A76:XFD76" start="0" length="0"/>
  </rrc>
  <rrc rId="9591" sId="1" ref="A76:XFD76" action="deleteRow">
    <rfmt sheetId="1" xfDxf="1" sqref="A76:XFD76" start="0" length="0"/>
  </rrc>
  <rrc rId="9592" sId="1" ref="A76:XFD76" action="deleteRow">
    <rfmt sheetId="1" xfDxf="1" sqref="A76:XFD76" start="0" length="0"/>
  </rrc>
  <rrc rId="959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59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59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59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59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59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59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0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0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0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0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0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0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0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0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0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0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1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1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1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1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1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1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1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1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1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1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2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2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2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2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2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2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2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2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2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2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3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3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3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3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3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3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3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3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3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3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4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4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4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4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4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4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4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4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4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4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5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5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5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5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5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5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5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5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5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5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6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6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6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6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6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6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6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6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6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6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7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7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7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7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7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7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7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7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7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7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8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8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8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8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8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8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8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8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8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8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9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9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9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9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9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9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9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9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9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69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0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0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0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0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0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0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0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0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0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0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1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1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1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1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1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1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1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1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1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1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2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2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2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2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2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2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2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2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2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2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3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3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3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3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3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3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36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37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38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39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40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41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42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43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44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45" sId="1" ref="A76:XFD76" action="deleteRow">
    <rfmt sheetId="1" xfDxf="1" sqref="A76:XFD76" start="0" length="0"/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  <rrc rId="9746" sId="1" ref="A76:XFD76" action="deleteRow">
    <rfmt sheetId="1" xfDxf="1" sqref="A76:XFD76" start="0" length="0">
      <dxf>
        <border outline="0">
          <bottom style="medium">
            <color indexed="64"/>
          </bottom>
        </border>
      </dxf>
    </rfmt>
    <rfmt sheetId="1" sqref="L76" start="0" length="0">
      <dxf>
        <numFmt numFmtId="164" formatCode="mm\-dd\-yyyy"/>
      </dxf>
    </rfmt>
    <rfmt sheetId="1" sqref="M76" start="0" length="0">
      <dxf>
        <numFmt numFmtId="164" formatCode="mm\-dd\-yyyy"/>
      </dxf>
    </rfmt>
  </rr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47" sId="1" ref="A814:XFD814" action="deleteRow">
    <rfmt sheetId="1" xfDxf="1" sqref="A814:XFD814" start="0" length="0"/>
    <rcc rId="0" sId="1">
      <nc r="A814" t="inlineStr">
        <is>
          <t>Zone 4</t>
        </is>
      </nc>
    </rcc>
    <rcc rId="0" sId="1">
      <nc r="B814" t="inlineStr">
        <is>
          <t>Thermoformer-OM</t>
        </is>
      </nc>
    </rcc>
    <rcc rId="0" sId="1">
      <nc r="C814">
        <v>1</v>
      </nc>
    </rcc>
    <rcc rId="0" sId="1">
      <nc r="D814" t="inlineStr">
        <is>
          <t>21-019</t>
        </is>
      </nc>
    </rcc>
    <rcc rId="0" sId="1">
      <nc r="E814" t="inlineStr">
        <is>
          <t>W1026061/1</t>
        </is>
      </nc>
    </rcc>
    <rcc rId="0" sId="1">
      <nc r="F814" t="inlineStr">
        <is>
          <t>SMI3/2129-PG-02</t>
        </is>
      </nc>
    </rcc>
    <rcc rId="0" sId="1">
      <nc r="G814" t="inlineStr">
        <is>
          <t>OM Support Shell</t>
        </is>
      </nc>
    </rcc>
    <rcc rId="0" sId="1">
      <nc r="H814">
        <v>2.72</v>
      </nc>
    </rcc>
    <rcc rId="0" sId="1">
      <nc r="I814">
        <v>2.72</v>
      </nc>
    </rcc>
    <rcc rId="0" sId="1">
      <nc r="J814">
        <v>40500</v>
      </nc>
    </rcc>
    <rcc rId="0" sId="1">
      <nc r="K814">
        <v>0</v>
      </nc>
    </rcc>
    <rcc rId="0" sId="1" dxf="1" numFmtId="19">
      <nc r="L814">
        <v>46211.215277777781</v>
      </nc>
      <ndxf>
        <numFmt numFmtId="164" formatCode="mm\-dd\-yyyy"/>
      </ndxf>
    </rcc>
    <rcc rId="0" sId="1" dxf="1" numFmtId="19">
      <nc r="M814">
        <v>46211.659722222219</v>
      </nc>
      <ndxf>
        <numFmt numFmtId="164" formatCode="mm\-dd\-yyyy"/>
      </ndxf>
    </rcc>
    <rcc rId="0" sId="1">
      <nc r="AA814" t="inlineStr">
        <is>
          <t>1</t>
        </is>
      </nc>
    </rcc>
    <rcc rId="0" sId="1">
      <nc r="AB814" t="inlineStr">
        <is>
          <t>0</t>
        </is>
      </nc>
    </rcc>
  </rrc>
  <rrc rId="9748" sId="1" ref="A812:XFD812" action="deleteRow">
    <rfmt sheetId="1" xfDxf="1" sqref="A812:XFD812" start="0" length="0"/>
    <rcc rId="0" sId="1">
      <nc r="A812" t="inlineStr">
        <is>
          <t>Zone 4</t>
        </is>
      </nc>
    </rcc>
    <rcc rId="0" sId="1">
      <nc r="B812" t="inlineStr">
        <is>
          <t>Thermoformer-OM</t>
        </is>
      </nc>
    </rcc>
    <rcc rId="0" sId="1">
      <nc r="C812">
        <v>1</v>
      </nc>
    </rcc>
    <rcc rId="0" sId="1">
      <nc r="D812" t="inlineStr">
        <is>
          <t>21-019</t>
        </is>
      </nc>
    </rcc>
    <rcc rId="0" sId="1">
      <nc r="E812" t="inlineStr">
        <is>
          <t>W1026060/1</t>
        </is>
      </nc>
    </rcc>
    <rcc rId="0" sId="1">
      <nc r="F812" t="inlineStr">
        <is>
          <t>SMI3/2129-PG-02</t>
        </is>
      </nc>
    </rcc>
    <rcc rId="0" sId="1">
      <nc r="G812" t="inlineStr">
        <is>
          <t>OM Support Shell</t>
        </is>
      </nc>
    </rcc>
    <rcc rId="0" sId="1">
      <nc r="H812">
        <v>2.72</v>
      </nc>
    </rcc>
    <rcc rId="0" sId="1">
      <nc r="I812">
        <v>2.72</v>
      </nc>
    </rcc>
    <rcc rId="0" sId="1">
      <nc r="J812">
        <v>40500</v>
      </nc>
    </rcc>
    <rcc rId="0" sId="1">
      <nc r="K812">
        <v>0</v>
      </nc>
    </rcc>
    <rcc rId="0" sId="1" dxf="1" numFmtId="19">
      <nc r="L812">
        <v>46210.763888888891</v>
      </nc>
      <ndxf>
        <numFmt numFmtId="164" formatCode="mm\-dd\-yyyy"/>
      </ndxf>
    </rcc>
    <rcc rId="0" sId="1" dxf="1" numFmtId="19">
      <nc r="M812">
        <v>46211.208333333336</v>
      </nc>
      <ndxf>
        <numFmt numFmtId="164" formatCode="mm\-dd\-yyyy"/>
      </ndxf>
    </rcc>
    <rcc rId="0" sId="1">
      <nc r="AA812" t="inlineStr">
        <is>
          <t>1</t>
        </is>
      </nc>
    </rcc>
    <rcc rId="0" sId="1">
      <nc r="AB812" t="inlineStr">
        <is>
          <t>0</t>
        </is>
      </nc>
    </rcc>
  </rrc>
  <rrc rId="9749" sId="1" ref="A810:XFD810" action="deleteRow">
    <rfmt sheetId="1" xfDxf="1" sqref="A810:XFD810" start="0" length="0"/>
    <rcc rId="0" sId="1">
      <nc r="A810" t="inlineStr">
        <is>
          <t>Zone 4</t>
        </is>
      </nc>
    </rcc>
    <rcc rId="0" sId="1">
      <nc r="B810" t="inlineStr">
        <is>
          <t>Thermoformer-OM</t>
        </is>
      </nc>
    </rcc>
    <rcc rId="0" sId="1">
      <nc r="C810">
        <v>1</v>
      </nc>
    </rcc>
    <rcc rId="0" sId="1">
      <nc r="D810" t="inlineStr">
        <is>
          <t>21-019</t>
        </is>
      </nc>
    </rcc>
    <rcc rId="0" sId="1">
      <nc r="E810" t="inlineStr">
        <is>
          <t>W1026059/1</t>
        </is>
      </nc>
    </rcc>
    <rcc rId="0" sId="1">
      <nc r="F810" t="inlineStr">
        <is>
          <t>SMI3/2129-PG-02</t>
        </is>
      </nc>
    </rcc>
    <rcc rId="0" sId="1">
      <nc r="G810" t="inlineStr">
        <is>
          <t>OM Support Shell</t>
        </is>
      </nc>
    </rcc>
    <rcc rId="0" sId="1">
      <nc r="H810">
        <v>2.72</v>
      </nc>
    </rcc>
    <rcc rId="0" sId="1">
      <nc r="I810">
        <v>2.72</v>
      </nc>
    </rcc>
    <rcc rId="0" sId="1">
      <nc r="J810">
        <v>40500</v>
      </nc>
    </rcc>
    <rcc rId="0" sId="1">
      <nc r="K810">
        <v>0</v>
      </nc>
    </rcc>
    <rcc rId="0" sId="1" dxf="1" numFmtId="19">
      <nc r="L810">
        <v>46210.3125</v>
      </nc>
      <ndxf>
        <numFmt numFmtId="164" formatCode="mm\-dd\-yyyy"/>
      </ndxf>
    </rcc>
    <rcc rId="0" sId="1" dxf="1" numFmtId="19">
      <nc r="M810">
        <v>46210.756944444445</v>
      </nc>
      <ndxf>
        <numFmt numFmtId="164" formatCode="mm\-dd\-yyyy"/>
      </ndxf>
    </rcc>
    <rcc rId="0" sId="1">
      <nc r="AA810" t="inlineStr">
        <is>
          <t>1</t>
        </is>
      </nc>
    </rcc>
    <rcc rId="0" sId="1">
      <nc r="AB810" t="inlineStr">
        <is>
          <t>0</t>
        </is>
      </nc>
    </rcc>
  </rrc>
  <rrc rId="9750" sId="1" ref="A808:XFD808" action="deleteRow">
    <rfmt sheetId="1" xfDxf="1" sqref="A808:XFD808" start="0" length="0"/>
    <rcc rId="0" sId="1">
      <nc r="A808" t="inlineStr">
        <is>
          <t>Zone 4</t>
        </is>
      </nc>
    </rcc>
    <rcc rId="0" sId="1">
      <nc r="B808" t="inlineStr">
        <is>
          <t>Thermoformer-OM</t>
        </is>
      </nc>
    </rcc>
    <rcc rId="0" sId="1">
      <nc r="C808">
        <v>1</v>
      </nc>
    </rcc>
    <rcc rId="0" sId="1">
      <nc r="D808" t="inlineStr">
        <is>
          <t>21-019</t>
        </is>
      </nc>
    </rcc>
    <rcc rId="0" sId="1">
      <nc r="E808" t="inlineStr">
        <is>
          <t>W1026058/1</t>
        </is>
      </nc>
    </rcc>
    <rcc rId="0" sId="1">
      <nc r="F808" t="inlineStr">
        <is>
          <t>SMI3/2129-PG-02</t>
        </is>
      </nc>
    </rcc>
    <rcc rId="0" sId="1">
      <nc r="G808" t="inlineStr">
        <is>
          <t>OM Support Shell</t>
        </is>
      </nc>
    </rcc>
    <rcc rId="0" sId="1">
      <nc r="H808">
        <v>2.72</v>
      </nc>
    </rcc>
    <rcc rId="0" sId="1">
      <nc r="I808">
        <v>2.72</v>
      </nc>
    </rcc>
    <rcc rId="0" sId="1">
      <nc r="J808">
        <v>40500</v>
      </nc>
    </rcc>
    <rcc rId="0" sId="1">
      <nc r="K808">
        <v>0</v>
      </nc>
    </rcc>
    <rcc rId="0" sId="1" dxf="1" numFmtId="19">
      <nc r="L808">
        <v>46209.861111111109</v>
      </nc>
      <ndxf>
        <numFmt numFmtId="164" formatCode="mm\-dd\-yyyy"/>
      </ndxf>
    </rcc>
    <rcc rId="0" sId="1" dxf="1" numFmtId="19">
      <nc r="M808">
        <v>46210.305555555555</v>
      </nc>
      <ndxf>
        <numFmt numFmtId="164" formatCode="mm\-dd\-yyyy"/>
      </ndxf>
    </rcc>
    <rcc rId="0" sId="1">
      <nc r="AA808" t="inlineStr">
        <is>
          <t>1</t>
        </is>
      </nc>
    </rcc>
    <rcc rId="0" sId="1">
      <nc r="AB808" t="inlineStr">
        <is>
          <t>0</t>
        </is>
      </nc>
    </rcc>
  </rrc>
  <rrc rId="9751" sId="1" ref="A806:XFD806" action="deleteRow">
    <rfmt sheetId="1" xfDxf="1" sqref="A806:XFD806" start="0" length="0"/>
    <rcc rId="0" sId="1">
      <nc r="A806" t="inlineStr">
        <is>
          <t>Zone 4</t>
        </is>
      </nc>
    </rcc>
    <rcc rId="0" sId="1">
      <nc r="B806" t="inlineStr">
        <is>
          <t>Thermoformer-OM</t>
        </is>
      </nc>
    </rcc>
    <rcc rId="0" sId="1">
      <nc r="C806">
        <v>1</v>
      </nc>
    </rcc>
    <rcc rId="0" sId="1">
      <nc r="D806" t="inlineStr">
        <is>
          <t>21-019</t>
        </is>
      </nc>
    </rcc>
    <rcc rId="0" sId="1">
      <nc r="E806" t="inlineStr">
        <is>
          <t>W1026057/1</t>
        </is>
      </nc>
    </rcc>
    <rcc rId="0" sId="1">
      <nc r="F806" t="inlineStr">
        <is>
          <t>SMI3/2129-PG-02</t>
        </is>
      </nc>
    </rcc>
    <rcc rId="0" sId="1">
      <nc r="G806" t="inlineStr">
        <is>
          <t>OM Support Shell</t>
        </is>
      </nc>
    </rcc>
    <rcc rId="0" sId="1">
      <nc r="H806">
        <v>2.72</v>
      </nc>
    </rcc>
    <rcc rId="0" sId="1">
      <nc r="I806">
        <v>2.72</v>
      </nc>
    </rcc>
    <rcc rId="0" sId="1">
      <nc r="J806">
        <v>40500</v>
      </nc>
    </rcc>
    <rcc rId="0" sId="1">
      <nc r="K806">
        <v>0</v>
      </nc>
    </rcc>
    <rcc rId="0" sId="1" dxf="1" numFmtId="19">
      <nc r="L806">
        <v>46209.409722222219</v>
      </nc>
      <ndxf>
        <numFmt numFmtId="164" formatCode="mm\-dd\-yyyy"/>
      </ndxf>
    </rcc>
    <rcc rId="0" sId="1" dxf="1" numFmtId="19">
      <nc r="M806">
        <v>46209.854166666664</v>
      </nc>
      <ndxf>
        <numFmt numFmtId="164" formatCode="mm\-dd\-yyyy"/>
      </ndxf>
    </rcc>
    <rcc rId="0" sId="1">
      <nc r="AA806" t="inlineStr">
        <is>
          <t>1</t>
        </is>
      </nc>
    </rcc>
    <rcc rId="0" sId="1">
      <nc r="AB806" t="inlineStr">
        <is>
          <t>0</t>
        </is>
      </nc>
    </rcc>
  </rrc>
  <rrc rId="9752" sId="1" ref="A804:XFD804" action="deleteRow">
    <rfmt sheetId="1" xfDxf="1" sqref="A804:XFD804" start="0" length="0"/>
    <rcc rId="0" sId="1">
      <nc r="A804" t="inlineStr">
        <is>
          <t>Zone 4</t>
        </is>
      </nc>
    </rcc>
    <rcc rId="0" sId="1">
      <nc r="B804" t="inlineStr">
        <is>
          <t>Thermoformer-OM</t>
        </is>
      </nc>
    </rcc>
    <rcc rId="0" sId="1">
      <nc r="C804">
        <v>1</v>
      </nc>
    </rcc>
    <rcc rId="0" sId="1">
      <nc r="D804" t="inlineStr">
        <is>
          <t>21-019</t>
        </is>
      </nc>
    </rcc>
    <rcc rId="0" sId="1">
      <nc r="E804" t="inlineStr">
        <is>
          <t>W1026056/1</t>
        </is>
      </nc>
    </rcc>
    <rcc rId="0" sId="1">
      <nc r="F804" t="inlineStr">
        <is>
          <t>SMI3/2129-PG-02</t>
        </is>
      </nc>
    </rcc>
    <rcc rId="0" sId="1">
      <nc r="G804" t="inlineStr">
        <is>
          <t>OM Support Shell</t>
        </is>
      </nc>
    </rcc>
    <rcc rId="0" sId="1">
      <nc r="H804">
        <v>2.72</v>
      </nc>
    </rcc>
    <rcc rId="0" sId="1">
      <nc r="I804">
        <v>2.72</v>
      </nc>
    </rcc>
    <rcc rId="0" sId="1">
      <nc r="J804">
        <v>40500</v>
      </nc>
    </rcc>
    <rcc rId="0" sId="1">
      <nc r="K804">
        <v>0</v>
      </nc>
    </rcc>
    <rcc rId="0" sId="1" dxf="1" numFmtId="19">
      <nc r="L804">
        <v>46208.958333333336</v>
      </nc>
      <ndxf>
        <numFmt numFmtId="164" formatCode="mm\-dd\-yyyy"/>
      </ndxf>
    </rcc>
    <rcc rId="0" sId="1" dxf="1" numFmtId="19">
      <nc r="M804">
        <v>46209.402777777781</v>
      </nc>
      <ndxf>
        <numFmt numFmtId="164" formatCode="mm\-dd\-yyyy"/>
      </ndxf>
    </rcc>
    <rcc rId="0" sId="1">
      <nc r="AA804" t="inlineStr">
        <is>
          <t>1</t>
        </is>
      </nc>
    </rcc>
    <rcc rId="0" sId="1">
      <nc r="AB804" t="inlineStr">
        <is>
          <t>0</t>
        </is>
      </nc>
    </rcc>
  </rrc>
  <rrc rId="9753" sId="1" ref="A802:XFD802" action="deleteRow">
    <rfmt sheetId="1" xfDxf="1" sqref="A802:XFD802" start="0" length="0"/>
    <rcc rId="0" sId="1">
      <nc r="A802" t="inlineStr">
        <is>
          <t>Zone 4</t>
        </is>
      </nc>
    </rcc>
    <rcc rId="0" sId="1">
      <nc r="B802" t="inlineStr">
        <is>
          <t>Thermoformer-OK</t>
        </is>
      </nc>
    </rcc>
    <rcc rId="0" sId="1">
      <nc r="C802">
        <v>1</v>
      </nc>
    </rcc>
    <rcc rId="0" sId="1">
      <nc r="D802" t="inlineStr">
        <is>
          <t>21-017</t>
        </is>
      </nc>
    </rcc>
    <rcc rId="0" sId="1">
      <nc r="E802" t="inlineStr">
        <is>
          <t>W1026069/1</t>
        </is>
      </nc>
    </rcc>
    <rcc rId="0" sId="1">
      <nc r="F802" t="inlineStr">
        <is>
          <t>SMI3/2132-PG-16</t>
        </is>
      </nc>
    </rcc>
    <rcc rId="0" sId="1">
      <nc r="G802" t="inlineStr">
        <is>
          <t>OK Support Shell</t>
        </is>
      </nc>
    </rcc>
    <rcc rId="0" sId="1">
      <nc r="H802">
        <v>0.86</v>
      </nc>
    </rcc>
    <rcc rId="0" sId="1">
      <nc r="I802">
        <v>0.86</v>
      </nc>
    </rcc>
    <rcc rId="0" sId="1">
      <nc r="J802">
        <v>18000</v>
      </nc>
    </rcc>
    <rcc rId="0" sId="1">
      <nc r="K802">
        <v>0</v>
      </nc>
    </rcc>
    <rcc rId="0" sId="1" dxf="1" numFmtId="19">
      <nc r="L802">
        <v>46210.083333333336</v>
      </nc>
      <ndxf>
        <numFmt numFmtId="164" formatCode="mm\-dd\-yyyy"/>
      </ndxf>
    </rcc>
    <rcc rId="0" sId="1" dxf="1" numFmtId="19">
      <nc r="M802">
        <v>46210.451388888891</v>
      </nc>
      <ndxf>
        <numFmt numFmtId="164" formatCode="mm\-dd\-yyyy"/>
      </ndxf>
    </rcc>
    <rcc rId="0" sId="1">
      <nc r="AA802" t="inlineStr">
        <is>
          <t>1</t>
        </is>
      </nc>
    </rcc>
    <rcc rId="0" sId="1">
      <nc r="AB802" t="inlineStr">
        <is>
          <t>0</t>
        </is>
      </nc>
    </rcc>
  </rrc>
  <rrc rId="9754" sId="1" ref="A800:XFD800" action="deleteRow">
    <rfmt sheetId="1" xfDxf="1" sqref="A800:XFD800" start="0" length="0"/>
    <rcc rId="0" sId="1">
      <nc r="A800" t="inlineStr">
        <is>
          <t>Zone 4</t>
        </is>
      </nc>
    </rcc>
    <rcc rId="0" sId="1">
      <nc r="B800" t="inlineStr">
        <is>
          <t>Thermoformer-OK</t>
        </is>
      </nc>
    </rcc>
    <rcc rId="0" sId="1">
      <nc r="C800">
        <v>1</v>
      </nc>
    </rcc>
    <rcc rId="0" sId="1">
      <nc r="D800" t="inlineStr">
        <is>
          <t>21-017</t>
        </is>
      </nc>
    </rcc>
    <rcc rId="0" sId="1">
      <nc r="E800" t="inlineStr">
        <is>
          <t>W1026068/1</t>
        </is>
      </nc>
    </rcc>
    <rcc rId="0" sId="1">
      <nc r="F800" t="inlineStr">
        <is>
          <t>SMI3/2132-PG-16</t>
        </is>
      </nc>
    </rcc>
    <rcc rId="0" sId="1">
      <nc r="G800" t="inlineStr">
        <is>
          <t>OK Support Shell</t>
        </is>
      </nc>
    </rcc>
    <rcc rId="0" sId="1">
      <nc r="H800">
        <v>0.86</v>
      </nc>
    </rcc>
    <rcc rId="0" sId="1">
      <nc r="I800">
        <v>0.86</v>
      </nc>
    </rcc>
    <rcc rId="0" sId="1">
      <nc r="J800">
        <v>18000</v>
      </nc>
    </rcc>
    <rcc rId="0" sId="1">
      <nc r="K800">
        <v>0</v>
      </nc>
    </rcc>
    <rcc rId="0" sId="1" dxf="1" numFmtId="19">
      <nc r="L800">
        <v>46209.708333333336</v>
      </nc>
      <ndxf>
        <numFmt numFmtId="164" formatCode="mm\-dd\-yyyy"/>
      </ndxf>
    </rcc>
    <rcc rId="0" sId="1" dxf="1" numFmtId="19">
      <nc r="M800">
        <v>46210.076388888891</v>
      </nc>
      <ndxf>
        <numFmt numFmtId="164" formatCode="mm\-dd\-yyyy"/>
      </ndxf>
    </rcc>
    <rcc rId="0" sId="1">
      <nc r="AA800" t="inlineStr">
        <is>
          <t>1</t>
        </is>
      </nc>
    </rcc>
    <rcc rId="0" sId="1">
      <nc r="AB800" t="inlineStr">
        <is>
          <t>0</t>
        </is>
      </nc>
    </rcc>
  </rrc>
  <rrc rId="9755" sId="1" ref="A798:XFD798" action="deleteRow">
    <rfmt sheetId="1" xfDxf="1" sqref="A798:XFD798" start="0" length="0"/>
    <rcc rId="0" sId="1">
      <nc r="A798" t="inlineStr">
        <is>
          <t>Zone 4</t>
        </is>
      </nc>
    </rcc>
    <rcc rId="0" sId="1">
      <nc r="B798" t="inlineStr">
        <is>
          <t>Thermoformer-OK</t>
        </is>
      </nc>
    </rcc>
    <rcc rId="0" sId="1">
      <nc r="C798">
        <v>1</v>
      </nc>
    </rcc>
    <rcc rId="0" sId="1">
      <nc r="D798" t="inlineStr">
        <is>
          <t>21-017</t>
        </is>
      </nc>
    </rcc>
    <rcc rId="0" sId="1">
      <nc r="E798" t="inlineStr">
        <is>
          <t>W1026067/1</t>
        </is>
      </nc>
    </rcc>
    <rcc rId="0" sId="1">
      <nc r="F798" t="inlineStr">
        <is>
          <t>SMI3/2132-PG-16</t>
        </is>
      </nc>
    </rcc>
    <rcc rId="0" sId="1">
      <nc r="G798" t="inlineStr">
        <is>
          <t>OK Support Shell</t>
        </is>
      </nc>
    </rcc>
    <rcc rId="0" sId="1">
      <nc r="H798">
        <v>0.86</v>
      </nc>
    </rcc>
    <rcc rId="0" sId="1">
      <nc r="I798">
        <v>0.86</v>
      </nc>
    </rcc>
    <rcc rId="0" sId="1">
      <nc r="J798">
        <v>18000</v>
      </nc>
    </rcc>
    <rcc rId="0" sId="1">
      <nc r="K798">
        <v>0</v>
      </nc>
    </rcc>
    <rcc rId="0" sId="1" dxf="1" numFmtId="19">
      <nc r="L798">
        <v>46209.333333333336</v>
      </nc>
      <ndxf>
        <numFmt numFmtId="164" formatCode="mm\-dd\-yyyy"/>
      </ndxf>
    </rcc>
    <rcc rId="0" sId="1" dxf="1" numFmtId="19">
      <nc r="M798">
        <v>46209.701388888891</v>
      </nc>
      <ndxf>
        <numFmt numFmtId="164" formatCode="mm\-dd\-yyyy"/>
      </ndxf>
    </rcc>
    <rcc rId="0" sId="1">
      <nc r="AA798" t="inlineStr">
        <is>
          <t>1</t>
        </is>
      </nc>
    </rcc>
    <rcc rId="0" sId="1">
      <nc r="AB798" t="inlineStr">
        <is>
          <t>0</t>
        </is>
      </nc>
    </rcc>
  </rrc>
  <rrc rId="9756" sId="1" ref="A796:XFD796" action="deleteRow">
    <rfmt sheetId="1" xfDxf="1" sqref="A796:XFD796" start="0" length="0"/>
    <rcc rId="0" sId="1">
      <nc r="A796" t="inlineStr">
        <is>
          <t>Zone 4</t>
        </is>
      </nc>
    </rcc>
    <rcc rId="0" sId="1">
      <nc r="B796" t="inlineStr">
        <is>
          <t>Thermoformer-OK</t>
        </is>
      </nc>
    </rcc>
    <rcc rId="0" sId="1">
      <nc r="C796">
        <v>1</v>
      </nc>
    </rcc>
    <rcc rId="0" sId="1">
      <nc r="D796" t="inlineStr">
        <is>
          <t>21-017</t>
        </is>
      </nc>
    </rcc>
    <rcc rId="0" sId="1">
      <nc r="E796" t="inlineStr">
        <is>
          <t>W1026066/1</t>
        </is>
      </nc>
    </rcc>
    <rcc rId="0" sId="1">
      <nc r="F796" t="inlineStr">
        <is>
          <t>SMI3/2132-PG-16</t>
        </is>
      </nc>
    </rcc>
    <rcc rId="0" sId="1">
      <nc r="G796" t="inlineStr">
        <is>
          <t>OK Support Shell</t>
        </is>
      </nc>
    </rcc>
    <rcc rId="0" sId="1">
      <nc r="H796">
        <v>0.86</v>
      </nc>
    </rcc>
    <rcc rId="0" sId="1">
      <nc r="I796">
        <v>0.86</v>
      </nc>
    </rcc>
    <rcc rId="0" sId="1">
      <nc r="J796">
        <v>18000</v>
      </nc>
    </rcc>
    <rcc rId="0" sId="1">
      <nc r="K796">
        <v>0</v>
      </nc>
    </rcc>
    <rcc rId="0" sId="1" dxf="1" numFmtId="19">
      <nc r="L796">
        <v>46208.958333333336</v>
      </nc>
      <ndxf>
        <numFmt numFmtId="164" formatCode="mm\-dd\-yyyy"/>
      </ndxf>
    </rcc>
    <rcc rId="0" sId="1" dxf="1" numFmtId="19">
      <nc r="M796">
        <v>46209.326388888891</v>
      </nc>
      <ndxf>
        <numFmt numFmtId="164" formatCode="mm\-dd\-yyyy"/>
      </ndxf>
    </rcc>
    <rcc rId="0" sId="1">
      <nc r="AA796" t="inlineStr">
        <is>
          <t>1</t>
        </is>
      </nc>
    </rcc>
    <rcc rId="0" sId="1">
      <nc r="AB796" t="inlineStr">
        <is>
          <t>0</t>
        </is>
      </nc>
    </rcc>
  </rrc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10:XFD110" start="0" length="0">
    <dxf>
      <border>
        <top/>
      </border>
    </dxf>
  </rfmt>
  <rfmt sheetId="1" sqref="A115:XFD115" start="0" length="0">
    <dxf>
      <border>
        <top/>
      </border>
    </dxf>
  </rfmt>
  <rfmt sheetId="1" sqref="A125:XFD125" start="0" length="0">
    <dxf>
      <border>
        <top/>
      </border>
    </dxf>
  </rfmt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45:XFD151">
    <dxf>
      <fill>
        <patternFill patternType="solid">
          <bgColor rgb="FF00B0F0"/>
        </patternFill>
      </fill>
    </dxf>
  </rfmt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57" sId="1" ref="A594:XFD597" action="insertRow"/>
  <rfmt sheetId="1" sqref="A597:XFD597" start="0" length="0">
    <dxf>
      <border>
        <bottom style="thin">
          <color indexed="64"/>
        </bottom>
      </border>
    </dxf>
  </rfmt>
  <rcc rId="9758" sId="1" xfDxf="1" dxf="1">
    <nc r="F594" t="inlineStr">
      <is>
        <t>SMI3/2288-PT-10</t>
      </is>
    </nc>
    <ndxf/>
  </rcc>
  <rcc rId="9759" sId="1">
    <nc r="F595" t="inlineStr">
      <is>
        <t>SMI3/2288-PT-10</t>
      </is>
    </nc>
  </rcc>
  <rcc rId="9760" sId="1">
    <nc r="F596" t="inlineStr">
      <is>
        <t>SMI3/2288-PT-10</t>
      </is>
    </nc>
  </rcc>
  <rcc rId="9761" sId="1">
    <nc r="F597" t="inlineStr">
      <is>
        <t>SMI3/2288-PT-10</t>
      </is>
    </nc>
  </rcc>
  <rcc rId="9762" sId="1">
    <nc r="E594" t="inlineStr">
      <is>
        <t>W1026619/1</t>
      </is>
    </nc>
  </rcc>
  <rcc rId="9763" sId="1">
    <nc r="E595" t="inlineStr">
      <is>
        <t>W1026620/1</t>
      </is>
    </nc>
  </rcc>
  <rfmt sheetId="1" sqref="E595">
    <dxf>
      <border diagonalUp="0" diagonalDown="0" outline="0">
        <left/>
        <right/>
        <top/>
        <bottom/>
      </border>
    </dxf>
  </rfmt>
  <rcc rId="9764" sId="1">
    <nc r="D594" t="inlineStr">
      <is>
        <t>23-040</t>
      </is>
    </nc>
  </rcc>
  <rfmt sheetId="1" sqref="D594">
    <dxf>
      <border diagonalUp="0" diagonalDown="0" outline="0">
        <left/>
        <right/>
        <top/>
        <bottom/>
      </border>
    </dxf>
  </rfmt>
  <rcc rId="9765" sId="1">
    <nc r="D595" t="inlineStr">
      <is>
        <t>23-040</t>
      </is>
    </nc>
  </rcc>
  <rcc rId="9766" sId="1">
    <nc r="D596" t="inlineStr">
      <is>
        <t>23-040</t>
      </is>
    </nc>
  </rcc>
  <rcc rId="9767" sId="1">
    <nc r="D597" t="inlineStr">
      <is>
        <t>23-040</t>
      </is>
    </nc>
  </rcc>
  <rcc rId="9768" sId="1">
    <nc r="C594">
      <v>1</v>
    </nc>
  </rcc>
  <rfmt sheetId="1" sqref="C594">
    <dxf>
      <border diagonalUp="0" diagonalDown="0" outline="0">
        <left/>
        <right/>
        <top/>
        <bottom/>
      </border>
    </dxf>
  </rfmt>
  <rcc rId="9769" sId="1">
    <nc r="C595">
      <v>1</v>
    </nc>
  </rcc>
  <rfmt sheetId="1" sqref="C595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9770" sId="1">
    <nc r="C596">
      <v>1</v>
    </nc>
  </rcc>
  <rfmt sheetId="1" sqref="C596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9771" sId="1">
    <nc r="C597">
      <v>11</v>
    </nc>
  </rcc>
  <rcc rId="9772" sId="1">
    <nc r="B594">
      <v>5</v>
    </nc>
  </rcc>
  <rcc rId="9773" sId="1">
    <nc r="B595">
      <v>5</v>
    </nc>
  </rcc>
  <rcc rId="9774" sId="1">
    <nc r="B596">
      <v>5</v>
    </nc>
  </rcc>
  <rcc rId="9775" sId="1">
    <nc r="B597">
      <v>5</v>
    </nc>
  </rcc>
  <rcc rId="9776" sId="1">
    <nc r="A594" t="inlineStr">
      <is>
        <t>Zone 4</t>
      </is>
    </nc>
  </rcc>
  <rfmt sheetId="1" sqref="A594">
    <dxf>
      <border diagonalUp="0" diagonalDown="0" outline="0">
        <left/>
        <right/>
        <top/>
        <bottom/>
      </border>
    </dxf>
  </rfmt>
  <rcc rId="9777" sId="1">
    <nc r="A595" t="inlineStr">
      <is>
        <t>Zone 4</t>
      </is>
    </nc>
  </rcc>
  <rfmt sheetId="1" sqref="A595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9778" sId="1">
    <nc r="A596" t="inlineStr">
      <is>
        <t>Zone 4</t>
      </is>
    </nc>
  </rcc>
  <rfmt sheetId="1" sqref="A596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9779" sId="1">
    <nc r="A597" t="inlineStr">
      <is>
        <t>Zone 4</t>
      </is>
    </nc>
  </rcc>
  <rfmt sheetId="1" sqref="E596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9780" sId="1">
    <nc r="E597" t="inlineStr">
      <is>
        <t>W1026622/1</t>
      </is>
    </nc>
  </rcc>
  <rcc rId="9781" sId="1">
    <nc r="E596" t="inlineStr">
      <is>
        <t>W1026621/1</t>
      </is>
    </nc>
  </rcc>
  <rcc rId="9782" sId="1">
    <nc r="G594" t="inlineStr">
      <is>
        <t>OM2 Mask</t>
      </is>
    </nc>
  </rcc>
  <rfmt sheetId="1" sqref="G594">
    <dxf>
      <border diagonalUp="0" diagonalDown="0" outline="0">
        <left/>
        <right/>
        <top/>
        <bottom/>
      </border>
    </dxf>
  </rfmt>
  <rfmt sheetId="1" sqref="G594">
    <dxf>
      <border diagonalUp="0" diagonalDown="0" outline="0">
        <left/>
        <right/>
        <top/>
        <bottom/>
      </border>
    </dxf>
  </rfmt>
  <rcc rId="9783" sId="1">
    <nc r="G595" t="inlineStr">
      <is>
        <t>OM2 Mask</t>
      </is>
    </nc>
  </rcc>
  <rcc rId="9784" sId="1">
    <nc r="G596" t="inlineStr">
      <is>
        <t>OM2 Mask</t>
      </is>
    </nc>
  </rcc>
  <rcc rId="9785" sId="1">
    <nc r="G597" t="inlineStr">
      <is>
        <t>OM2 Mask</t>
      </is>
    </nc>
  </rcc>
  <rcc rId="9786" sId="1">
    <nc r="J594">
      <v>50000</v>
    </nc>
  </rcc>
  <rfmt sheetId="1" sqref="J594">
    <dxf>
      <border diagonalUp="0" diagonalDown="0" outline="0">
        <left/>
        <right/>
        <top/>
        <bottom/>
      </border>
    </dxf>
  </rfmt>
  <rcc rId="9787" sId="1">
    <nc r="J595">
      <v>50000</v>
    </nc>
  </rcc>
  <rfmt sheetId="1" sqref="J595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9788" sId="1">
    <nc r="J596">
      <v>50000</v>
    </nc>
  </rcc>
  <rfmt sheetId="1" sqref="J596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9789" sId="1">
    <nc r="J597">
      <v>50000</v>
    </nc>
  </rcc>
  <rcc rId="9790" sId="1">
    <nc r="K594">
      <v>0</v>
    </nc>
  </rcc>
  <rfmt sheetId="1" sqref="K594">
    <dxf>
      <border diagonalUp="0" diagonalDown="0" outline="0">
        <left/>
        <right/>
        <top/>
        <bottom/>
      </border>
    </dxf>
  </rfmt>
  <rcc rId="9791" sId="1">
    <nc r="K595">
      <v>0</v>
    </nc>
  </rcc>
  <rfmt sheetId="1" sqref="K595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9792" sId="1">
    <nc r="K596">
      <v>0</v>
    </nc>
  </rcc>
  <rfmt sheetId="1" sqref="K596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9793" sId="1">
    <nc r="K597">
      <v>0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794" sId="1" ref="A704:XFD704" action="insertRow"/>
  <rm rId="9795" sheetId="1" source="A700:XFD700" destination="A704:XFD704" sourceSheetId="1">
    <rfmt sheetId="1" xfDxf="1" sqref="A704:XFD704" start="0" length="0">
      <dxf/>
    </rfmt>
    <rfmt sheetId="1" sqref="L704" start="0" length="0">
      <dxf>
        <numFmt numFmtId="164" formatCode="mm\-dd\-yyyy"/>
      </dxf>
    </rfmt>
    <rfmt sheetId="1" sqref="M704" start="0" length="0">
      <dxf>
        <numFmt numFmtId="164" formatCode="mm\-dd\-yyyy"/>
      </dxf>
    </rfmt>
  </rm>
  <rrc rId="9796" sId="1" ref="A700:XFD700" action="deleteRow">
    <rfmt sheetId="1" xfDxf="1" sqref="A700:XFD700" start="0" length="0"/>
    <rfmt sheetId="1" sqref="L700" start="0" length="0">
      <dxf>
        <numFmt numFmtId="164" formatCode="mm\-dd\-yyyy"/>
      </dxf>
    </rfmt>
    <rfmt sheetId="1" sqref="M700" start="0" length="0">
      <dxf>
        <numFmt numFmtId="164" formatCode="mm\-dd\-yyyy"/>
      </dxf>
    </rfmt>
  </rrc>
  <rcv guid="{A9066737-D214-4998-B3AE-C1B60D50E4FC}" action="delete"/>
  <rcv guid="{A9066737-D214-4998-B3AE-C1B60D50E4FC}" action="add"/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97" sId="1">
    <nc r="O302" t="inlineStr">
      <is>
        <t>p</t>
      </is>
    </nc>
  </rcc>
  <rcc rId="9798" sId="1">
    <nc r="O439" t="inlineStr">
      <is>
        <t>p</t>
      </is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740:XFD741" start="0" length="2147483647">
    <dxf>
      <font>
        <b/>
      </font>
    </dxf>
  </rfmt>
  <rfmt sheetId="1" sqref="A740:XFD741">
    <dxf>
      <fill>
        <patternFill>
          <bgColor rgb="FF92D050"/>
        </patternFill>
      </fill>
    </dxf>
  </rfmt>
  <rfmt sheetId="1" sqref="A742:XFD742">
    <dxf>
      <fill>
        <patternFill patternType="solid">
          <bgColor rgb="FF92D050"/>
        </patternFill>
      </fill>
    </dxf>
  </rfmt>
  <rfmt sheetId="1" sqref="A742:XFD742" start="0" length="2147483647">
    <dxf>
      <font>
        <b/>
      </font>
    </dxf>
  </rfmt>
  <rfmt sheetId="1" sqref="A740:XFD741" start="0" length="2147483647">
    <dxf>
      <font>
        <b val="0"/>
      </font>
    </dxf>
  </rfmt>
  <rcv guid="{B63A7C13-3D7C-43C1-83E0-5EC101891A9A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17:XFD217">
    <dxf>
      <fill>
        <patternFill>
          <bgColor rgb="FF92D050"/>
        </patternFill>
      </fill>
    </dxf>
  </rfmt>
  <rcc rId="9799" sId="1">
    <oc r="K217">
      <v>0</v>
    </oc>
    <nc r="K217">
      <v>432</v>
    </nc>
  </rcc>
  <rfmt sheetId="1" sqref="A219:XFD219">
    <dxf>
      <fill>
        <patternFill patternType="solid">
          <bgColor rgb="FFFFFF00"/>
        </patternFill>
      </fill>
    </dxf>
  </rfmt>
  <rfmt sheetId="1" sqref="A233:XFD233">
    <dxf>
      <fill>
        <patternFill patternType="solid">
          <bgColor rgb="FFFFFF00"/>
        </patternFill>
      </fill>
    </dxf>
  </rfmt>
  <rcv guid="{CE87C36A-6610-4BAA-91D3-CACA2F61657E}" action="add"/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0" sId="1">
    <oc r="K249">
      <v>178</v>
    </oc>
    <nc r="K249">
      <v>190</v>
    </nc>
  </rcc>
  <rfmt sheetId="1" sqref="A249:XFD249">
    <dxf>
      <fill>
        <patternFill>
          <bgColor rgb="FF92D050"/>
        </patternFill>
      </fill>
    </dxf>
  </rfmt>
  <rfmt sheetId="1" sqref="A250:XFD250">
    <dxf>
      <fill>
        <patternFill patternType="solid">
          <bgColor rgb="FFFFFF00"/>
        </patternFill>
      </fill>
    </dxf>
  </rfmt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805E4CC-F0DA-48EF-BB3C-6FC8381E6725}" action="add"/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1" sId="1">
    <nc r="O190" t="inlineStr">
      <is>
        <t>p 07-17-2026</t>
      </is>
    </nc>
  </rcc>
  <rcc rId="9802" sId="1">
    <nc r="O189" t="inlineStr">
      <is>
        <t>p 07-16-2026</t>
      </is>
    </nc>
  </rcc>
  <rcc rId="9803" sId="1" odxf="1" dxf="1">
    <nc r="O198" t="inlineStr">
      <is>
        <t>p 07-16-2026</t>
      </is>
    </nc>
    <ndxf>
      <fill>
        <patternFill patternType="solid">
          <bgColor theme="8" tint="0.39997558519241921"/>
        </patternFill>
      </fill>
    </ndxf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04" sId="1">
    <nc r="P191" t="inlineStr">
      <is>
        <t>DG04</t>
      </is>
    </nc>
  </rcc>
  <rcc rId="9805" sId="1">
    <nc r="P192" t="inlineStr">
      <is>
        <t>DG05</t>
      </is>
    </nc>
  </rcc>
  <rcc rId="9806" sId="1">
    <nc r="P199" t="inlineStr">
      <is>
        <t>DG06</t>
      </is>
    </nc>
  </rcc>
  <rcc rId="9807" sId="1">
    <nc r="P200" t="inlineStr">
      <is>
        <t>DG101</t>
      </is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87:XFD187">
    <dxf>
      <fill>
        <patternFill patternType="solid">
          <bgColor rgb="FFFFFF00"/>
        </patternFill>
      </fill>
    </dxf>
  </rfmt>
  <rfmt sheetId="1" sqref="A562:XFD562">
    <dxf>
      <fill>
        <patternFill patternType="solid">
          <bgColor rgb="FFFFFF00"/>
        </patternFill>
      </fill>
    </dxf>
  </rfmt>
  <rcv guid="{82E54C9D-3F8A-42DE-969A-A2E8DB66D676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359:J359">
    <dxf>
      <fill>
        <patternFill>
          <bgColor rgb="FFFFFF00"/>
        </patternFill>
      </fill>
    </dxf>
  </rfmt>
  <rcc rId="9808" sId="1">
    <oc r="G363" t="inlineStr">
      <is>
        <r>
          <t xml:space="preserve">Spectrum QC HA S3 - </t>
        </r>
        <r>
          <rPr>
            <b/>
            <sz val="11"/>
            <color rgb="FFFF0000"/>
            <rFont val="Aptos Narrow"/>
            <family val="2"/>
          </rPr>
          <t>MIPI Cameras</t>
        </r>
      </is>
    </oc>
    <nc r="G363" t="inlineStr">
      <is>
        <r>
          <t xml:space="preserve">Spectrum QC HA S3 - </t>
        </r>
        <r>
          <rPr>
            <b/>
            <sz val="11"/>
            <color rgb="FFFF0000"/>
            <rFont val="Aptos Narrow"/>
            <family val="2"/>
          </rPr>
          <t>MIPI Cameras</t>
        </r>
        <r>
          <rPr>
            <sz val="11"/>
            <color theme="1"/>
            <rFont val="Aptos Narrow"/>
            <family val="2"/>
          </rPr>
          <t xml:space="preserve"> (in Purple bags)</t>
        </r>
      </is>
    </nc>
  </rcc>
  <rfmt sheetId="1" sqref="E388:J388">
    <dxf>
      <fill>
        <patternFill>
          <bgColor rgb="FFFFFF00"/>
        </patternFill>
      </fill>
    </dxf>
  </rfmt>
  <rfmt sheetId="1" sqref="E480:J480">
    <dxf>
      <fill>
        <patternFill>
          <bgColor rgb="FFFFFF00"/>
        </patternFill>
      </fill>
    </dxf>
  </rfmt>
  <rfmt sheetId="1" sqref="E460:J460">
    <dxf>
      <fill>
        <patternFill>
          <bgColor rgb="FFFFFF00"/>
        </patternFill>
      </fill>
    </dxf>
  </rfmt>
  <rfmt sheetId="1" sqref="E492:J492">
    <dxf>
      <fill>
        <patternFill>
          <bgColor rgb="FFFFFF00"/>
        </patternFill>
      </fill>
    </dxf>
  </rfmt>
  <rfmt sheetId="1" sqref="E439:J439">
    <dxf>
      <fill>
        <patternFill>
          <bgColor rgb="FFFFFF00"/>
        </patternFill>
      </fill>
    </dxf>
  </rfmt>
  <rfmt sheetId="1" sqref="E319:J319">
    <dxf>
      <fill>
        <patternFill>
          <bgColor rgb="FFFFFF00"/>
        </patternFill>
      </fill>
    </dxf>
  </rfmt>
  <rfmt sheetId="1" sqref="E284:J284">
    <dxf>
      <fill>
        <patternFill>
          <bgColor rgb="FFFFFF00"/>
        </patternFill>
      </fill>
    </dxf>
  </rfmt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416:J416">
    <dxf>
      <fill>
        <patternFill>
          <bgColor rgb="FFFFFF00"/>
        </patternFill>
      </fill>
    </dxf>
  </rfmt>
  <rfmt sheetId="1" sqref="E302:J302">
    <dxf>
      <fill>
        <patternFill>
          <bgColor rgb="FFFFFF00"/>
        </patternFill>
      </fill>
    </dxf>
  </rfmt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09" sId="1" ref="A340:XFD340" action="insertRow"/>
  <rm rId="9810" sheetId="1" source="A345:XFD345" destination="A340:XFD340" sourceSheetId="1">
    <rfmt sheetId="1" xfDxf="1" sqref="A340:XFD340" start="0" length="0">
      <dxf>
        <fill>
          <patternFill patternType="solid">
            <bgColor theme="0" tint="-4.9989318521683403E-2"/>
          </patternFill>
        </fill>
      </dxf>
    </rfmt>
    <rfmt sheetId="1" sqref="L340" start="0" length="0">
      <dxf>
        <numFmt numFmtId="164" formatCode="mm\-dd\-yyyy"/>
      </dxf>
    </rfmt>
    <rfmt sheetId="1" sqref="M340" start="0" length="0">
      <dxf>
        <numFmt numFmtId="164" formatCode="mm\-dd\-yyyy"/>
      </dxf>
    </rfmt>
  </rm>
  <rrc rId="9811" sId="1" ref="A345:XFD345" action="deleteRow">
    <rfmt sheetId="1" xfDxf="1" sqref="A345:XFD345" start="0" length="0"/>
    <rfmt sheetId="1" sqref="L345" start="0" length="0">
      <dxf>
        <numFmt numFmtId="164" formatCode="mm\-dd\-yyyy"/>
      </dxf>
    </rfmt>
    <rfmt sheetId="1" sqref="M345" start="0" length="0">
      <dxf>
        <numFmt numFmtId="164" formatCode="mm\-dd\-yyyy"/>
      </dxf>
    </rfmt>
  </rrc>
  <rrc rId="9812" sId="1" ref="A345:XFD345" action="insertRow"/>
  <rm rId="9813" sheetId="1" source="A341:XFD341" destination="A345:XFD345" sourceSheetId="1">
    <rfmt sheetId="1" xfDxf="1" sqref="A345:XFD345" start="0" length="0">
      <dxf>
        <fill>
          <patternFill patternType="solid">
            <bgColor theme="0" tint="-4.9989318521683403E-2"/>
          </patternFill>
        </fill>
      </dxf>
    </rfmt>
    <rfmt sheetId="1" sqref="L345" start="0" length="0">
      <dxf>
        <numFmt numFmtId="164" formatCode="mm\-dd\-yyyy"/>
      </dxf>
    </rfmt>
    <rfmt sheetId="1" sqref="M345" start="0" length="0">
      <dxf>
        <numFmt numFmtId="164" formatCode="mm\-dd\-yyyy"/>
      </dxf>
    </rfmt>
  </rm>
  <rrc rId="9814" sId="1" ref="A341:XFD341" action="deleteRow">
    <rfmt sheetId="1" xfDxf="1" sqref="A341:XFD341" start="0" length="0"/>
    <rfmt sheetId="1" sqref="L341" start="0" length="0">
      <dxf>
        <numFmt numFmtId="164" formatCode="mm\-dd\-yyyy"/>
      </dxf>
    </rfmt>
    <rfmt sheetId="1" sqref="M341" start="0" length="0">
      <dxf>
        <numFmt numFmtId="164" formatCode="mm\-dd\-yyyy"/>
      </dxf>
    </rfmt>
  </rrc>
  <rrc rId="9815" sId="1" ref="A345:XFD345" action="insertRow"/>
  <rm rId="9816" sheetId="1" source="A341:XFD341" destination="A345:XFD345" sourceSheetId="1">
    <rfmt sheetId="1" xfDxf="1" sqref="A345:XFD345" start="0" length="0">
      <dxf>
        <fill>
          <patternFill patternType="solid">
            <bgColor theme="8" tint="0.39997558519241921"/>
          </patternFill>
        </fill>
      </dxf>
    </rfmt>
    <rfmt sheetId="1" sqref="L345" start="0" length="0">
      <dxf>
        <numFmt numFmtId="164" formatCode="mm\-dd\-yyyy"/>
      </dxf>
    </rfmt>
    <rfmt sheetId="1" sqref="M345" start="0" length="0">
      <dxf>
        <numFmt numFmtId="164" formatCode="mm\-dd\-yyyy"/>
      </dxf>
    </rfmt>
  </rm>
  <rrc rId="9817" sId="1" ref="A341:XFD341" action="deleteRow">
    <rfmt sheetId="1" xfDxf="1" sqref="A341:XFD341" start="0" length="0"/>
    <rfmt sheetId="1" sqref="L341" start="0" length="0">
      <dxf>
        <numFmt numFmtId="164" formatCode="mm\-dd\-yyyy"/>
      </dxf>
    </rfmt>
    <rfmt sheetId="1" sqref="M341" start="0" length="0">
      <dxf>
        <numFmt numFmtId="164" formatCode="mm\-dd\-yyyy"/>
      </dxf>
    </rfmt>
  </rrc>
  <rfmt sheetId="1" sqref="A340:XFD340">
    <dxf>
      <fill>
        <patternFill patternType="none">
          <bgColor auto="1"/>
        </patternFill>
      </fill>
    </dxf>
  </rfmt>
  <rcc rId="9818" sId="1">
    <oc r="G340" t="inlineStr">
      <is>
        <r>
          <t xml:space="preserve">QC ECO ,HA S2.5, NS, GS SPECTRUM BOX-10 - </t>
        </r>
        <r>
          <rPr>
            <b/>
            <sz val="11"/>
            <color rgb="FFFF0000"/>
            <rFont val="Aptos Narrow"/>
            <family val="2"/>
          </rPr>
          <t>MIPI Cameras</t>
        </r>
      </is>
    </oc>
    <nc r="G340" t="inlineStr">
      <is>
        <t xml:space="preserve">QC ECO ,HA S2.5, NS, GS SPECTRUM BOX-10 - </t>
      </is>
    </nc>
  </rcc>
  <rcc rId="9819" sId="1">
    <oc r="G343" t="inlineStr">
      <is>
        <t>QC ECO ,HA S2, NS, GS SPECTRUM BOX-10</t>
      </is>
    </oc>
    <nc r="G343" t="inlineStr">
      <is>
        <r>
          <t xml:space="preserve">QC ECO ,HA S2, NS, GS SPECTRUM BOX-10- </t>
        </r>
        <r>
          <rPr>
            <b/>
            <sz val="11"/>
            <color rgb="FFFF0000"/>
            <rFont val="Aptos Narrow"/>
            <family val="2"/>
          </rPr>
          <t>MIPI Cameras</t>
        </r>
      </is>
    </nc>
  </rcc>
  <rfmt sheetId="1" sqref="A340:XFD340">
    <dxf>
      <fill>
        <patternFill patternType="solid">
          <bgColor rgb="FFFFFF00"/>
        </patternFill>
      </fill>
    </dxf>
  </rfmt>
  <rfmt sheetId="1" sqref="A343:XFD343">
    <dxf>
      <fill>
        <patternFill>
          <bgColor theme="5" tint="0.39997558519241921"/>
        </patternFill>
      </fill>
    </dxf>
  </rfmt>
  <rcv guid="{31B4C6D2-0335-443E-840F-0BE68859C862}" action="delete"/>
  <rcv guid="{31B4C6D2-0335-443E-840F-0BE68859C862}" action="add"/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0BACC6C-BD8E-422E-A067-1B9586C4059E}" action="add"/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9:XFD9">
    <dxf>
      <fill>
        <patternFill patternType="solid">
          <bgColor rgb="FF00B050"/>
        </patternFill>
      </fill>
    </dxf>
  </rfmt>
  <rfmt sheetId="1" sqref="A38:XFD38">
    <dxf>
      <fill>
        <patternFill patternType="solid">
          <bgColor rgb="FF00B050"/>
        </patternFill>
      </fill>
    </dxf>
  </rfmt>
  <rcv guid="{8C6BE0E4-5BF0-46EC-835C-A13FCC94ED15}" action="add"/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5A59D49-6826-4D9D-864D-004AE17B1817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20" sId="1" ref="A340:XFD340" action="insertRow"/>
  <rm rId="9821" sheetId="1" source="A342:XFD342" destination="A340:XFD340" sourceSheetId="1">
    <rfmt sheetId="1" xfDxf="1" sqref="A340:XFD340" start="0" length="0">
      <dxf>
        <fill>
          <patternFill patternType="solid">
            <bgColor theme="0" tint="-4.9989318521683403E-2"/>
          </patternFill>
        </fill>
      </dxf>
    </rfmt>
    <rfmt sheetId="1" sqref="L340" start="0" length="0">
      <dxf>
        <numFmt numFmtId="164" formatCode="mm\-dd\-yyyy"/>
      </dxf>
    </rfmt>
    <rfmt sheetId="1" sqref="M340" start="0" length="0">
      <dxf>
        <numFmt numFmtId="164" formatCode="mm\-dd\-yyyy"/>
      </dxf>
    </rfmt>
  </rm>
  <rrc rId="9822" sId="1" ref="A342:XFD342" action="deleteRow">
    <rfmt sheetId="1" xfDxf="1" sqref="A342:XFD342" start="0" length="0"/>
    <rfmt sheetId="1" sqref="L342" start="0" length="0">
      <dxf>
        <numFmt numFmtId="164" formatCode="mm\-dd\-yyyy"/>
      </dxf>
    </rfmt>
    <rfmt sheetId="1" sqref="M342" start="0" length="0">
      <dxf>
        <numFmt numFmtId="164" formatCode="mm\-dd\-yyyy"/>
      </dxf>
    </rfmt>
  </rrc>
  <rrc rId="9823" sId="1" ref="A342:XFD342" action="insertRow"/>
  <rm rId="9824" sheetId="1" source="A349:XFD349" destination="A342:XFD342" sourceSheetId="1">
    <rfmt sheetId="1" xfDxf="1" sqref="A342:XFD342" start="0" length="0">
      <dxf>
        <fill>
          <patternFill patternType="solid">
            <bgColor rgb="FFFFFF00"/>
          </patternFill>
        </fill>
      </dxf>
    </rfmt>
    <rfmt sheetId="1" sqref="L342" start="0" length="0">
      <dxf>
        <numFmt numFmtId="164" formatCode="mm\-dd\-yyyy"/>
      </dxf>
    </rfmt>
    <rfmt sheetId="1" sqref="M342" start="0" length="0">
      <dxf>
        <numFmt numFmtId="164" formatCode="mm\-dd\-yyyy"/>
      </dxf>
    </rfmt>
  </rm>
  <rrc rId="9825" sId="1" ref="A349:XFD349" action="deleteRow">
    <rfmt sheetId="1" xfDxf="1" sqref="A349:XFD349" start="0" length="0"/>
    <rfmt sheetId="1" sqref="L349" start="0" length="0">
      <dxf>
        <numFmt numFmtId="164" formatCode="mm\-dd\-yyyy"/>
      </dxf>
    </rfmt>
    <rfmt sheetId="1" sqref="M349" start="0" length="0">
      <dxf>
        <numFmt numFmtId="164" formatCode="mm\-dd\-yyyy"/>
      </dxf>
    </rfmt>
  </rrc>
  <rrc rId="9826" sId="1" ref="A341:XFD341" action="insertRow"/>
  <rm rId="9827" sheetId="1" source="A343:XFD343" destination="A341:XFD341" sourceSheetId="1">
    <rfmt sheetId="1" xfDxf="1" sqref="A341:XFD341" start="0" length="0"/>
    <rfmt sheetId="1" sqref="L341" start="0" length="0">
      <dxf>
        <numFmt numFmtId="164" formatCode="mm\-dd\-yyyy"/>
      </dxf>
    </rfmt>
    <rfmt sheetId="1" sqref="M341" start="0" length="0">
      <dxf>
        <numFmt numFmtId="164" formatCode="mm\-dd\-yyyy"/>
      </dxf>
    </rfmt>
  </rm>
  <rrc rId="9828" sId="1" ref="A343:XFD343" action="deleteRow">
    <rfmt sheetId="1" xfDxf="1" sqref="A343:XFD343" start="0" length="0"/>
    <rfmt sheetId="1" sqref="L343" start="0" length="0">
      <dxf>
        <numFmt numFmtId="164" formatCode="mm\-dd\-yyyy"/>
      </dxf>
    </rfmt>
    <rfmt sheetId="1" sqref="M343" start="0" length="0">
      <dxf>
        <numFmt numFmtId="164" formatCode="mm\-dd\-yyyy"/>
      </dxf>
    </rfmt>
  </rrc>
  <rrc rId="9829" sId="1" ref="A341:XFD341" action="insertRow"/>
  <rfmt sheetId="1" sqref="A341:XFD341">
    <dxf>
      <fill>
        <patternFill patternType="solid">
          <bgColor theme="0" tint="-4.9989318521683403E-2"/>
        </patternFill>
      </fill>
    </dxf>
  </rfmt>
  <rfmt sheetId="1" sqref="A343:XFD343">
    <dxf>
      <fill>
        <patternFill patternType="none">
          <bgColor auto="1"/>
        </patternFill>
      </fill>
    </dxf>
  </rfmt>
  <rfmt sheetId="1" sqref="A340:XFD340">
    <dxf>
      <fill>
        <patternFill patternType="solid">
          <bgColor rgb="FFFFFF00"/>
        </patternFill>
      </fill>
    </dxf>
  </rfmt>
  <rrc rId="9830" sId="1" ref="A344:XFD344" action="insertRow"/>
  <rm rId="9831" sheetId="1" source="A348:XFD348" destination="A344:XFD344" sourceSheetId="1">
    <rfmt sheetId="1" xfDxf="1" sqref="A344:XFD344" start="0" length="0"/>
    <rfmt sheetId="1" sqref="L344" start="0" length="0">
      <dxf>
        <numFmt numFmtId="164" formatCode="mm\-dd\-yyyy"/>
      </dxf>
    </rfmt>
    <rfmt sheetId="1" sqref="M344" start="0" length="0">
      <dxf>
        <numFmt numFmtId="164" formatCode="mm\-dd\-yyyy"/>
      </dxf>
    </rfmt>
  </rm>
  <rrc rId="9832" sId="1" ref="A348:XFD348" action="deleteRow">
    <rfmt sheetId="1" xfDxf="1" sqref="A348:XFD348" start="0" length="0"/>
    <rfmt sheetId="1" sqref="L348" start="0" length="0">
      <dxf>
        <numFmt numFmtId="164" formatCode="mm\-dd\-yyyy"/>
      </dxf>
    </rfmt>
    <rfmt sheetId="1" sqref="M348" start="0" length="0">
      <dxf>
        <numFmt numFmtId="164" formatCode="mm\-dd\-yyyy"/>
      </dxf>
    </rfmt>
  </rrc>
  <rrc rId="9833" sId="1" ref="A343:XFD343" action="insertRow"/>
  <rm rId="9834" sheetId="1" source="A345:XFD345" destination="A343:XFD343" sourceSheetId="1">
    <rfmt sheetId="1" xfDxf="1" sqref="A343:XFD343" start="0" length="0"/>
    <rfmt sheetId="1" sqref="L343" start="0" length="0">
      <dxf>
        <numFmt numFmtId="164" formatCode="mm\-dd\-yyyy"/>
      </dxf>
    </rfmt>
    <rfmt sheetId="1" sqref="M343" start="0" length="0">
      <dxf>
        <numFmt numFmtId="164" formatCode="mm\-dd\-yyyy"/>
      </dxf>
    </rfmt>
  </rm>
  <rrc rId="9835" sId="1" ref="A345:XFD345" action="deleteRow">
    <rfmt sheetId="1" xfDxf="1" sqref="A345:XFD345" start="0" length="0"/>
    <rfmt sheetId="1" sqref="L345" start="0" length="0">
      <dxf>
        <numFmt numFmtId="164" formatCode="mm\-dd\-yyyy"/>
      </dxf>
    </rfmt>
    <rfmt sheetId="1" sqref="M345" start="0" length="0">
      <dxf>
        <numFmt numFmtId="164" formatCode="mm\-dd\-yyyy"/>
      </dxf>
    </rfmt>
  </rrc>
  <rrc rId="9836" sId="1" ref="A348:XFD348" action="deleteRow">
    <rfmt sheetId="1" xfDxf="1" sqref="A348:XFD348" start="0" length="0">
      <dxf>
        <fill>
          <patternFill patternType="solid">
            <bgColor theme="0" tint="-4.9989318521683403E-2"/>
          </patternFill>
        </fill>
      </dxf>
    </rfmt>
    <rfmt sheetId="1" sqref="L348" start="0" length="0">
      <dxf>
        <numFmt numFmtId="164" formatCode="mm\-dd\-yyyy"/>
      </dxf>
    </rfmt>
    <rfmt sheetId="1" sqref="M348" start="0" length="0">
      <dxf>
        <numFmt numFmtId="164" formatCode="mm\-dd\-yyyy"/>
      </dxf>
    </rfmt>
  </rrc>
  <rcv guid="{31B4C6D2-0335-443E-840F-0BE68859C862}" action="delete"/>
  <rcv guid="{31B4C6D2-0335-443E-840F-0BE68859C862}" action="add"/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7" sId="1">
    <oc r="E305" t="inlineStr">
      <is>
        <t>W1029029/1</t>
      </is>
    </oc>
    <nc r="E305"/>
  </rcc>
  <rcc rId="9838" sId="1">
    <oc r="E306" t="inlineStr">
      <is>
        <t>W1029675/1</t>
      </is>
    </oc>
    <nc r="E306"/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39" sId="1">
    <nc r="E305" t="inlineStr">
      <is>
        <t>W1029029/1</t>
      </is>
    </nc>
  </rcc>
  <rcc rId="9840" sId="1">
    <nc r="E306" t="inlineStr">
      <is>
        <t>W1029675/1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41" sId="1">
    <oc r="F89" t="inlineStr">
      <is>
        <t>SMI1/73-+F241:J2411811</t>
      </is>
    </oc>
    <nc r="F89" t="inlineStr">
      <is>
        <t>SMI1/73-1811</t>
      </is>
    </nc>
  </rcc>
  <rcv guid="{AAB7B9A4-CF23-421A-A54A-0D020AC81537}" action="add"/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17:P217">
    <dxf>
      <fill>
        <patternFill>
          <bgColor rgb="FFFF0000"/>
        </patternFill>
      </fill>
    </dxf>
  </rfmt>
  <rcv guid="{04A9B559-E089-4E44-B956-D68202AB66E0}" action="add"/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42" sId="1">
    <oc r="J540">
      <v>48</v>
    </oc>
    <nc r="J540">
      <v>34</v>
    </nc>
  </rcc>
  <rcc rId="9843" sId="1">
    <oc r="J554">
      <v>48</v>
    </oc>
    <nc r="J554">
      <v>34</v>
    </nc>
  </rcc>
  <rcc rId="9844" sId="1">
    <oc r="J542">
      <v>48</v>
    </oc>
    <nc r="J542">
      <v>40</v>
    </nc>
  </rcc>
  <rrc rId="9845" sId="1" ref="A220:XFD220" action="insertRow"/>
  <rfmt sheetId="1" sqref="A220:XFD220">
    <dxf>
      <fill>
        <patternFill patternType="none">
          <bgColor auto="1"/>
        </patternFill>
      </fill>
    </dxf>
  </rfmt>
  <rcc rId="9846" sId="1">
    <nc r="E220" t="inlineStr">
      <is>
        <t>W1030339/1</t>
      </is>
    </nc>
  </rcc>
  <rcc rId="9847" sId="1">
    <nc r="F220" t="inlineStr">
      <is>
        <t>FLX1/10119</t>
      </is>
    </nc>
  </rcc>
  <rcc rId="9848" sId="1">
    <nc r="G220" t="inlineStr">
      <is>
        <t>Soft Disc 24 Count Disc US Retail</t>
      </is>
    </nc>
  </rcc>
  <rcc rId="9849" sId="1">
    <nc r="H220">
      <v>318.3</v>
    </nc>
  </rcc>
  <rcc rId="9850" sId="1">
    <nc r="I220">
      <v>53.05</v>
    </nc>
  </rcc>
  <rcc rId="9851" sId="1">
    <nc r="J220">
      <v>576</v>
    </nc>
  </rcc>
  <rcc rId="9852" sId="1">
    <nc r="K220">
      <v>0</v>
    </nc>
  </rcc>
  <rcc rId="9853" sId="1" odxf="1">
    <nc r="A220" t="inlineStr">
      <is>
        <t>Zone 3</t>
      </is>
    </nc>
    <odxf/>
  </rcc>
  <rcc rId="9854" sId="1" odxf="1">
    <nc r="B220" t="inlineStr">
      <is>
        <t>FLEX Bag Carton</t>
      </is>
    </nc>
    <odxf/>
  </rcc>
  <rcc rId="9855" sId="1" odxf="1">
    <nc r="C220">
      <v>6</v>
    </nc>
    <odxf/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56" sId="1" ref="A324:XFD324" action="insertRow"/>
  <rm rId="9857" sheetId="1" source="A321:XFD321" destination="A324:XFD324" sourceSheetId="1">
    <rfmt sheetId="1" xfDxf="1" sqref="A324:XFD324" start="0" length="0"/>
    <rfmt sheetId="1" sqref="L324" start="0" length="0">
      <dxf>
        <numFmt numFmtId="164" formatCode="mm\-dd\-yyyy"/>
      </dxf>
    </rfmt>
    <rfmt sheetId="1" sqref="M324" start="0" length="0">
      <dxf>
        <numFmt numFmtId="164" formatCode="mm\-dd\-yyyy"/>
      </dxf>
    </rfmt>
  </rm>
  <rrc rId="9858" sId="1" ref="A321:XFD321" action="deleteRow">
    <rfmt sheetId="1" xfDxf="1" sqref="A321:XFD321" start="0" length="0"/>
    <rfmt sheetId="1" sqref="L321" start="0" length="0">
      <dxf>
        <numFmt numFmtId="164" formatCode="mm\-dd\-yyyy"/>
      </dxf>
    </rfmt>
    <rfmt sheetId="1" sqref="M321" start="0" length="0">
      <dxf>
        <numFmt numFmtId="164" formatCode="mm\-dd\-yyyy"/>
      </dxf>
    </rfmt>
  </rrc>
  <rcv guid="{5E43336C-C4AC-4860-9F15-9A8E94A38B84}" action="delete"/>
  <rcv guid="{5E43336C-C4AC-4860-9F15-9A8E94A38B84}" action="add"/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320:XFD320">
    <dxf>
      <fill>
        <patternFill>
          <bgColor rgb="FF00B050"/>
        </patternFill>
      </fill>
    </dxf>
  </rfmt>
  <rfmt sheetId="1" sqref="E321:J321">
    <dxf>
      <fill>
        <patternFill patternType="solid">
          <bgColor rgb="FFFFFF00"/>
        </patternFill>
      </fill>
    </dxf>
  </rfmt>
  <rfmt sheetId="1" sqref="A389:XFD389">
    <dxf>
      <fill>
        <patternFill>
          <bgColor rgb="FF00B050"/>
        </patternFill>
      </fill>
    </dxf>
  </rfmt>
  <rfmt sheetId="1" sqref="E390:J390">
    <dxf>
      <fill>
        <patternFill patternType="solid">
          <bgColor rgb="FFFFFF00"/>
        </patternFill>
      </fill>
    </dxf>
  </rfmt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59" sId="1">
    <oc r="F712" t="inlineStr">
      <is>
        <t>VER3/0122-1199</t>
      </is>
    </oc>
    <nc r="F712" t="inlineStr">
      <is>
        <t>VER3/0122-1200</t>
      </is>
    </nc>
  </rcc>
  <rrc rId="9860" sId="1" ref="A321:XFD322" action="insertRow"/>
  <rcc rId="9861" sId="1" odxf="1" dxf="1">
    <nc r="A321" t="inlineStr">
      <is>
        <t>Zone 3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62" sId="1" odxf="1" dxf="1">
    <nc r="B321" t="inlineStr">
      <is>
        <t>Lopro QC Mac 4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63" sId="1" odxf="1" dxf="1">
    <nc r="C321">
      <v>4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64" sId="1" odxf="1" dxf="1">
    <nc r="D321" t="inlineStr">
      <is>
        <t>20-033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65" sId="1" odxf="1" dxf="1">
    <nc r="E321" t="inlineStr">
      <is>
        <t>W1027575/1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66" sId="1" odxf="1" dxf="1">
    <nc r="F321" t="inlineStr">
      <is>
        <t>VER1/0270-1086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67" sId="1" odxf="1" dxf="1">
    <nc r="G321" t="inlineStr">
      <is>
        <t>Spectrum QC MAC S4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68" sId="1" odxf="1" dxf="1">
    <nc r="H321">
      <v>92.32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69" sId="1" odxf="1" dxf="1">
    <nc r="I321">
      <v>23.08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70" sId="1" odxf="1" dxf="1">
    <nc r="J321">
      <v>300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71" sId="1" odxf="1" dxf="1">
    <nc r="K321">
      <v>0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72" sId="1" odxf="1" dxf="1" numFmtId="19">
    <nc r="L321">
      <v>46210.465277777781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73" sId="1" odxf="1" dxf="1" numFmtId="19">
    <nc r="M321">
      <v>46211.444444444445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fmt sheetId="1" sqref="N321" start="0" length="0">
    <dxf>
      <fill>
        <patternFill patternType="none">
          <bgColor indexed="65"/>
        </patternFill>
      </fill>
    </dxf>
  </rfmt>
  <rcc rId="9874" sId="1" odxf="1" dxf="1">
    <nc r="O321" t="inlineStr">
      <is>
        <t>P</t>
      </is>
    </nc>
    <odxf>
      <fill>
        <patternFill>
          <bgColor theme="8" tint="0.39997558519241921"/>
        </patternFill>
      </fill>
    </odxf>
    <ndxf>
      <fill>
        <patternFill>
          <bgColor rgb="FF00B050"/>
        </patternFill>
      </fill>
    </ndxf>
  </rcc>
  <rfmt sheetId="1" sqref="P321" start="0" length="0">
    <dxf>
      <fill>
        <patternFill patternType="none">
          <bgColor indexed="65"/>
        </patternFill>
      </fill>
    </dxf>
  </rfmt>
  <rfmt sheetId="1" sqref="Q321" start="0" length="0">
    <dxf>
      <fill>
        <patternFill patternType="none">
          <bgColor indexed="65"/>
        </patternFill>
      </fill>
    </dxf>
  </rfmt>
  <rfmt sheetId="1" sqref="R321" start="0" length="0">
    <dxf>
      <fill>
        <patternFill patternType="none">
          <bgColor indexed="65"/>
        </patternFill>
      </fill>
    </dxf>
  </rfmt>
  <rfmt sheetId="1" sqref="S321" start="0" length="0">
    <dxf>
      <fill>
        <patternFill patternType="none">
          <bgColor indexed="65"/>
        </patternFill>
      </fill>
    </dxf>
  </rfmt>
  <rfmt sheetId="1" sqref="T321" start="0" length="0">
    <dxf>
      <fill>
        <patternFill patternType="none">
          <bgColor indexed="65"/>
        </patternFill>
      </fill>
    </dxf>
  </rfmt>
  <rfmt sheetId="1" sqref="U321" start="0" length="0">
    <dxf>
      <fill>
        <patternFill patternType="none">
          <bgColor indexed="65"/>
        </patternFill>
      </fill>
    </dxf>
  </rfmt>
  <rfmt sheetId="1" sqref="V321" start="0" length="0">
    <dxf>
      <fill>
        <patternFill patternType="none">
          <bgColor indexed="65"/>
        </patternFill>
      </fill>
    </dxf>
  </rfmt>
  <rfmt sheetId="1" sqref="W321" start="0" length="0">
    <dxf>
      <fill>
        <patternFill patternType="none">
          <bgColor indexed="65"/>
        </patternFill>
      </fill>
    </dxf>
  </rfmt>
  <rfmt sheetId="1" sqref="X321" start="0" length="0">
    <dxf>
      <fill>
        <patternFill patternType="none">
          <bgColor indexed="65"/>
        </patternFill>
      </fill>
    </dxf>
  </rfmt>
  <rfmt sheetId="1" sqref="Y321" start="0" length="0">
    <dxf>
      <fill>
        <patternFill patternType="none">
          <bgColor indexed="65"/>
        </patternFill>
      </fill>
    </dxf>
  </rfmt>
  <rfmt sheetId="1" sqref="Z321" start="0" length="0">
    <dxf>
      <fill>
        <patternFill patternType="none">
          <bgColor indexed="65"/>
        </patternFill>
      </fill>
    </dxf>
  </rfmt>
  <rcc rId="9875" sId="1" odxf="1" dxf="1">
    <nc r="AA321" t="inlineStr">
      <is>
        <t>1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76" sId="1" odxf="1" dxf="1">
    <nc r="AB321" t="inlineStr">
      <is>
        <t>0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fmt sheetId="1" sqref="A321:XFD321" start="0" length="0">
    <dxf>
      <fill>
        <patternFill patternType="none">
          <bgColor indexed="65"/>
        </patternFill>
      </fill>
    </dxf>
  </rfmt>
  <rcc rId="9877" sId="1" odxf="1" dxf="1">
    <nc r="A322" t="inlineStr">
      <is>
        <t>Zone 3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78" sId="1" odxf="1" dxf="1">
    <nc r="B322" t="inlineStr">
      <is>
        <t>Lopro QC Mac 4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79" sId="1" odxf="1" dxf="1">
    <nc r="C322">
      <v>4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80" sId="1" odxf="1" dxf="1">
    <nc r="D322" t="inlineStr">
      <is>
        <t>20-033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81" sId="1" odxf="1" dxf="1">
    <nc r="E322" t="inlineStr">
      <is>
        <t>W1030250/1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82" sId="1" odxf="1" dxf="1">
    <nc r="F322" t="inlineStr">
      <is>
        <t>VER1/0270-1086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83" sId="1" odxf="1" dxf="1">
    <nc r="G322" t="inlineStr">
      <is>
        <t>Spectrum QC MAC S4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84" sId="1" odxf="1" dxf="1">
    <nc r="H322">
      <v>46.16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85" sId="1" odxf="1" dxf="1">
    <nc r="I322">
      <v>11.54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86" sId="1" odxf="1" dxf="1">
    <nc r="J322">
      <v>150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9887" sId="1" odxf="1" dxf="1">
    <nc r="K322">
      <v>0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88" sId="1" odxf="1" dxf="1" numFmtId="19">
    <nc r="L322">
      <v>46211.451388888891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89" sId="1" odxf="1" dxf="1" numFmtId="19">
    <nc r="M322">
      <v>46211.951388888891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fmt sheetId="1" sqref="N322" start="0" length="0">
    <dxf>
      <fill>
        <patternFill patternType="none">
          <bgColor indexed="65"/>
        </patternFill>
      </fill>
    </dxf>
  </rfmt>
  <rfmt sheetId="1" sqref="O322" start="0" length="0">
    <dxf>
      <fill>
        <patternFill patternType="none">
          <bgColor indexed="65"/>
        </patternFill>
      </fill>
    </dxf>
  </rfmt>
  <rfmt sheetId="1" sqref="P322" start="0" length="0">
    <dxf>
      <fill>
        <patternFill patternType="none">
          <bgColor indexed="65"/>
        </patternFill>
      </fill>
    </dxf>
  </rfmt>
  <rfmt sheetId="1" sqref="Q322" start="0" length="0">
    <dxf>
      <fill>
        <patternFill patternType="none">
          <bgColor indexed="65"/>
        </patternFill>
      </fill>
    </dxf>
  </rfmt>
  <rfmt sheetId="1" sqref="R322" start="0" length="0">
    <dxf>
      <fill>
        <patternFill patternType="none">
          <bgColor indexed="65"/>
        </patternFill>
      </fill>
    </dxf>
  </rfmt>
  <rfmt sheetId="1" sqref="S322" start="0" length="0">
    <dxf>
      <fill>
        <patternFill patternType="none">
          <bgColor indexed="65"/>
        </patternFill>
      </fill>
    </dxf>
  </rfmt>
  <rfmt sheetId="1" sqref="T322" start="0" length="0">
    <dxf>
      <fill>
        <patternFill patternType="none">
          <bgColor indexed="65"/>
        </patternFill>
      </fill>
    </dxf>
  </rfmt>
  <rfmt sheetId="1" sqref="U322" start="0" length="0">
    <dxf>
      <fill>
        <patternFill patternType="none">
          <bgColor indexed="65"/>
        </patternFill>
      </fill>
    </dxf>
  </rfmt>
  <rfmt sheetId="1" sqref="V322" start="0" length="0">
    <dxf>
      <fill>
        <patternFill patternType="none">
          <bgColor indexed="65"/>
        </patternFill>
      </fill>
    </dxf>
  </rfmt>
  <rfmt sheetId="1" sqref="W322" start="0" length="0">
    <dxf>
      <fill>
        <patternFill patternType="none">
          <bgColor indexed="65"/>
        </patternFill>
      </fill>
    </dxf>
  </rfmt>
  <rfmt sheetId="1" sqref="X322" start="0" length="0">
    <dxf>
      <fill>
        <patternFill patternType="none">
          <bgColor indexed="65"/>
        </patternFill>
      </fill>
    </dxf>
  </rfmt>
  <rfmt sheetId="1" sqref="Y322" start="0" length="0">
    <dxf>
      <fill>
        <patternFill patternType="none">
          <bgColor indexed="65"/>
        </patternFill>
      </fill>
    </dxf>
  </rfmt>
  <rfmt sheetId="1" sqref="Z322" start="0" length="0">
    <dxf>
      <fill>
        <patternFill patternType="none">
          <bgColor indexed="65"/>
        </patternFill>
      </fill>
    </dxf>
  </rfmt>
  <rcc rId="9890" sId="1" odxf="1" dxf="1">
    <nc r="AA322" t="inlineStr">
      <is>
        <t>1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9891" sId="1" odxf="1" dxf="1">
    <nc r="AB322" t="inlineStr">
      <is>
        <t>0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fmt sheetId="1" sqref="A322:XFD322" start="0" length="0">
    <dxf>
      <fill>
        <patternFill patternType="none">
          <bgColor indexed="65"/>
        </patternFill>
      </fill>
    </dxf>
  </rfmt>
  <rrc rId="9892" sId="1" ref="A323:XFD323" action="deleteRow">
    <rfmt sheetId="1" xfDxf="1" sqref="A323:XFD323" start="0" length="0"/>
    <rcc rId="0" sId="1">
      <nc r="A323" t="inlineStr">
        <is>
          <t>Zone 3</t>
        </is>
      </nc>
    </rcc>
    <rcc rId="0" sId="1">
      <nc r="B323" t="inlineStr">
        <is>
          <t>Lopro QC Mac 4</t>
        </is>
      </nc>
    </rcc>
    <rcc rId="0" sId="1">
      <nc r="C323">
        <v>4</v>
      </nc>
    </rcc>
    <rcc rId="0" sId="1">
      <nc r="D323" t="inlineStr">
        <is>
          <t>20-033</t>
        </is>
      </nc>
    </rcc>
    <rcc rId="0" sId="1">
      <nc r="E323" t="inlineStr">
        <is>
          <t>W1027575/1</t>
        </is>
      </nc>
    </rcc>
    <rcc rId="0" sId="1">
      <nc r="F323" t="inlineStr">
        <is>
          <t>VER1/0270-1086</t>
        </is>
      </nc>
    </rcc>
    <rcc rId="0" sId="1">
      <nc r="G323" t="inlineStr">
        <is>
          <t>Spectrum QC MAC S4</t>
        </is>
      </nc>
    </rcc>
    <rcc rId="0" sId="1">
      <nc r="H323">
        <v>92.32</v>
      </nc>
    </rcc>
    <rcc rId="0" sId="1">
      <nc r="I323">
        <v>23.08</v>
      </nc>
    </rcc>
    <rcc rId="0" sId="1">
      <nc r="J323">
        <v>300</v>
      </nc>
    </rcc>
    <rcc rId="0" sId="1">
      <nc r="K323">
        <v>0</v>
      </nc>
    </rcc>
    <rcc rId="0" sId="1" dxf="1" numFmtId="19">
      <nc r="L323">
        <v>46210.465277777781</v>
      </nc>
      <ndxf>
        <numFmt numFmtId="164" formatCode="mm\-dd\-yyyy"/>
      </ndxf>
    </rcc>
    <rcc rId="0" sId="1" dxf="1" numFmtId="19">
      <nc r="M323">
        <v>46211.444444444445</v>
      </nc>
      <ndxf>
        <numFmt numFmtId="164" formatCode="mm\-dd\-yyyy"/>
      </ndxf>
    </rcc>
    <rcc rId="0" sId="1" dxf="1">
      <nc r="O323" t="inlineStr">
        <is>
          <t>P</t>
        </is>
      </nc>
      <ndxf>
        <fill>
          <patternFill patternType="solid">
            <bgColor rgb="FF00B050"/>
          </patternFill>
        </fill>
      </ndxf>
    </rcc>
    <rcc rId="0" sId="1">
      <nc r="AA323" t="inlineStr">
        <is>
          <t>1</t>
        </is>
      </nc>
    </rcc>
    <rcc rId="0" sId="1">
      <nc r="AB323" t="inlineStr">
        <is>
          <t>0</t>
        </is>
      </nc>
    </rcc>
  </rrc>
  <rrc rId="9893" sId="1" ref="A323:XFD323" action="deleteRow">
    <rfmt sheetId="1" xfDxf="1" sqref="A323:XFD323" start="0" length="0"/>
    <rcc rId="0" sId="1">
      <nc r="A323" t="inlineStr">
        <is>
          <t>Zone 3</t>
        </is>
      </nc>
    </rcc>
    <rcc rId="0" sId="1">
      <nc r="B323" t="inlineStr">
        <is>
          <t>Lopro QC Mac 4</t>
        </is>
      </nc>
    </rcc>
    <rcc rId="0" sId="1">
      <nc r="C323">
        <v>4</v>
      </nc>
    </rcc>
    <rcc rId="0" sId="1">
      <nc r="D323" t="inlineStr">
        <is>
          <t>20-033</t>
        </is>
      </nc>
    </rcc>
    <rcc rId="0" sId="1">
      <nc r="E323" t="inlineStr">
        <is>
          <t>W1030250/1</t>
        </is>
      </nc>
    </rcc>
    <rcc rId="0" sId="1">
      <nc r="F323" t="inlineStr">
        <is>
          <t>VER1/0270-1086</t>
        </is>
      </nc>
    </rcc>
    <rcc rId="0" sId="1">
      <nc r="G323" t="inlineStr">
        <is>
          <t>Spectrum QC MAC S4</t>
        </is>
      </nc>
    </rcc>
    <rcc rId="0" sId="1">
      <nc r="H323">
        <v>46.16</v>
      </nc>
    </rcc>
    <rcc rId="0" sId="1">
      <nc r="I323">
        <v>11.54</v>
      </nc>
    </rcc>
    <rcc rId="0" sId="1">
      <nc r="J323">
        <v>150</v>
      </nc>
    </rcc>
    <rcc rId="0" sId="1">
      <nc r="K323">
        <v>0</v>
      </nc>
    </rcc>
    <rcc rId="0" sId="1" dxf="1" numFmtId="19">
      <nc r="L323">
        <v>46211.451388888891</v>
      </nc>
      <ndxf>
        <numFmt numFmtId="164" formatCode="mm\-dd\-yyyy"/>
      </ndxf>
    </rcc>
    <rcc rId="0" sId="1" dxf="1" numFmtId="19">
      <nc r="M323">
        <v>46211.951388888891</v>
      </nc>
      <ndxf>
        <numFmt numFmtId="164" formatCode="mm\-dd\-yyyy"/>
      </ndxf>
    </rcc>
    <rcc rId="0" sId="1">
      <nc r="AA323" t="inlineStr">
        <is>
          <t>1</t>
        </is>
      </nc>
    </rcc>
    <rcc rId="0" sId="1">
      <nc r="AB323" t="inlineStr">
        <is>
          <t>0</t>
        </is>
      </nc>
    </rcc>
  </rrc>
  <rfmt sheetId="1" sqref="A320:XFD320">
    <dxf>
      <fill>
        <patternFill>
          <bgColor rgb="FF00B050"/>
        </patternFill>
      </fill>
    </dxf>
  </rfmt>
  <rfmt sheetId="1" sqref="A321:XFD321">
    <dxf>
      <fill>
        <patternFill>
          <bgColor rgb="FFFFFF00"/>
        </patternFill>
      </fill>
    </dxf>
  </rfmt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17:XFD217">
    <dxf>
      <fill>
        <patternFill>
          <bgColor rgb="FFFF0000"/>
        </patternFill>
      </fill>
    </dxf>
  </rfmt>
  <rfmt sheetId="1" sqref="A219:XFD219">
    <dxf>
      <fill>
        <patternFill>
          <bgColor rgb="FF92D050"/>
        </patternFill>
      </fill>
    </dxf>
  </rfmt>
  <rcc rId="9894" sId="1">
    <oc r="K219">
      <v>0</v>
    </oc>
    <nc r="K219">
      <v>240</v>
    </nc>
  </rcc>
  <rfmt sheetId="1" sqref="A220:XFD220">
    <dxf>
      <fill>
        <patternFill patternType="solid">
          <bgColor rgb="FFFFFF00"/>
        </patternFill>
      </fill>
    </dxf>
  </rfmt>
  <rfmt sheetId="1" sqref="A234:XFD234">
    <dxf>
      <fill>
        <patternFill>
          <bgColor rgb="FF00B050"/>
        </patternFill>
      </fill>
    </dxf>
  </rfmt>
  <rcc rId="9895" sId="1">
    <oc r="K234">
      <v>0</v>
    </oc>
    <nc r="K234">
      <v>384</v>
    </nc>
  </rcc>
  <rfmt sheetId="1" sqref="A235:XFD235">
    <dxf>
      <fill>
        <patternFill patternType="solid">
          <bgColor rgb="FFFFFF00"/>
        </patternFill>
      </fill>
    </dxf>
  </rfmt>
  <rcc rId="9896" sId="1">
    <nc r="O236" t="inlineStr">
      <is>
        <t>P</t>
      </is>
    </nc>
  </rcc>
  <rcc rId="9897" sId="1">
    <nc r="O237" t="inlineStr">
      <is>
        <t>P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898" sId="1">
    <nc r="O391" t="inlineStr">
      <is>
        <t>P</t>
      </is>
    </nc>
  </rcc>
  <rcc rId="9899" sId="1">
    <nc r="O419" t="inlineStr">
      <is>
        <t>P</t>
      </is>
    </nc>
  </rcc>
  <rcc rId="9900" sId="1">
    <nc r="O345" t="inlineStr">
      <is>
        <t>P</t>
      </is>
    </nc>
  </rcc>
  <rcc rId="9901" sId="1">
    <nc r="O286" t="inlineStr">
      <is>
        <t>P</t>
      </is>
    </nc>
  </rcc>
  <rcc rId="9902" sId="1">
    <nc r="O362" t="inlineStr">
      <is>
        <t>P</t>
      </is>
    </nc>
  </rcc>
  <rcc rId="9903" sId="1">
    <nc r="O322" t="inlineStr">
      <is>
        <t>P</t>
      </is>
    </nc>
  </rcc>
  <rcc rId="9904" sId="1">
    <nc r="O462" t="inlineStr">
      <is>
        <t>P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05" sId="1">
    <oc r="J659">
      <v>16000</v>
    </oc>
    <nc r="J659">
      <v>10000</v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549:XFD549">
    <dxf>
      <fill>
        <patternFill patternType="solid">
          <bgColor rgb="FF92D050"/>
        </patternFill>
      </fill>
    </dxf>
  </rfmt>
  <rcc rId="9906" sId="1">
    <oc r="K549">
      <v>0</v>
    </oc>
    <nc r="K549">
      <v>23</v>
    </nc>
  </rcc>
  <rcv guid="{C5A9C93B-8955-400D-A975-D1A770BB7517}" action="add"/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07" sId="1">
    <oc r="K95">
      <v>0</v>
    </oc>
    <nc r="K95">
      <v>111</v>
    </nc>
  </rcc>
  <rfmt sheetId="1" sqref="A95:XFD95" start="0" length="2147483647">
    <dxf>
      <font>
        <b/>
      </font>
    </dxf>
  </rfmt>
  <rfmt sheetId="1" sqref="A108:XFD108" start="0" length="2147483647">
    <dxf>
      <font>
        <b/>
      </font>
    </dxf>
  </rfmt>
  <rfmt sheetId="1" sqref="A113:XFD113" start="0" length="2147483647">
    <dxf>
      <font>
        <b/>
      </font>
    </dxf>
  </rfmt>
  <rcc rId="9908" sId="1">
    <oc r="K113">
      <v>0</v>
    </oc>
    <nc r="K113">
      <v>148</v>
    </nc>
  </rcc>
  <rcc rId="9909" sId="1">
    <oc r="K123">
      <v>0</v>
    </oc>
    <nc r="K123">
      <v>72</v>
    </nc>
  </rcc>
  <rfmt sheetId="1" sqref="A123:XFD123" start="0" length="2147483647">
    <dxf>
      <font>
        <b/>
      </font>
    </dxf>
  </rfmt>
  <rfmt sheetId="1" sqref="A134:XFD134" start="0" length="2147483647">
    <dxf>
      <font>
        <b/>
      </font>
    </dxf>
  </rfmt>
  <rcc rId="9910" sId="1">
    <oc r="K134">
      <v>0</v>
    </oc>
    <nc r="K134">
      <v>382</v>
    </nc>
  </rcc>
  <rcc rId="9911" sId="1">
    <nc r="O140" t="inlineStr">
      <is>
        <t>P</t>
      </is>
    </nc>
  </rcc>
  <rfmt sheetId="1" sqref="A140:XFD140" start="0" length="2147483647">
    <dxf>
      <font>
        <b/>
      </font>
    </dxf>
  </rfmt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10BACC6C-BD8E-422E-A067-1B9586C4059E}" action="delete"/>
  <rcv guid="{10BACC6C-BD8E-422E-A067-1B9586C4059E}" action="add"/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12" sId="1">
    <oc r="K140">
      <v>0</v>
    </oc>
    <nc r="K140">
      <v>3300</v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7B06D917-CD5C-4A57-82B8-7060905DC15D}" action="add"/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AAB7B9A4-CF23-421A-A54A-0D020AC81537}" action="delete"/>
  <rcv guid="{AAB7B9A4-CF23-421A-A54A-0D020AC81537}" action="add"/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913" sId="1" ref="A125:XFD125" action="insertRow"/>
  <rfmt sheetId="1" sqref="A125:XFD126">
    <dxf>
      <fill>
        <patternFill patternType="solid">
          <bgColor rgb="FFFFFF00"/>
        </patternFill>
      </fill>
    </dxf>
  </rfmt>
  <rrc rId="9914" sId="1" ref="A124:XFD124" action="insertRow"/>
  <rm rId="9915" sheetId="1" source="A126:XFD126" destination="A124:XFD124" sourceSheetId="1">
    <rfmt sheetId="1" xfDxf="1" sqref="A124:XFD124" start="0" length="0">
      <dxf>
        <font>
          <b/>
        </font>
        <fill>
          <patternFill patternType="solid">
            <bgColor theme="8" tint="0.39997558519241921"/>
          </patternFill>
        </fill>
      </dxf>
    </rfmt>
    <rfmt sheetId="1" sqref="L124" start="0" length="0">
      <dxf>
        <numFmt numFmtId="164" formatCode="mm\-dd\-yyyy"/>
      </dxf>
    </rfmt>
    <rfmt sheetId="1" sqref="M124" start="0" length="0">
      <dxf>
        <numFmt numFmtId="164" formatCode="mm\-dd\-yyyy"/>
      </dxf>
    </rfmt>
  </rm>
  <rrc rId="9916" sId="1" ref="A126:XFD126" action="deleteRow">
    <rfmt sheetId="1" xfDxf="1" sqref="A126:XFD126" start="0" length="0"/>
    <rfmt sheetId="1" sqref="L126" start="0" length="0">
      <dxf>
        <numFmt numFmtId="164" formatCode="mm\-dd\-yyyy"/>
      </dxf>
    </rfmt>
    <rfmt sheetId="1" sqref="M126" start="0" length="0">
      <dxf>
        <numFmt numFmtId="164" formatCode="mm\-dd\-yyyy"/>
      </dxf>
    </rfmt>
  </rrc>
  <rfmt sheetId="1" sqref="A125:XFD126">
    <dxf>
      <fill>
        <patternFill>
          <bgColor rgb="FFFFFF00"/>
        </patternFill>
      </fill>
    </dxf>
  </rfmt>
  <rfmt sheetId="1" sqref="A126:XFD126">
    <dxf>
      <fill>
        <patternFill patternType="none">
          <bgColor auto="1"/>
        </patternFill>
      </fill>
    </dxf>
  </rfmt>
  <rrc rId="9917" sId="1" ref="A129:XFD129" action="deleteRow">
    <rfmt sheetId="1" xfDxf="1" sqref="A129:XFD129" start="0" length="0">
      <dxf>
        <border outline="0">
          <bottom style="thin">
            <color indexed="64"/>
          </bottom>
        </border>
      </dxf>
    </rfmt>
    <rcc rId="0" sId="1">
      <nc r="A129" t="inlineStr">
        <is>
          <t>Zone 2</t>
        </is>
      </nc>
    </rcc>
    <rcc rId="0" sId="1">
      <nc r="B129" t="inlineStr">
        <is>
          <t>Line 3</t>
        </is>
      </nc>
    </rcc>
    <rcc rId="0" sId="1">
      <nc r="C129">
        <v>8</v>
      </nc>
    </rcc>
    <rcc rId="0" sId="1">
      <nc r="E129" t="inlineStr">
        <is>
          <t>W1025365/1</t>
        </is>
      </nc>
    </rcc>
    <rcc rId="0" sId="1">
      <nc r="F129" t="inlineStr">
        <is>
          <t>SMI2/OK-7025-8</t>
        </is>
      </nc>
    </rcc>
    <rcc rId="0" sId="1">
      <nc r="G129" t="inlineStr">
        <is>
          <t>OxyMask II Kid Non PVC 7'</t>
        </is>
      </nc>
    </rcc>
    <rcc rId="0" sId="1">
      <nc r="H129">
        <v>192</v>
      </nc>
    </rcc>
    <rcc rId="0" sId="1">
      <nc r="I129">
        <v>24</v>
      </nc>
    </rcc>
    <rcc rId="0" sId="1">
      <nc r="J129">
        <v>168</v>
      </nc>
    </rcc>
    <rcc rId="0" sId="1">
      <nc r="K129">
        <v>0</v>
      </nc>
    </rcc>
    <rcc rId="0" sId="1" dxf="1" numFmtId="19">
      <nc r="L129">
        <v>46226.1875</v>
      </nc>
      <ndxf>
        <numFmt numFmtId="164" formatCode="mm\-dd\-yyyy"/>
      </ndxf>
    </rcc>
    <rcc rId="0" sId="1" dxf="1" numFmtId="19">
      <nc r="M129">
        <v>46230.201388888891</v>
      </nc>
      <ndxf>
        <numFmt numFmtId="164" formatCode="mm\-dd\-yyyy"/>
      </ndxf>
    </rcc>
    <rcc rId="0" sId="1">
      <nc r="AA129" t="inlineStr">
        <is>
          <t>1</t>
        </is>
      </nc>
    </rcc>
    <rcc rId="0" sId="1">
      <nc r="AB129" t="inlineStr">
        <is>
          <t>0</t>
        </is>
      </nc>
    </rcc>
  </rrc>
  <rrc rId="9918" sId="1" ref="A128:XFD128" action="deleteRow">
    <rfmt sheetId="1" xfDxf="1" sqref="A128:XFD128" start="0" length="0"/>
    <rcc rId="0" sId="1">
      <nc r="A128" t="inlineStr">
        <is>
          <t>Zone 2</t>
        </is>
      </nc>
    </rcc>
    <rcc rId="0" sId="1">
      <nc r="B128" t="inlineStr">
        <is>
          <t>Line 3</t>
        </is>
      </nc>
    </rcc>
    <rcc rId="0" sId="1">
      <nc r="C128">
        <v>8</v>
      </nc>
    </rcc>
    <rcc rId="0" sId="1">
      <nc r="E128" t="inlineStr">
        <is>
          <t>W1025372/1</t>
        </is>
      </nc>
    </rcc>
    <rcc rId="0" sId="1">
      <nc r="F128" t="inlineStr">
        <is>
          <t>SMI2/OP-7025-8</t>
        </is>
      </nc>
    </rcc>
    <rcc rId="0" sId="1">
      <nc r="G128" t="inlineStr">
        <is>
          <t>OxyMask II Plus Non PVC 7'</t>
        </is>
      </nc>
    </rcc>
    <rcc rId="0" sId="1">
      <nc r="H128">
        <v>288</v>
      </nc>
    </rcc>
    <rcc rId="0" sId="1">
      <nc r="I128">
        <v>36</v>
      </nc>
    </rcc>
    <rcc rId="0" sId="1">
      <nc r="J128">
        <v>252</v>
      </nc>
    </rcc>
    <rcc rId="0" sId="1">
      <nc r="K128">
        <v>0</v>
      </nc>
    </rcc>
    <rcc rId="0" sId="1" dxf="1" numFmtId="19">
      <nc r="L128">
        <v>46220.5</v>
      </nc>
      <ndxf>
        <numFmt numFmtId="164" formatCode="mm\-dd\-yyyy"/>
      </ndxf>
    </rcc>
    <rcc rId="0" sId="1" dxf="1" numFmtId="19">
      <nc r="M128">
        <v>46226.180555555555</v>
      </nc>
      <ndxf>
        <numFmt numFmtId="164" formatCode="mm\-dd\-yyyy"/>
      </ndxf>
    </rcc>
    <rcc rId="0" sId="1">
      <nc r="AA128" t="inlineStr">
        <is>
          <t>1</t>
        </is>
      </nc>
    </rcc>
    <rcc rId="0" sId="1">
      <nc r="AB128" t="inlineStr">
        <is>
          <t>0</t>
        </is>
      </nc>
    </rcc>
  </rrc>
  <rcc rId="9919" sId="1">
    <nc r="E124" t="inlineStr">
      <is>
        <t>W1025356 to change to inline printing for flag labels</t>
      </is>
    </nc>
  </rcc>
  <rcv guid="{A9066737-D214-4998-B3AE-C1B60D50E4FC}" action="delete"/>
  <rcv guid="{A9066737-D214-4998-B3AE-C1B60D50E4FC}" action="add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920" sId="1" ref="A137:XFD137" action="insertRow"/>
  <rcc rId="9921" sId="1">
    <nc r="A137" t="inlineStr">
      <is>
        <t>Zone 2</t>
      </is>
    </nc>
  </rcc>
  <rcc rId="9922" sId="1">
    <nc r="B137" t="inlineStr">
      <is>
        <t>OxyMask Cell</t>
      </is>
    </nc>
  </rcc>
  <rcc rId="9923" sId="1">
    <nc r="C137">
      <v>7</v>
    </nc>
  </rcc>
  <rcc rId="9924" sId="1">
    <nc r="E137" t="inlineStr">
      <is>
        <t>W1026729/1</t>
      </is>
    </nc>
  </rcc>
  <rcc rId="9925" sId="1">
    <nc r="F137" t="inlineStr">
      <is>
        <t>SMI2/OT-1025-8</t>
      </is>
    </nc>
  </rcc>
  <rcc rId="9926" sId="1">
    <nc r="G137" t="inlineStr">
      <is>
        <t>OxyMask II Tyke 7'</t>
      </is>
    </nc>
  </rcc>
  <rcc rId="9927" sId="1">
    <nc r="H137">
      <f>9*7</f>
    </nc>
  </rcc>
  <rcc rId="9928" sId="1">
    <nc r="I137">
      <v>9</v>
    </nc>
  </rcc>
  <rcc rId="9929" sId="1">
    <nc r="J137">
      <v>252</v>
    </nc>
  </rcc>
  <rcc rId="9930" sId="1">
    <nc r="K137">
      <v>0</v>
    </nc>
  </rcc>
  <rcc rId="9931" sId="1" numFmtId="19">
    <nc r="L137">
      <v>46225</v>
    </nc>
  </rcc>
  <rcc rId="9932" sId="1" numFmtId="19">
    <nc r="M137">
      <v>46225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933" sId="1" ref="A139:XFD140" action="insertRow"/>
  <rcc rId="9934" sId="1">
    <nc r="A139" t="inlineStr">
      <is>
        <t>Zone 2</t>
      </is>
    </nc>
  </rcc>
  <rcc rId="9935" sId="1">
    <nc r="B139" t="inlineStr">
      <is>
        <t>OxyMask Cell</t>
      </is>
    </nc>
  </rcc>
  <rcc rId="9936" sId="1">
    <nc r="C139">
      <v>7</v>
    </nc>
  </rcc>
  <rcc rId="9937" sId="1">
    <nc r="A140" t="inlineStr">
      <is>
        <t>Zone 2</t>
      </is>
    </nc>
  </rcc>
  <rcc rId="9938" sId="1">
    <nc r="B140" t="inlineStr">
      <is>
        <t>OxyMask Cell</t>
      </is>
    </nc>
  </rcc>
  <rcc rId="9939" sId="1">
    <nc r="C140">
      <v>7</v>
    </nc>
  </rcc>
  <rcc rId="9940" sId="1">
    <nc r="E139" t="inlineStr">
      <is>
        <t>W1028829/1</t>
      </is>
    </nc>
  </rcc>
  <rcc rId="9941" sId="1">
    <nc r="F139" t="inlineStr">
      <is>
        <t>SMI2/OP-1125-8</t>
      </is>
    </nc>
  </rcc>
  <rcc rId="9942" sId="1">
    <nc r="G139" t="inlineStr">
      <is>
        <t>OxyMask II Plus 7'</t>
      </is>
    </nc>
  </rcc>
  <rcc rId="9943" sId="1">
    <nc r="I139">
      <v>27</v>
    </nc>
  </rcc>
  <rcc rId="9944" sId="1">
    <nc r="H139">
      <f>27*7</f>
    </nc>
  </rcc>
  <rcc rId="9945" sId="1">
    <nc r="J139">
      <v>756</v>
    </nc>
  </rcc>
  <rcc rId="9946" sId="1">
    <nc r="K139">
      <v>0</v>
    </nc>
  </rcc>
  <rcc rId="9947" sId="1" numFmtId="19">
    <nc r="L139">
      <v>46230</v>
    </nc>
  </rcc>
  <rcc rId="9948" sId="1" numFmtId="19">
    <nc r="M139">
      <v>46228</v>
    </nc>
  </rcc>
  <rcc rId="9949" sId="1">
    <nc r="E140" t="inlineStr">
      <is>
        <t>W1028835/1</t>
      </is>
    </nc>
  </rcc>
  <rcc rId="9950" sId="1">
    <nc r="F140" t="inlineStr">
      <is>
        <t>SMI2/OK-1125-8</t>
      </is>
    </nc>
  </rcc>
  <rcc rId="9951" sId="1">
    <nc r="G140" t="inlineStr">
      <is>
        <t>OxyMask II Kid 7'</t>
      </is>
    </nc>
  </rcc>
  <rcc rId="9952" sId="1">
    <nc r="H140">
      <f>18*7</f>
    </nc>
  </rcc>
  <rcc rId="9953" sId="1">
    <nc r="I140">
      <v>18</v>
    </nc>
  </rcc>
  <rcc rId="9954" sId="1">
    <nc r="J140">
      <v>504</v>
    </nc>
  </rcc>
  <rcc rId="9955" sId="1">
    <nc r="K140">
      <v>0</v>
    </nc>
  </rcc>
  <rcc rId="9956" sId="1" numFmtId="19">
    <nc r="L140">
      <v>46228</v>
    </nc>
  </rcc>
  <rcc rId="9957" sId="1" numFmtId="19">
    <nc r="M140">
      <v>46229</v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575:J577">
    <dxf>
      <fill>
        <patternFill patternType="solid">
          <bgColor rgb="FF99FF99"/>
        </patternFill>
      </fill>
    </dxf>
  </rfmt>
  <rfmt sheetId="1" sqref="E574:J574">
    <dxf>
      <fill>
        <patternFill patternType="solid">
          <bgColor theme="4" tint="0.79998168889431442"/>
        </patternFill>
      </fill>
    </dxf>
  </rfmt>
  <rfmt sheetId="1" sqref="A362:XFD362">
    <dxf>
      <fill>
        <patternFill>
          <bgColor rgb="FF00B050"/>
        </patternFill>
      </fill>
    </dxf>
  </rfmt>
  <rfmt sheetId="1" sqref="E363:J363">
    <dxf>
      <fill>
        <patternFill patternType="solid">
          <bgColor rgb="FFFFFF00"/>
        </patternFill>
      </fill>
    </dxf>
  </rfmt>
  <rfmt sheetId="1" sqref="E420:J420">
    <dxf>
      <fill>
        <patternFill patternType="solid">
          <bgColor rgb="FFFFFF00"/>
        </patternFill>
      </fill>
    </dxf>
  </rfmt>
  <rfmt sheetId="1" sqref="A419:XFD419">
    <dxf>
      <fill>
        <patternFill>
          <bgColor rgb="FF00B050"/>
        </patternFill>
      </fill>
    </dxf>
  </rfmt>
  <rfmt sheetId="1" sqref="E419:J419">
    <dxf>
      <fill>
        <patternFill>
          <bgColor rgb="FFFFFF00"/>
        </patternFill>
      </fill>
    </dxf>
  </rfmt>
  <rfmt sheetId="1" sqref="E420:J420">
    <dxf>
      <fill>
        <patternFill patternType="none">
          <bgColor auto="1"/>
        </patternFill>
      </fill>
    </dxf>
  </rfmt>
  <rfmt sheetId="1" sqref="E267:J267">
    <dxf>
      <fill>
        <patternFill>
          <bgColor rgb="FFFFFF00"/>
        </patternFill>
      </fill>
    </dxf>
  </rfmt>
  <rfmt sheetId="1" sqref="E661:J661">
    <dxf>
      <fill>
        <patternFill>
          <bgColor rgb="FFFFFF00"/>
        </patternFill>
      </fill>
    </dxf>
  </rfmt>
  <rfmt sheetId="1" sqref="E324:J324">
    <dxf>
      <fill>
        <patternFill patternType="solid">
          <bgColor rgb="FFFFFF00"/>
        </patternFill>
      </fill>
    </dxf>
  </rfmt>
  <rfmt sheetId="1" sqref="A323:XFD323">
    <dxf>
      <fill>
        <patternFill>
          <bgColor rgb="FF00B050"/>
        </patternFill>
      </fill>
    </dxf>
  </rfmt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55:XFD255" start="0" length="0">
    <dxf>
      <border>
        <top/>
      </border>
    </dxf>
  </rfmt>
  <rcc rId="9958" sId="1">
    <oc r="K323">
      <v>0</v>
    </oc>
    <nc r="K323">
      <v>222</v>
    </nc>
  </rcc>
  <rcc rId="9959" sId="1">
    <oc r="K322">
      <v>0</v>
    </oc>
    <nc r="K322">
      <v>2000</v>
    </nc>
  </rcc>
  <rfmt sheetId="1" sqref="J324:J325">
    <dxf>
      <fill>
        <patternFill patternType="solid">
          <bgColor theme="7"/>
        </patternFill>
      </fill>
    </dxf>
  </rfmt>
  <rfmt sheetId="1" sqref="J305:J306">
    <dxf>
      <fill>
        <patternFill>
          <bgColor theme="7"/>
        </patternFill>
      </fill>
    </dxf>
  </rfmt>
  <rcc rId="9960" sId="1">
    <oc r="K362">
      <v>0</v>
    </oc>
    <nc r="K362">
      <v>600</v>
    </nc>
  </rcc>
  <rfmt sheetId="1" sqref="A362:XFD362">
    <dxf>
      <fill>
        <patternFill>
          <bgColor rgb="FF00B050"/>
        </patternFill>
      </fill>
    </dxf>
  </rfmt>
  <rfmt sheetId="1" sqref="A363:XFD363">
    <dxf>
      <fill>
        <patternFill patternType="solid">
          <bgColor rgb="FFFFFF00"/>
        </patternFill>
      </fill>
    </dxf>
  </rfmt>
  <rfmt sheetId="1" sqref="K363">
    <dxf>
      <fill>
        <patternFill>
          <bgColor rgb="FF00B0F0"/>
        </patternFill>
      </fill>
    </dxf>
  </rfmt>
  <rfmt sheetId="1" sqref="J364:J365">
    <dxf>
      <fill>
        <patternFill patternType="solid">
          <bgColor rgb="FF00B0F0"/>
        </patternFill>
      </fill>
    </dxf>
  </rfmt>
  <rcc rId="9961" sId="1">
    <oc r="K391">
      <v>0</v>
    </oc>
    <nc r="K391">
      <v>300</v>
    </nc>
  </rcc>
  <rfmt sheetId="1" sqref="J393:J395">
    <dxf>
      <fill>
        <patternFill patternType="solid">
          <bgColor rgb="FF00B0F0"/>
        </patternFill>
      </fill>
    </dxf>
  </rfmt>
  <rfmt sheetId="1" sqref="E396:G396">
    <dxf>
      <fill>
        <patternFill patternType="none">
          <bgColor auto="1"/>
        </patternFill>
      </fill>
    </dxf>
  </rfmt>
  <rfmt sheetId="1" sqref="E398:G398">
    <dxf>
      <fill>
        <patternFill patternType="solid">
          <bgColor theme="5" tint="0.39997558519241921"/>
        </patternFill>
      </fill>
    </dxf>
  </rfmt>
  <rcc rId="9962" sId="1">
    <oc r="G398" t="inlineStr">
      <is>
        <t>Spectrum QC HA S4</t>
      </is>
    </oc>
    <nc r="G398" t="inlineStr">
      <is>
        <r>
          <t xml:space="preserve">Spectrum QC HA S4 - </t>
        </r>
        <r>
          <rPr>
            <b/>
            <sz val="11"/>
            <color rgb="FFFF0000"/>
            <rFont val="Aptos Narrow"/>
            <family val="2"/>
          </rPr>
          <t>MIPI Cameras</t>
        </r>
      </is>
    </nc>
  </rcc>
  <rfmt sheetId="1" sqref="J396">
    <dxf>
      <fill>
        <patternFill patternType="solid">
          <bgColor rgb="FF00B0F0"/>
        </patternFill>
      </fill>
    </dxf>
  </rfmt>
  <rcc rId="9963" sId="1">
    <oc r="G368" t="inlineStr">
      <is>
        <t>Spectrum QC HA S3</t>
      </is>
    </oc>
    <nc r="G368" t="inlineStr">
      <is>
        <r>
          <t>Spectrum QC HA S3 -</t>
        </r>
        <r>
          <rPr>
            <b/>
            <sz val="11"/>
            <color rgb="FFFF0000"/>
            <rFont val="Aptos Narrow"/>
            <family val="2"/>
          </rPr>
          <t xml:space="preserve"> MIPI Cameras</t>
        </r>
        <r>
          <rPr>
            <sz val="11"/>
            <color theme="1"/>
            <rFont val="Aptos Narrow"/>
            <family val="2"/>
          </rPr>
          <t xml:space="preserve"> </t>
        </r>
        <r>
          <rPr>
            <b/>
            <sz val="11"/>
            <color theme="8"/>
            <rFont val="Aptos Narrow"/>
            <family val="2"/>
          </rPr>
          <t>(in Purple bags)</t>
        </r>
      </is>
    </nc>
  </rcc>
  <rcc rId="9964" sId="1">
    <oc r="G366" t="inlineStr">
      <is>
        <r>
          <t xml:space="preserve">Spectrum QC HA S3 - </t>
        </r>
        <r>
          <rPr>
            <b/>
            <sz val="11"/>
            <color rgb="FFFF0000"/>
            <rFont val="Aptos Narrow"/>
            <family val="2"/>
          </rPr>
          <t>MIPI Cameras</t>
        </r>
        <r>
          <rPr>
            <sz val="11"/>
            <color theme="1"/>
            <rFont val="Aptos Narrow"/>
            <family val="2"/>
          </rPr>
          <t xml:space="preserve"> (in Purple bags)</t>
        </r>
      </is>
    </oc>
    <nc r="G366" t="inlineStr">
      <is>
        <t xml:space="preserve">Spectrum QC HA S3 </t>
      </is>
    </nc>
  </rcc>
  <rfmt sheetId="1" sqref="E366:G366">
    <dxf>
      <fill>
        <patternFill patternType="none">
          <bgColor auto="1"/>
        </patternFill>
      </fill>
    </dxf>
  </rfmt>
  <rfmt sheetId="1" sqref="E368:J368">
    <dxf>
      <fill>
        <patternFill patternType="solid">
          <bgColor theme="5" tint="0.39997558519241921"/>
        </patternFill>
      </fill>
    </dxf>
  </rfmt>
  <rcc rId="9965" sId="1">
    <oc r="G327" t="inlineStr">
      <is>
        <r>
          <t xml:space="preserve">QC ECO ,MAC S4, NS, GS SPECTRUM BOX-10 - </t>
        </r>
        <r>
          <rPr>
            <b/>
            <sz val="11"/>
            <color rgb="FFFF0000"/>
            <rFont val="Aptos Narrow"/>
            <family val="2"/>
          </rPr>
          <t>MIPI Cameras</t>
        </r>
      </is>
    </oc>
    <nc r="G327" t="inlineStr">
      <is>
        <r>
          <t xml:space="preserve">QC ECO ,MAC S4, NS, GS SPECTRUM - </t>
        </r>
        <r>
          <rPr>
            <b/>
            <sz val="11"/>
            <color rgb="FFFF0000"/>
            <rFont val="Aptos Narrow"/>
            <family val="2"/>
          </rPr>
          <t xml:space="preserve">MIPI Cameras  </t>
        </r>
        <r>
          <rPr>
            <b/>
            <sz val="11"/>
            <color theme="8"/>
            <rFont val="Aptos Narrow"/>
            <family val="2"/>
          </rPr>
          <t>(in Purple bags)</t>
        </r>
      </is>
    </nc>
  </rcc>
  <rcc rId="9966" sId="1">
    <oc r="G308" t="inlineStr">
      <is>
        <r>
          <t xml:space="preserve">QC ECO ,MAC S3, NS, GS SPECTRUM BOX-10- </t>
        </r>
        <r>
          <rPr>
            <b/>
            <sz val="11"/>
            <color rgb="FFFF0000"/>
            <rFont val="Aptos Narrow"/>
            <family val="2"/>
          </rPr>
          <t>MIPI Cameras</t>
        </r>
      </is>
    </oc>
    <nc r="G308" t="inlineStr">
      <is>
        <r>
          <t xml:space="preserve">QC ECO ,MAC S3, NS, GS SPECTRUM </t>
        </r>
        <r>
          <rPr>
            <b/>
            <sz val="11"/>
            <color rgb="FFFF0000"/>
            <rFont val="Aptos Narrow"/>
            <family val="2"/>
          </rPr>
          <t xml:space="preserve">MIPI Cameras  </t>
        </r>
        <r>
          <rPr>
            <b/>
            <sz val="11"/>
            <color theme="8"/>
            <rFont val="Aptos Narrow"/>
            <family val="2"/>
          </rPr>
          <t>(in Purple bags)</t>
        </r>
      </is>
    </nc>
  </rcc>
  <rfmt sheetId="1" sqref="J366">
    <dxf>
      <fill>
        <patternFill patternType="solid">
          <bgColor rgb="FF00B0F0"/>
        </patternFill>
      </fill>
    </dxf>
  </rfmt>
  <rcc rId="9967" sId="1">
    <oc r="G349" t="inlineStr">
      <is>
        <r>
          <t xml:space="preserve">QC ECO ,HA S2, NS, GS SPECTRUM BOX-10- </t>
        </r>
        <r>
          <rPr>
            <b/>
            <sz val="11"/>
            <color rgb="FFFF0000"/>
            <rFont val="Aptos Narrow"/>
            <family val="2"/>
          </rPr>
          <t>MIPI Cameras</t>
        </r>
      </is>
    </oc>
    <nc r="G349" t="inlineStr">
      <is>
        <t>QC ECO ,HA S2, NS, GS SPECTRUM</t>
      </is>
    </nc>
  </rcc>
  <rcc rId="9968" sId="1">
    <oc r="G350" t="inlineStr">
      <is>
        <t>QC ECO ,HA S2, NS, GS SPECTRUM BOX-10</t>
      </is>
    </oc>
    <nc r="G350" t="inlineStr">
      <is>
        <r>
          <t xml:space="preserve">QC ECO ,HA S2, NS, GS SPECTRUM BOX-10 - </t>
        </r>
        <r>
          <rPr>
            <b/>
            <sz val="11"/>
            <color rgb="FFFF0000"/>
            <rFont val="Aptos Narrow"/>
            <family val="2"/>
          </rPr>
          <t>MIPI Cameras</t>
        </r>
        <r>
          <rPr>
            <sz val="11"/>
            <color theme="1"/>
            <rFont val="Aptos Narrow"/>
            <family val="2"/>
          </rPr>
          <t xml:space="preserve"> </t>
        </r>
        <r>
          <rPr>
            <b/>
            <sz val="11"/>
            <color theme="8"/>
            <rFont val="Aptos Narrow"/>
            <family val="2"/>
          </rPr>
          <t>(in Purple bags)</t>
        </r>
      </is>
    </nc>
  </rcc>
  <rfmt sheetId="1" sqref="E350:J350">
    <dxf>
      <fill>
        <patternFill patternType="solid">
          <bgColor theme="5" tint="0.39997558519241921"/>
        </patternFill>
      </fill>
    </dxf>
  </rfmt>
  <rfmt sheetId="1" sqref="A349:XFD349">
    <dxf>
      <fill>
        <patternFill patternType="none">
          <bgColor auto="1"/>
        </patternFill>
      </fill>
    </dxf>
  </rfmt>
  <rfmt sheetId="1" sqref="J346:J347 J349">
    <dxf>
      <fill>
        <patternFill patternType="solid">
          <bgColor rgb="FF00B0F0"/>
        </patternFill>
      </fill>
    </dxf>
  </rfmt>
  <rfmt sheetId="1" sqref="J346:J347">
    <dxf>
      <fill>
        <patternFill patternType="none">
          <bgColor auto="1"/>
        </patternFill>
      </fill>
    </dxf>
  </rfmt>
  <rfmt sheetId="1" sqref="J349">
    <dxf>
      <fill>
        <patternFill patternType="none">
          <bgColor auto="1"/>
        </patternFill>
      </fill>
    </dxf>
  </rfmt>
  <rfmt sheetId="1" sqref="J324:J325">
    <dxf>
      <fill>
        <patternFill patternType="none">
          <bgColor auto="1"/>
        </patternFill>
      </fill>
    </dxf>
  </rfmt>
  <rfmt sheetId="1" sqref="J305:J306">
    <dxf>
      <fill>
        <patternFill patternType="none">
          <bgColor auto="1"/>
        </patternFill>
      </fill>
    </dxf>
  </rfmt>
  <rfmt sheetId="1" sqref="K363">
    <dxf>
      <fill>
        <patternFill patternType="none">
          <bgColor auto="1"/>
        </patternFill>
      </fill>
    </dxf>
  </rfmt>
  <rfmt sheetId="1" sqref="K363">
    <dxf>
      <fill>
        <patternFill patternType="solid">
          <bgColor rgb="FFFFFF00"/>
        </patternFill>
      </fill>
    </dxf>
  </rfmt>
  <rfmt sheetId="1" sqref="J364:J366">
    <dxf>
      <fill>
        <patternFill patternType="none">
          <bgColor auto="1"/>
        </patternFill>
      </fill>
    </dxf>
  </rfmt>
  <rfmt sheetId="1" sqref="J393:J396">
    <dxf>
      <fill>
        <patternFill patternType="none">
          <bgColor auto="1"/>
        </patternFill>
      </fill>
    </dxf>
  </rfmt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69" sId="1">
    <oc r="G398" t="inlineStr">
      <is>
        <r>
          <t xml:space="preserve">Spectrum QC HA S4 - </t>
        </r>
        <r>
          <rPr>
            <b/>
            <sz val="11"/>
            <color rgb="FFFF0000"/>
            <rFont val="Aptos Narrow"/>
            <family val="2"/>
          </rPr>
          <t>MIPI Cameras</t>
        </r>
      </is>
    </oc>
    <nc r="G398" t="inlineStr">
      <is>
        <r>
          <t xml:space="preserve">Spectrum QC HA S4 - </t>
        </r>
        <r>
          <rPr>
            <b/>
            <sz val="11"/>
            <color rgb="FFFF0000"/>
            <rFont val="Aptos Narrow"/>
            <family val="2"/>
          </rPr>
          <t>MIPI Cameras</t>
        </r>
        <r>
          <rPr>
            <b/>
            <sz val="11"/>
            <color theme="8"/>
            <rFont val="Aptos Narrow"/>
            <family val="2"/>
          </rPr>
          <t xml:space="preserve"> (in Purple bags)</t>
        </r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70" sId="1">
    <nc r="O445" t="inlineStr">
      <is>
        <t>P</t>
      </is>
    </nc>
  </rcc>
  <rcc rId="9971" sId="1">
    <nc r="O193" t="inlineStr">
      <is>
        <t>P 07-21-2026</t>
      </is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972" sId="1" ref="A76:XFD76" action="insertRow"/>
  <rrc rId="9973" sId="1" ref="A76:XFD76" action="insertRow"/>
  <rrc rId="9974" sId="1" ref="A76:XFD77" action="insertRow"/>
  <rrc rId="9975" sId="1" ref="A76:XFD79" action="insertRow"/>
  <rrc rId="9976" sId="1" ref="A76:XFD83" action="insertRow"/>
  <rrc rId="9977" sId="1" ref="A76:XFD83" action="insertRow"/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78" sId="1">
    <nc r="E76" t="inlineStr">
      <is>
        <t>W1029937</t>
      </is>
    </nc>
  </rcc>
  <rfmt sheetId="1" sqref="E76">
    <dxf>
      <border diagonalUp="0" diagonalDown="0" outline="0">
        <left/>
        <right/>
        <top/>
        <bottom/>
      </border>
    </dxf>
  </rfmt>
  <rcc rId="9979" sId="1" odxf="1" dxf="1">
    <nc r="E77" t="inlineStr">
      <is>
        <t>W1029938</t>
      </is>
    </nc>
    <odxf/>
    <ndxf/>
  </rcc>
  <rcc rId="9980" sId="1" odxf="1" dxf="1">
    <nc r="E78" t="inlineStr">
      <is>
        <t>W1029939</t>
      </is>
    </nc>
    <odxf/>
    <ndxf/>
  </rcc>
  <rcc rId="9981" sId="1" odxf="1" dxf="1">
    <nc r="E79" t="inlineStr">
      <is>
        <t>W1029940</t>
      </is>
    </nc>
    <odxf/>
    <ndxf/>
  </rcc>
  <rcc rId="9982" sId="1" odxf="1" dxf="1">
    <nc r="E80" t="inlineStr">
      <is>
        <t>W1029941</t>
      </is>
    </nc>
    <odxf/>
    <ndxf/>
  </rcc>
  <rcc rId="9983" sId="1" odxf="1" dxf="1">
    <nc r="E81" t="inlineStr">
      <is>
        <t>W1029942</t>
      </is>
    </nc>
    <odxf/>
    <ndxf/>
  </rcc>
  <rcc rId="9984" sId="1" odxf="1" dxf="1">
    <nc r="E82" t="inlineStr">
      <is>
        <t>W1029943</t>
      </is>
    </nc>
    <odxf/>
    <ndxf/>
  </rcc>
  <rcc rId="9985" sId="1" odxf="1" dxf="1">
    <nc r="E83" t="inlineStr">
      <is>
        <t>W1029944</t>
      </is>
    </nc>
    <odxf/>
    <ndxf/>
  </rcc>
  <rfmt sheetId="1" sqref="E84" start="0" length="0">
    <dxf/>
  </rfmt>
  <rcc rId="9986" sId="1">
    <nc r="E84" t="inlineStr">
      <is>
        <t>W1030202</t>
      </is>
    </nc>
  </rcc>
  <rfmt sheetId="1" sqref="E84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9987" sId="1" odxf="1" dxf="1">
    <nc r="E85" t="inlineStr">
      <is>
        <t>W1030203</t>
      </is>
    </nc>
    <odxf/>
    <ndxf/>
  </rcc>
  <rcc rId="9988" sId="1" odxf="1" dxf="1">
    <nc r="E86" t="inlineStr">
      <is>
        <t>W1030204</t>
      </is>
    </nc>
    <odxf/>
    <ndxf/>
  </rcc>
  <rcc rId="9989" sId="1" odxf="1" dxf="1">
    <nc r="E87" t="inlineStr">
      <is>
        <t>W1030205</t>
      </is>
    </nc>
    <odxf/>
    <ndxf/>
  </rcc>
  <rcc rId="9990" sId="1" odxf="1" dxf="1">
    <nc r="E88" t="inlineStr">
      <is>
        <t>W1030206</t>
      </is>
    </nc>
    <odxf/>
    <ndxf/>
  </rcc>
  <rcc rId="9991" sId="1" odxf="1" dxf="1">
    <nc r="E89" t="inlineStr">
      <is>
        <t>W1030207</t>
      </is>
    </nc>
    <odxf/>
    <ndxf/>
  </rcc>
  <rcc rId="9992" sId="1" odxf="1" dxf="1">
    <nc r="E90" t="inlineStr">
      <is>
        <t>W1030208</t>
      </is>
    </nc>
    <odxf/>
    <ndxf/>
  </rcc>
  <rcc rId="9993" sId="1" odxf="1" dxf="1">
    <nc r="E91" t="inlineStr">
      <is>
        <t>W1030209</t>
      </is>
    </nc>
    <odxf/>
    <ndxf/>
  </rcc>
  <rcc rId="9994" sId="1" odxf="1" dxf="1">
    <nc r="E92" t="inlineStr">
      <is>
        <t>W1030210</t>
      </is>
    </nc>
    <odxf/>
    <ndxf/>
  </rcc>
  <rcc rId="9995" sId="1" odxf="1" dxf="1">
    <nc r="E93" t="inlineStr">
      <is>
        <t>W1030211</t>
      </is>
    </nc>
    <odxf/>
    <ndxf/>
  </rcc>
  <rcc rId="9996" sId="1" xfDxf="1" dxf="1">
    <nc r="F76" t="inlineStr">
      <is>
        <t>SMI3/730080</t>
      </is>
    </nc>
    <ndxf/>
  </rcc>
  <rcc rId="9997" sId="1" xfDxf="1" dxf="1">
    <nc r="F77" t="inlineStr">
      <is>
        <t>SMI3/730080</t>
      </is>
    </nc>
    <ndxf/>
  </rcc>
  <rcc rId="9998" sId="1" xfDxf="1" dxf="1">
    <nc r="F78" t="inlineStr">
      <is>
        <t>SMI3/730080</t>
      </is>
    </nc>
    <ndxf/>
  </rcc>
  <rcc rId="9999" sId="1">
    <nc r="F79" t="inlineStr">
      <is>
        <t>SMI3/730080</t>
      </is>
    </nc>
  </rcc>
  <rcc rId="10000" sId="1">
    <nc r="F80" t="inlineStr">
      <is>
        <t>SMI3/730080</t>
      </is>
    </nc>
  </rcc>
  <rcc rId="10001" sId="1">
    <nc r="F81" t="inlineStr">
      <is>
        <t>SMI3/730080</t>
      </is>
    </nc>
  </rcc>
  <rcc rId="10002" sId="1">
    <nc r="F82" t="inlineStr">
      <is>
        <t>SMI3/730080</t>
      </is>
    </nc>
  </rcc>
  <rcc rId="10003" sId="1">
    <nc r="F83" t="inlineStr">
      <is>
        <t>SMI3/730080</t>
      </is>
    </nc>
  </rcc>
  <rcc rId="10004" sId="1">
    <nc r="F84" t="inlineStr">
      <is>
        <t>SMI3/730080</t>
      </is>
    </nc>
  </rcc>
  <rcc rId="10005" sId="1">
    <nc r="F85" t="inlineStr">
      <is>
        <t>SMI3/730080</t>
      </is>
    </nc>
  </rcc>
  <rcc rId="10006" sId="1">
    <nc r="F86" t="inlineStr">
      <is>
        <t>SMI3/730080</t>
      </is>
    </nc>
  </rcc>
  <rcc rId="10007" sId="1">
    <nc r="F87" t="inlineStr">
      <is>
        <t>SMI3/730080</t>
      </is>
    </nc>
  </rcc>
  <rcc rId="10008" sId="1">
    <nc r="F88" t="inlineStr">
      <is>
        <t>SMI3/730080</t>
      </is>
    </nc>
  </rcc>
  <rcc rId="10009" sId="1">
    <nc r="F89" t="inlineStr">
      <is>
        <t>SMI3/730080</t>
      </is>
    </nc>
  </rcc>
  <rcc rId="10010" sId="1">
    <nc r="F90" t="inlineStr">
      <is>
        <t>SMI3/730080</t>
      </is>
    </nc>
  </rcc>
  <rcc rId="10011" sId="1">
    <nc r="F91" t="inlineStr">
      <is>
        <t>SMI3/730080</t>
      </is>
    </nc>
  </rcc>
  <rcc rId="10012" sId="1">
    <nc r="F92" t="inlineStr">
      <is>
        <t>SMI3/730080</t>
      </is>
    </nc>
  </rcc>
  <rcc rId="10013" sId="1">
    <nc r="F93" t="inlineStr">
      <is>
        <t>SMI3/730080</t>
      </is>
    </nc>
  </rcc>
  <rcc rId="10014" sId="1" odxf="1" dxf="1">
    <nc r="A76" t="inlineStr">
      <is>
        <t>Zone 1</t>
      </is>
    </nc>
    <odxf/>
    <ndxf/>
  </rcc>
  <rcc rId="10015" sId="1" odxf="1" dxf="1">
    <nc r="A77" t="inlineStr">
      <is>
        <t>Zone 1</t>
      </is>
    </nc>
    <odxf/>
    <ndxf/>
  </rcc>
  <rcc rId="10016" sId="1" odxf="1" dxf="1">
    <nc r="A78" t="inlineStr">
      <is>
        <t>Zone 1</t>
      </is>
    </nc>
    <odxf/>
    <ndxf/>
  </rcc>
  <rcc rId="10017" sId="1" odxf="1" dxf="1">
    <nc r="A79" t="inlineStr">
      <is>
        <t>Zone 1</t>
      </is>
    </nc>
    <odxf/>
    <ndxf/>
  </rcc>
  <rcc rId="10018" sId="1" odxf="1" dxf="1">
    <nc r="A80" t="inlineStr">
      <is>
        <t>Zone 1</t>
      </is>
    </nc>
    <odxf/>
    <ndxf/>
  </rcc>
  <rcc rId="10019" sId="1" odxf="1" dxf="1">
    <nc r="A81" t="inlineStr">
      <is>
        <t>Zone 1</t>
      </is>
    </nc>
    <odxf/>
    <ndxf/>
  </rcc>
  <rfmt sheetId="1" sqref="A82" start="0" length="0">
    <dxf/>
  </rfmt>
  <rfmt sheetId="1" sqref="A83" start="0" length="0">
    <dxf/>
  </rfmt>
  <rfmt sheetId="1" sqref="A84" start="0" length="0">
    <dxf/>
  </rfmt>
  <rcc rId="10020" sId="1">
    <nc r="A82" t="inlineStr">
      <is>
        <t>Zone 1</t>
      </is>
    </nc>
  </rcc>
  <rcc rId="10021" sId="1">
    <nc r="A83" t="inlineStr">
      <is>
        <t>Zone 1</t>
      </is>
    </nc>
  </rcc>
  <rcc rId="10022" sId="1">
    <nc r="A84" t="inlineStr">
      <is>
        <t>Zone 1</t>
      </is>
    </nc>
  </rcc>
  <rcc rId="10023" sId="1" odxf="1" dxf="1">
    <nc r="A85" t="inlineStr">
      <is>
        <t>Zone 1</t>
      </is>
    </nc>
    <odxf/>
    <ndxf/>
  </rcc>
  <rfmt sheetId="1" sqref="A86" start="0" length="0">
    <dxf/>
  </rfmt>
  <rfmt sheetId="1" sqref="A87" start="0" length="0">
    <dxf/>
  </rfmt>
  <rfmt sheetId="1" sqref="A88" start="0" length="0">
    <dxf/>
  </rfmt>
  <rfmt sheetId="1" sqref="A89" start="0" length="0">
    <dxf/>
  </rfmt>
  <rfmt sheetId="1" sqref="A90" start="0" length="0">
    <dxf/>
  </rfmt>
  <rcc rId="10024" sId="1">
    <nc r="A86" t="inlineStr">
      <is>
        <t>Zone 1</t>
      </is>
    </nc>
  </rcc>
  <rcc rId="10025" sId="1">
    <nc r="A87" t="inlineStr">
      <is>
        <t>Zone 1</t>
      </is>
    </nc>
  </rcc>
  <rcc rId="10026" sId="1">
    <nc r="A88" t="inlineStr">
      <is>
        <t>Zone 1</t>
      </is>
    </nc>
  </rcc>
  <rcc rId="10027" sId="1">
    <nc r="A89" t="inlineStr">
      <is>
        <t>Zone 1</t>
      </is>
    </nc>
  </rcc>
  <rcc rId="10028" sId="1">
    <nc r="A90" t="inlineStr">
      <is>
        <t>Zone 1</t>
      </is>
    </nc>
  </rcc>
  <rcc rId="10029" sId="1" odxf="1" dxf="1">
    <nc r="A91" t="inlineStr">
      <is>
        <t>Zone 1</t>
      </is>
    </nc>
    <odxf/>
    <ndxf/>
  </rcc>
  <rcc rId="10030" sId="1" odxf="1" dxf="1">
    <nc r="A92" t="inlineStr">
      <is>
        <t>Zone 1</t>
      </is>
    </nc>
    <odxf/>
    <ndxf/>
  </rcc>
  <rcc rId="10031" sId="1" odxf="1" dxf="1">
    <nc r="A93" t="inlineStr">
      <is>
        <t>Zone 1</t>
      </is>
    </nc>
    <odxf/>
    <ndxf/>
  </rcc>
  <rfmt sheetId="1" sqref="A94" start="0" length="0">
    <dxf/>
  </rfmt>
  <rcc rId="10032" sId="1">
    <nc r="J76">
      <v>18000</v>
    </nc>
  </rcc>
  <rfmt sheetId="1" sqref="J76">
    <dxf>
      <border diagonalUp="0" diagonalDown="0" outline="0">
        <left/>
        <right/>
        <top/>
        <bottom/>
      </border>
    </dxf>
  </rfmt>
  <rcc rId="10033" sId="1">
    <nc r="K76">
      <v>0</v>
    </nc>
  </rcc>
  <rfmt sheetId="1" sqref="K76">
    <dxf>
      <border diagonalUp="0" diagonalDown="0" outline="0">
        <left/>
        <right/>
        <top/>
        <bottom/>
      </border>
    </dxf>
  </rfmt>
  <rcc rId="10034" sId="1" odxf="1" dxf="1">
    <nc r="J77">
      <v>18000</v>
    </nc>
    <odxf/>
    <ndxf/>
  </rcc>
  <rcc rId="10035" sId="1" odxf="1" dxf="1">
    <nc r="K77">
      <v>0</v>
    </nc>
    <odxf/>
    <ndxf/>
  </rcc>
  <rcc rId="10036" sId="1" odxf="1" dxf="1">
    <nc r="J79">
      <v>18000</v>
    </nc>
    <odxf/>
    <ndxf/>
  </rcc>
  <rcc rId="10037" sId="1" odxf="1" dxf="1">
    <nc r="K79">
      <v>0</v>
    </nc>
    <odxf/>
    <ndxf/>
  </rcc>
  <rcc rId="10038" sId="1" odxf="1" dxf="1">
    <nc r="J78">
      <v>18000</v>
    </nc>
    <odxf/>
    <ndxf/>
  </rcc>
  <rcc rId="10039" sId="1" odxf="1" dxf="1">
    <nc r="K78">
      <v>0</v>
    </nc>
    <odxf/>
    <ndxf/>
  </rcc>
  <rcc rId="10040" sId="1" odxf="1" dxf="1">
    <nc r="J80">
      <v>18000</v>
    </nc>
    <odxf/>
    <ndxf/>
  </rcc>
  <rcc rId="10041" sId="1" odxf="1" dxf="1">
    <nc r="K80">
      <v>0</v>
    </nc>
    <odxf/>
    <ndxf/>
  </rcc>
  <rcc rId="10042" sId="1" odxf="1" dxf="1">
    <nc r="J81">
      <v>18000</v>
    </nc>
    <odxf/>
    <ndxf/>
  </rcc>
  <rcc rId="10043" sId="1" odxf="1" dxf="1">
    <nc r="K81">
      <v>0</v>
    </nc>
    <odxf/>
    <ndxf/>
  </rcc>
  <rcc rId="10044" sId="1" odxf="1" dxf="1">
    <nc r="J82">
      <v>18000</v>
    </nc>
    <odxf/>
    <ndxf/>
  </rcc>
  <rcc rId="10045" sId="1" odxf="1" dxf="1">
    <nc r="K82">
      <v>0</v>
    </nc>
    <odxf/>
    <ndxf/>
  </rcc>
  <rcc rId="10046" sId="1" odxf="1" dxf="1">
    <nc r="J83">
      <v>18000</v>
    </nc>
    <odxf/>
    <ndxf/>
  </rcc>
  <rcc rId="10047" sId="1" odxf="1" dxf="1">
    <nc r="K83">
      <v>0</v>
    </nc>
    <odxf/>
    <ndxf/>
  </rcc>
  <rcc rId="10048" sId="1" odxf="1" dxf="1">
    <nc r="J84">
      <v>18000</v>
    </nc>
    <odxf/>
    <ndxf/>
  </rcc>
  <rcc rId="10049" sId="1" odxf="1" dxf="1">
    <nc r="K84">
      <v>0</v>
    </nc>
    <odxf/>
    <ndxf/>
  </rcc>
  <rcc rId="10050" sId="1" odxf="1" dxf="1">
    <nc r="J85">
      <v>18000</v>
    </nc>
    <odxf/>
    <ndxf/>
  </rcc>
  <rcc rId="10051" sId="1" odxf="1" dxf="1">
    <nc r="K85">
      <v>0</v>
    </nc>
    <odxf/>
    <ndxf/>
  </rcc>
  <rcc rId="10052" sId="1" odxf="1" dxf="1">
    <nc r="J86">
      <v>18000</v>
    </nc>
    <odxf/>
    <ndxf/>
  </rcc>
  <rcc rId="10053" sId="1" odxf="1" dxf="1">
    <nc r="K86">
      <v>0</v>
    </nc>
    <odxf/>
    <ndxf/>
  </rcc>
  <rcc rId="10054" sId="1" odxf="1" dxf="1">
    <nc r="J87">
      <v>18000</v>
    </nc>
    <odxf/>
    <ndxf/>
  </rcc>
  <rcc rId="10055" sId="1" odxf="1" dxf="1">
    <nc r="K87">
      <v>0</v>
    </nc>
    <odxf/>
    <ndxf/>
  </rcc>
  <rcc rId="10056" sId="1" odxf="1" dxf="1">
    <nc r="J88">
      <v>18000</v>
    </nc>
    <odxf/>
    <ndxf/>
  </rcc>
  <rcc rId="10057" sId="1" odxf="1" dxf="1">
    <nc r="K88">
      <v>0</v>
    </nc>
    <odxf/>
    <ndxf/>
  </rcc>
  <rcc rId="10058" sId="1" odxf="1" dxf="1">
    <nc r="J89">
      <v>18000</v>
    </nc>
    <odxf/>
    <ndxf/>
  </rcc>
  <rcc rId="10059" sId="1" odxf="1" dxf="1">
    <nc r="K89">
      <v>0</v>
    </nc>
    <odxf/>
    <ndxf/>
  </rcc>
  <rcc rId="10060" sId="1" odxf="1" dxf="1">
    <nc r="J90">
      <v>18000</v>
    </nc>
    <odxf/>
    <ndxf/>
  </rcc>
  <rcc rId="10061" sId="1" odxf="1" dxf="1">
    <nc r="K90">
      <v>0</v>
    </nc>
    <odxf/>
    <ndxf/>
  </rcc>
  <rcc rId="10062" sId="1" odxf="1" dxf="1">
    <nc r="J91">
      <v>18000</v>
    </nc>
    <odxf/>
    <ndxf/>
  </rcc>
  <rcc rId="10063" sId="1" odxf="1" dxf="1">
    <nc r="K91">
      <v>0</v>
    </nc>
    <odxf/>
    <ndxf/>
  </rcc>
  <rcc rId="10064" sId="1" odxf="1" dxf="1">
    <nc r="J92">
      <v>18000</v>
    </nc>
    <odxf/>
    <ndxf/>
  </rcc>
  <rcc rId="10065" sId="1" odxf="1" dxf="1">
    <nc r="K92">
      <v>0</v>
    </nc>
    <odxf/>
    <ndxf/>
  </rcc>
  <rcc rId="10066" sId="1" odxf="1" dxf="1">
    <nc r="J93">
      <v>18000</v>
    </nc>
    <odxf/>
    <ndxf/>
  </rcc>
  <rcc rId="10067" sId="1" odxf="1" dxf="1">
    <nc r="K93">
      <v>0</v>
    </nc>
    <odxf/>
    <ndxf/>
  </rcc>
  <rfmt sheetId="1" sqref="B76">
    <dxf>
      <border diagonalUp="0" diagonalDown="0" outline="0">
        <left/>
        <right/>
        <top/>
        <bottom/>
      </border>
    </dxf>
  </rfmt>
  <rcc rId="10068" sId="1">
    <nc r="C76">
      <v>1</v>
    </nc>
  </rcc>
  <rfmt sheetId="1" sqref="C76">
    <dxf>
      <border diagonalUp="0" diagonalDown="0" outline="0">
        <left/>
        <right/>
        <top/>
        <bottom/>
      </border>
    </dxf>
  </rfmt>
  <rfmt sheetId="1" sqref="B77" start="0" length="0">
    <dxf/>
  </rfmt>
  <rcc rId="10069" sId="1" odxf="1" dxf="1">
    <nc r="C77">
      <v>1</v>
    </nc>
    <odxf/>
    <ndxf/>
  </rcc>
  <rfmt sheetId="1" sqref="B78" start="0" length="0">
    <dxf/>
  </rfmt>
  <rcc rId="10070" sId="1" odxf="1" dxf="1">
    <nc r="C78">
      <v>1</v>
    </nc>
    <odxf/>
    <ndxf/>
  </rcc>
  <rfmt sheetId="1" sqref="B79" start="0" length="0">
    <dxf/>
  </rfmt>
  <rcc rId="10071" sId="1" odxf="1" dxf="1">
    <nc r="C79">
      <v>1</v>
    </nc>
    <odxf/>
    <ndxf/>
  </rcc>
  <rfmt sheetId="1" sqref="B80" start="0" length="0">
    <dxf/>
  </rfmt>
  <rcc rId="10072" sId="1" odxf="1" dxf="1">
    <nc r="C80">
      <v>1</v>
    </nc>
    <odxf/>
    <ndxf/>
  </rcc>
  <rfmt sheetId="1" sqref="B81" start="0" length="0">
    <dxf/>
  </rfmt>
  <rcc rId="10073" sId="1" odxf="1" dxf="1">
    <nc r="C81">
      <v>1</v>
    </nc>
    <odxf/>
    <ndxf/>
  </rcc>
  <rfmt sheetId="1" sqref="B82" start="0" length="0">
    <dxf/>
  </rfmt>
  <rcc rId="10074" sId="1" odxf="1" dxf="1">
    <nc r="C82">
      <v>1</v>
    </nc>
    <odxf/>
    <ndxf/>
  </rcc>
  <rcc rId="10075" sId="1">
    <nc r="B76" t="inlineStr">
      <is>
        <t>Blade Singulate</t>
      </is>
    </nc>
  </rcc>
  <rcc rId="10076" sId="1">
    <nc r="B77" t="inlineStr">
      <is>
        <t>Blade Singulate</t>
      </is>
    </nc>
  </rcc>
  <rcc rId="10077" sId="1">
    <nc r="B78" t="inlineStr">
      <is>
        <t>Blade Singulate</t>
      </is>
    </nc>
  </rcc>
  <rcc rId="10078" sId="1">
    <nc r="B79" t="inlineStr">
      <is>
        <t>Blade Singulate</t>
      </is>
    </nc>
  </rcc>
  <rcc rId="10079" sId="1">
    <nc r="B80" t="inlineStr">
      <is>
        <t>Blade Singulate</t>
      </is>
    </nc>
  </rcc>
  <rcc rId="10080" sId="1">
    <nc r="B81" t="inlineStr">
      <is>
        <t>Blade Singulate</t>
      </is>
    </nc>
  </rcc>
  <rcc rId="10081" sId="1">
    <nc r="B82" t="inlineStr">
      <is>
        <t>Blade Singulate</t>
      </is>
    </nc>
  </rcc>
  <rcc rId="10082" sId="1" odxf="1" dxf="1">
    <nc r="B83" t="inlineStr">
      <is>
        <t>Blade Singulate</t>
      </is>
    </nc>
    <odxf/>
    <ndxf/>
  </rcc>
  <rcc rId="10083" sId="1" odxf="1" dxf="1">
    <nc r="B84" t="inlineStr">
      <is>
        <t>Blade Singulate</t>
      </is>
    </nc>
    <odxf/>
    <ndxf/>
  </rcc>
  <rcc rId="10084" sId="1" odxf="1" dxf="1">
    <nc r="B85" t="inlineStr">
      <is>
        <t>Blade Singulate</t>
      </is>
    </nc>
    <odxf/>
    <ndxf/>
  </rcc>
  <rcc rId="10085" sId="1" odxf="1" dxf="1">
    <nc r="B86" t="inlineStr">
      <is>
        <t>Blade Singulate</t>
      </is>
    </nc>
    <odxf/>
    <ndxf/>
  </rcc>
  <rcc rId="10086" sId="1" odxf="1" dxf="1">
    <nc r="B87" t="inlineStr">
      <is>
        <t>Blade Singulate</t>
      </is>
    </nc>
    <odxf/>
    <ndxf/>
  </rcc>
  <rcc rId="10087" sId="1" odxf="1" dxf="1">
    <nc r="B88" t="inlineStr">
      <is>
        <t>Blade Singulate</t>
      </is>
    </nc>
    <odxf/>
    <ndxf/>
  </rcc>
  <rcc rId="10088" sId="1" odxf="1" dxf="1">
    <nc r="B89" t="inlineStr">
      <is>
        <t>Blade Singulate</t>
      </is>
    </nc>
    <odxf/>
    <ndxf/>
  </rcc>
  <rcc rId="10089" sId="1" odxf="1" dxf="1">
    <nc r="B90" t="inlineStr">
      <is>
        <t>Blade Singulate</t>
      </is>
    </nc>
    <odxf/>
    <ndxf/>
  </rcc>
  <rcc rId="10090" sId="1" odxf="1" dxf="1">
    <nc r="B91" t="inlineStr">
      <is>
        <t>Blade Singulate</t>
      </is>
    </nc>
    <odxf/>
    <ndxf/>
  </rcc>
  <rcc rId="10091" sId="1" odxf="1" dxf="1">
    <nc r="B92" t="inlineStr">
      <is>
        <t>Blade Singulate</t>
      </is>
    </nc>
    <odxf/>
    <ndxf/>
  </rcc>
  <rcc rId="10092" sId="1" odxf="1" dxf="1">
    <nc r="B93" t="inlineStr">
      <is>
        <t>Blade Singulate</t>
      </is>
    </nc>
    <odxf/>
    <ndxf/>
  </rcc>
  <rcc rId="10093" sId="1" odxf="1" dxf="1">
    <nc r="C83">
      <v>1</v>
    </nc>
    <odxf/>
    <ndxf/>
  </rcc>
  <rcc rId="10094" sId="1" odxf="1" dxf="1">
    <nc r="C84">
      <v>1</v>
    </nc>
    <odxf/>
    <ndxf/>
  </rcc>
  <rfmt sheetId="1" sqref="C85" start="0" length="0">
    <dxf/>
  </rfmt>
  <rfmt sheetId="1" sqref="C86" start="0" length="0">
    <dxf/>
  </rfmt>
  <rfmt sheetId="1" sqref="C87" start="0" length="0">
    <dxf/>
  </rfmt>
  <rfmt sheetId="1" sqref="C88" start="0" length="0">
    <dxf/>
  </rfmt>
  <rcc rId="10095" sId="1">
    <nc r="C85">
      <v>1</v>
    </nc>
  </rcc>
  <rcc rId="10096" sId="1">
    <nc r="C86">
      <v>1</v>
    </nc>
  </rcc>
  <rfmt sheetId="1" sqref="C89" start="0" length="0">
    <dxf/>
  </rfmt>
  <rfmt sheetId="1" sqref="C90" start="0" length="0">
    <dxf/>
  </rfmt>
  <rcc rId="10097" sId="1">
    <nc r="C87">
      <v>1</v>
    </nc>
  </rcc>
  <rfmt sheetId="1" sqref="C91" start="0" length="0">
    <dxf/>
  </rfmt>
  <rfmt sheetId="1" sqref="C92" start="0" length="0">
    <dxf/>
  </rfmt>
  <rcc rId="10098" sId="1">
    <nc r="C88">
      <v>1</v>
    </nc>
  </rcc>
  <rcc rId="10099" sId="1">
    <nc r="C89">
      <v>1</v>
    </nc>
  </rcc>
  <rcc rId="10100" sId="1">
    <nc r="C90">
      <v>1</v>
    </nc>
  </rcc>
  <rcc rId="10101" sId="1">
    <nc r="C91">
      <v>1</v>
    </nc>
  </rcc>
  <rcc rId="10102" sId="1">
    <nc r="C92">
      <v>1</v>
    </nc>
  </rcc>
  <rcc rId="10103" sId="1" odxf="1" dxf="1">
    <nc r="C93">
      <v>1</v>
    </nc>
    <odxf/>
    <ndxf/>
  </rcc>
  <rfmt sheetId="1" sqref="G76">
    <dxf>
      <border diagonalUp="0" diagonalDown="0" outline="0">
        <left/>
        <right/>
        <top/>
        <bottom/>
      </border>
    </dxf>
  </rfmt>
  <rfmt sheetId="1" sqref="G76">
    <dxf>
      <border diagonalUp="0" diagonalDown="0" outline="0">
        <left/>
        <right/>
        <top/>
        <bottom/>
      </border>
    </dxf>
  </rfmt>
  <rcc rId="10104" sId="1">
    <nc r="G76" t="inlineStr">
      <is>
        <t>Singulated #10 Blade Blank</t>
      </is>
    </nc>
  </rcc>
  <rcc rId="10105" sId="1" odxf="1" dxf="1">
    <nc r="G77" t="inlineStr">
      <is>
        <t>Singulated #10 Blade Blank</t>
      </is>
    </nc>
    <odxf/>
    <ndxf/>
  </rcc>
  <rcc rId="10106" sId="1" odxf="1" dxf="1">
    <nc r="G78" t="inlineStr">
      <is>
        <t>Singulated #10 Blade Blank</t>
      </is>
    </nc>
    <odxf/>
    <ndxf/>
  </rcc>
  <rcc rId="10107" sId="1" odxf="1" dxf="1">
    <nc r="G79" t="inlineStr">
      <is>
        <t>Singulated #10 Blade Blank</t>
      </is>
    </nc>
    <odxf/>
    <ndxf/>
  </rcc>
  <rcc rId="10108" sId="1" odxf="1" dxf="1">
    <nc r="G81" t="inlineStr">
      <is>
        <t>Singulated #10 Blade Blank</t>
      </is>
    </nc>
    <odxf/>
    <ndxf/>
  </rcc>
  <rcc rId="10109" sId="1" odxf="1" dxf="1">
    <nc r="G80" t="inlineStr">
      <is>
        <t>Singulated #10 Blade Blank</t>
      </is>
    </nc>
    <odxf/>
    <ndxf/>
  </rcc>
  <rcc rId="10110" sId="1" odxf="1" dxf="1">
    <nc r="G82" t="inlineStr">
      <is>
        <t>Singulated #10 Blade Blank</t>
      </is>
    </nc>
    <odxf/>
    <ndxf/>
  </rcc>
  <rcc rId="10111" sId="1" odxf="1" dxf="1">
    <nc r="G83" t="inlineStr">
      <is>
        <t>Singulated #10 Blade Blank</t>
      </is>
    </nc>
    <odxf/>
    <ndxf/>
  </rcc>
  <rcc rId="10112" sId="1" odxf="1" dxf="1">
    <nc r="G84" t="inlineStr">
      <is>
        <t>Singulated #10 Blade Blank</t>
      </is>
    </nc>
    <odxf/>
    <ndxf/>
  </rcc>
  <rcc rId="10113" sId="1" odxf="1" dxf="1">
    <nc r="G85" t="inlineStr">
      <is>
        <t>Singulated #10 Blade Blank</t>
      </is>
    </nc>
    <odxf/>
    <ndxf/>
  </rcc>
  <rfmt sheetId="1" sqref="G86" start="0" length="0">
    <dxf/>
  </rfmt>
  <rfmt sheetId="1" sqref="G87" start="0" length="0">
    <dxf/>
  </rfmt>
  <rcc rId="10114" sId="1">
    <nc r="G86" t="inlineStr">
      <is>
        <t>Singulated #10 Blade Blank</t>
      </is>
    </nc>
  </rcc>
  <rcc rId="10115" sId="1">
    <nc r="G87" t="inlineStr">
      <is>
        <t>Singulated #10 Blade Blank</t>
      </is>
    </nc>
  </rcc>
  <rcc rId="10116" sId="1" odxf="1" dxf="1">
    <nc r="G88" t="inlineStr">
      <is>
        <t>Singulated #10 Blade Blank</t>
      </is>
    </nc>
    <odxf/>
    <ndxf/>
  </rcc>
  <rfmt sheetId="1" sqref="G89" start="0" length="0">
    <dxf/>
  </rfmt>
  <rfmt sheetId="1" sqref="G90" start="0" length="0">
    <dxf/>
  </rfmt>
  <rcc rId="10117" sId="1">
    <nc r="G89" t="inlineStr">
      <is>
        <t>Singulated #10 Blade Blank</t>
      </is>
    </nc>
  </rcc>
  <rcc rId="10118" sId="1">
    <nc r="G90" t="inlineStr">
      <is>
        <t>Singulated #10 Blade Blank</t>
      </is>
    </nc>
  </rcc>
  <rcc rId="10119" sId="1" odxf="1" dxf="1">
    <nc r="G91" t="inlineStr">
      <is>
        <t>Singulated #10 Blade Blank</t>
      </is>
    </nc>
    <odxf/>
    <ndxf/>
  </rcc>
  <rcc rId="10120" sId="1" odxf="1" dxf="1">
    <nc r="G92" t="inlineStr">
      <is>
        <t>Singulated #10 Blade Blank</t>
      </is>
    </nc>
    <odxf/>
    <ndxf/>
  </rcc>
  <rcc rId="10121" sId="1" odxf="1" dxf="1">
    <nc r="G93" t="inlineStr">
      <is>
        <t>Singulated #10 Blade Blank</t>
      </is>
    </nc>
    <odxf/>
    <ndxf/>
  </rcc>
  <rcc rId="10122" sId="1">
    <oc r="E568" t="inlineStr">
      <is>
        <t>W1027865/1</t>
      </is>
    </oc>
    <nc r="E568" t="inlineStr">
      <is>
        <t>W1028940/1</t>
      </is>
    </nc>
  </rcc>
  <rcc rId="10123" sId="1">
    <oc r="E582" t="inlineStr">
      <is>
        <t>W1027865/FG</t>
      </is>
    </oc>
    <nc r="E582" t="inlineStr">
      <is>
        <t>W1028940/1</t>
      </is>
    </nc>
  </rcc>
  <rcc rId="10124" sId="1">
    <oc r="J583">
      <v>48</v>
    </oc>
    <nc r="J583">
      <v>40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25" sId="1">
    <oc r="F582" t="inlineStr">
      <is>
        <t>VER1/0130-1071</t>
      </is>
    </oc>
    <nc r="F582" t="inlineStr">
      <is>
        <t>VER1/0143-0003</t>
      </is>
    </nc>
  </rcc>
  <rcc rId="10126" sId="1">
    <oc r="F586" t="inlineStr">
      <is>
        <t>VER1/0130-1071</t>
      </is>
    </oc>
    <nc r="F586" t="inlineStr">
      <is>
        <t>VER1/0143-0003</t>
      </is>
    </nc>
  </rcc>
  <rcc rId="10127" sId="1">
    <oc r="F587" t="inlineStr">
      <is>
        <t>VER1/0130-1071</t>
      </is>
    </oc>
    <nc r="F587" t="inlineStr">
      <is>
        <t>VER1/0143-0003</t>
      </is>
    </nc>
  </rcc>
  <rcc rId="10128" sId="1">
    <oc r="F584" t="inlineStr">
      <is>
        <t>VER1/0130-1072</t>
      </is>
    </oc>
    <nc r="F584" t="inlineStr">
      <is>
        <t>VER1/0143-0004</t>
      </is>
    </nc>
  </rcc>
  <rcc rId="10129" sId="1">
    <oc r="F585" t="inlineStr">
      <is>
        <t>VER1/0130-1073</t>
      </is>
    </oc>
    <nc r="F585" t="inlineStr">
      <is>
        <t>VER1/0143-0005</t>
      </is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602:XFD602">
    <dxf>
      <fill>
        <patternFill patternType="solid">
          <bgColor rgb="FFFFFF00"/>
        </patternFill>
      </fill>
    </dxf>
  </rfmt>
  <rcc rId="10130" sId="1">
    <oc r="G602" t="inlineStr">
      <is>
        <t>Orion Sub-Assy, Yomura Stopcock</t>
      </is>
    </oc>
    <nc r="G602" t="inlineStr">
      <is>
        <r>
          <t>Orion Sub-Assy, Yomura Stopcock</t>
        </r>
        <r>
          <rPr>
            <b/>
            <sz val="11"/>
            <color rgb="FFFF0000"/>
            <rFont val="Aptos Narrow"/>
            <family val="2"/>
          </rPr>
          <t xml:space="preserve"> ( for Q3 QDA Testing) </t>
        </r>
      </is>
    </nc>
  </rcc>
  <rrc rId="10131" sId="1" ref="A369:XFD369" action="insertRow"/>
  <rcc rId="10132" sId="1" odxf="1" dxf="1">
    <nc r="A369" t="inlineStr">
      <is>
        <t>Zone 4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33" sId="1" odxf="1" dxf="1">
    <nc r="B369">
      <v>21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34" sId="1" odxf="1" dxf="1">
    <nc r="C369">
      <v>1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35" sId="1" odxf="1" dxf="1">
    <nc r="D369" t="inlineStr">
      <is>
        <t>18-005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36" sId="1" odxf="1" dxf="1">
    <nc r="E369" t="inlineStr">
      <is>
        <t>W1026868/1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37" sId="1" odxf="1" dxf="1">
    <nc r="F369" t="inlineStr">
      <is>
        <t>VER3/0122-1190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38" sId="1" odxf="1" dxf="1">
    <nc r="G369" t="inlineStr">
      <is>
        <t>Miller S0, ABS, Left Shell HDMI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39" sId="1" odxf="1" dxf="1">
    <nc r="H369">
      <v>21.9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40" sId="1" odxf="1" dxf="1">
    <nc r="I369">
      <v>21.9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41" sId="1" odxf="1" dxf="1">
    <nc r="J369">
      <v>3000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42" sId="1" odxf="1" dxf="1">
    <nc r="K369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43" sId="1" odxf="1" dxf="1" numFmtId="19">
    <nc r="L369">
      <v>46210.361111111109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44" sId="1" odxf="1" dxf="1" numFmtId="19">
    <nc r="M369">
      <v>46211.604166666664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fmt sheetId="1" sqref="N369" start="0" length="0">
    <dxf>
      <fill>
        <patternFill patternType="none">
          <bgColor indexed="65"/>
        </patternFill>
      </fill>
    </dxf>
  </rfmt>
  <rfmt sheetId="1" sqref="O369" start="0" length="0">
    <dxf>
      <fill>
        <patternFill patternType="none">
          <bgColor indexed="65"/>
        </patternFill>
      </fill>
    </dxf>
  </rfmt>
  <rfmt sheetId="1" sqref="P369" start="0" length="0">
    <dxf>
      <fill>
        <patternFill patternType="none">
          <bgColor indexed="65"/>
        </patternFill>
      </fill>
    </dxf>
  </rfmt>
  <rfmt sheetId="1" sqref="Q369" start="0" length="0">
    <dxf>
      <fill>
        <patternFill patternType="none">
          <bgColor indexed="65"/>
        </patternFill>
      </fill>
    </dxf>
  </rfmt>
  <rfmt sheetId="1" sqref="R369" start="0" length="0">
    <dxf>
      <fill>
        <patternFill patternType="none">
          <bgColor indexed="65"/>
        </patternFill>
      </fill>
    </dxf>
  </rfmt>
  <rfmt sheetId="1" sqref="S369" start="0" length="0">
    <dxf>
      <fill>
        <patternFill patternType="none">
          <bgColor indexed="65"/>
        </patternFill>
      </fill>
    </dxf>
  </rfmt>
  <rfmt sheetId="1" sqref="T369" start="0" length="0">
    <dxf>
      <fill>
        <patternFill patternType="none">
          <bgColor indexed="65"/>
        </patternFill>
      </fill>
    </dxf>
  </rfmt>
  <rfmt sheetId="1" sqref="U369" start="0" length="0">
    <dxf>
      <fill>
        <patternFill patternType="none">
          <bgColor indexed="65"/>
        </patternFill>
      </fill>
    </dxf>
  </rfmt>
  <rfmt sheetId="1" sqref="V369" start="0" length="0">
    <dxf>
      <fill>
        <patternFill patternType="none">
          <bgColor indexed="65"/>
        </patternFill>
      </fill>
    </dxf>
  </rfmt>
  <rfmt sheetId="1" sqref="W369" start="0" length="0">
    <dxf>
      <fill>
        <patternFill patternType="none">
          <bgColor indexed="65"/>
        </patternFill>
      </fill>
    </dxf>
  </rfmt>
  <rfmt sheetId="1" sqref="X369" start="0" length="0">
    <dxf>
      <fill>
        <patternFill patternType="none">
          <bgColor indexed="65"/>
        </patternFill>
      </fill>
    </dxf>
  </rfmt>
  <rfmt sheetId="1" sqref="Y369" start="0" length="0">
    <dxf>
      <fill>
        <patternFill patternType="none">
          <bgColor indexed="65"/>
        </patternFill>
      </fill>
    </dxf>
  </rfmt>
  <rfmt sheetId="1" sqref="Z369" start="0" length="0">
    <dxf>
      <fill>
        <patternFill patternType="none">
          <bgColor indexed="65"/>
        </patternFill>
      </fill>
    </dxf>
  </rfmt>
  <rcc rId="10145" sId="1" odxf="1" dxf="1">
    <nc r="AA369" t="inlineStr">
      <is>
        <t>1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46" sId="1" odxf="1" dxf="1">
    <nc r="AB369" t="inlineStr">
      <is>
        <t>0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fmt sheetId="1" sqref="A369:XFD369" start="0" length="0">
    <dxf>
      <fill>
        <patternFill patternType="none">
          <bgColor indexed="65"/>
        </patternFill>
      </fill>
    </dxf>
  </rfmt>
  <rrc rId="10147" sId="1" ref="A468:XFD469" action="insertRow"/>
  <rcc rId="10148" sId="1" odxf="1" dxf="1">
    <nc r="A468" t="inlineStr">
      <is>
        <t>Zone 3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49" sId="1" odxf="1" dxf="1">
    <nc r="B468" t="inlineStr">
      <is>
        <t>LoPro S4 HDMI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50" sId="1" odxf="1" dxf="1">
    <nc r="C468">
      <v>5.5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51" sId="1" odxf="1" dxf="1">
    <nc r="D468" t="inlineStr">
      <is>
        <t>25-001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52" sId="1" odxf="1" dxf="1">
    <nc r="E468" t="inlineStr">
      <is>
        <t>W1027665/1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53" sId="1" odxf="1" dxf="1">
    <nc r="F468" t="inlineStr">
      <is>
        <t>VER1/0270-0939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54" sId="1" odxf="1" dxf="1">
    <nc r="G468" t="inlineStr">
      <is>
        <t>LoPro S4 Short Well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55" sId="1" odxf="1" dxf="1">
    <nc r="H468">
      <v>149.98500000000001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56" sId="1" odxf="1" dxf="1">
    <nc r="I468">
      <v>27.27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57" sId="1" odxf="1" dxf="1">
    <nc r="J468">
      <v>600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58" sId="1" odxf="1" dxf="1">
    <nc r="K468">
      <v>0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59" sId="1" odxf="1" dxf="1" numFmtId="19">
    <nc r="L468">
      <v>46216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60" sId="1" odxf="1" dxf="1" numFmtId="19">
    <nc r="M468">
      <v>46217.152777777781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fmt sheetId="1" sqref="N468" start="0" length="0">
    <dxf>
      <fill>
        <patternFill patternType="none">
          <bgColor indexed="65"/>
        </patternFill>
      </fill>
    </dxf>
  </rfmt>
  <rfmt sheetId="1" sqref="O468" start="0" length="0">
    <dxf>
      <fill>
        <patternFill patternType="none">
          <bgColor indexed="65"/>
        </patternFill>
      </fill>
    </dxf>
  </rfmt>
  <rfmt sheetId="1" sqref="P468" start="0" length="0">
    <dxf>
      <fill>
        <patternFill patternType="none">
          <bgColor indexed="65"/>
        </patternFill>
      </fill>
    </dxf>
  </rfmt>
  <rfmt sheetId="1" sqref="Q468" start="0" length="0">
    <dxf>
      <fill>
        <patternFill patternType="none">
          <bgColor indexed="65"/>
        </patternFill>
      </fill>
    </dxf>
  </rfmt>
  <rfmt sheetId="1" sqref="R468" start="0" length="0">
    <dxf>
      <fill>
        <patternFill patternType="none">
          <bgColor indexed="65"/>
        </patternFill>
      </fill>
    </dxf>
  </rfmt>
  <rfmt sheetId="1" sqref="S468" start="0" length="0">
    <dxf>
      <fill>
        <patternFill patternType="none">
          <bgColor indexed="65"/>
        </patternFill>
      </fill>
    </dxf>
  </rfmt>
  <rfmt sheetId="1" sqref="T468" start="0" length="0">
    <dxf>
      <fill>
        <patternFill patternType="none">
          <bgColor indexed="65"/>
        </patternFill>
      </fill>
    </dxf>
  </rfmt>
  <rfmt sheetId="1" sqref="U468" start="0" length="0">
    <dxf>
      <fill>
        <patternFill patternType="none">
          <bgColor indexed="65"/>
        </patternFill>
      </fill>
    </dxf>
  </rfmt>
  <rfmt sheetId="1" sqref="V468" start="0" length="0">
    <dxf>
      <fill>
        <patternFill patternType="none">
          <bgColor indexed="65"/>
        </patternFill>
      </fill>
    </dxf>
  </rfmt>
  <rfmt sheetId="1" sqref="W468" start="0" length="0">
    <dxf>
      <fill>
        <patternFill patternType="none">
          <bgColor indexed="65"/>
        </patternFill>
      </fill>
    </dxf>
  </rfmt>
  <rfmt sheetId="1" sqref="X468" start="0" length="0">
    <dxf>
      <fill>
        <patternFill patternType="none">
          <bgColor indexed="65"/>
        </patternFill>
      </fill>
    </dxf>
  </rfmt>
  <rfmt sheetId="1" sqref="Y468" start="0" length="0">
    <dxf>
      <fill>
        <patternFill patternType="none">
          <bgColor indexed="65"/>
        </patternFill>
      </fill>
    </dxf>
  </rfmt>
  <rfmt sheetId="1" sqref="Z468" start="0" length="0">
    <dxf>
      <fill>
        <patternFill patternType="none">
          <bgColor indexed="65"/>
        </patternFill>
      </fill>
    </dxf>
  </rfmt>
  <rcc rId="10161" sId="1" odxf="1" dxf="1">
    <nc r="AA468" t="inlineStr">
      <is>
        <t>1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62" sId="1" odxf="1" dxf="1">
    <nc r="AB468" t="inlineStr">
      <is>
        <t>0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fmt sheetId="1" sqref="A468:XFD468" start="0" length="0">
    <dxf>
      <fill>
        <patternFill patternType="none">
          <bgColor indexed="65"/>
        </patternFill>
      </fill>
    </dxf>
  </rfmt>
  <rcc rId="10163" sId="1" odxf="1" dxf="1">
    <nc r="A469" t="inlineStr">
      <is>
        <t>Zone 3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64" sId="1" odxf="1" dxf="1">
    <nc r="B469" t="inlineStr">
      <is>
        <t>LoPro S4 HDMI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65" sId="1" odxf="1" dxf="1">
    <nc r="C469">
      <v>5.5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66" sId="1" odxf="1" dxf="1">
    <nc r="D469" t="inlineStr">
      <is>
        <t>25-001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67" sId="1" odxf="1" dxf="1">
    <nc r="E469" t="inlineStr">
      <is>
        <t>W1027663/1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68" sId="1" odxf="1" dxf="1">
    <nc r="F469" t="inlineStr">
      <is>
        <t>VER1/0270-0939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69" sId="1" odxf="1" dxf="1">
    <nc r="G469" t="inlineStr">
      <is>
        <t>LoPro S4 Short Well</t>
      </is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70" sId="1" odxf="1" dxf="1">
    <nc r="H469">
      <v>37.51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71" sId="1" odxf="1" dxf="1">
    <nc r="I469">
      <v>6.82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72" sId="1" odxf="1" dxf="1">
    <nc r="J469">
      <v>150</v>
    </nc>
    <odxf>
      <fill>
        <patternFill patternType="solid">
          <bgColor rgb="FFFFFF00"/>
        </patternFill>
      </fill>
    </odxf>
    <ndxf>
      <fill>
        <patternFill patternType="none">
          <bgColor indexed="65"/>
        </patternFill>
      </fill>
    </ndxf>
  </rcc>
  <rcc rId="10173" sId="1" odxf="1" dxf="1">
    <nc r="K469">
      <v>0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74" sId="1" odxf="1" dxf="1" numFmtId="19">
    <nc r="L469">
      <v>46216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75" sId="1" odxf="1" dxf="1" numFmtId="19">
    <nc r="M469">
      <v>46216.298611111109</v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fmt sheetId="1" sqref="N469" start="0" length="0">
    <dxf>
      <fill>
        <patternFill patternType="none">
          <bgColor indexed="65"/>
        </patternFill>
      </fill>
    </dxf>
  </rfmt>
  <rfmt sheetId="1" sqref="O469" start="0" length="0">
    <dxf>
      <fill>
        <patternFill patternType="none">
          <bgColor indexed="65"/>
        </patternFill>
      </fill>
    </dxf>
  </rfmt>
  <rfmt sheetId="1" sqref="P469" start="0" length="0">
    <dxf>
      <fill>
        <patternFill patternType="none">
          <bgColor indexed="65"/>
        </patternFill>
      </fill>
    </dxf>
  </rfmt>
  <rfmt sheetId="1" sqref="Q469" start="0" length="0">
    <dxf>
      <fill>
        <patternFill patternType="none">
          <bgColor indexed="65"/>
        </patternFill>
      </fill>
    </dxf>
  </rfmt>
  <rfmt sheetId="1" sqref="R469" start="0" length="0">
    <dxf>
      <fill>
        <patternFill patternType="none">
          <bgColor indexed="65"/>
        </patternFill>
      </fill>
    </dxf>
  </rfmt>
  <rfmt sheetId="1" sqref="S469" start="0" length="0">
    <dxf>
      <fill>
        <patternFill patternType="none">
          <bgColor indexed="65"/>
        </patternFill>
      </fill>
    </dxf>
  </rfmt>
  <rfmt sheetId="1" sqref="T469" start="0" length="0">
    <dxf>
      <fill>
        <patternFill patternType="none">
          <bgColor indexed="65"/>
        </patternFill>
      </fill>
    </dxf>
  </rfmt>
  <rfmt sheetId="1" sqref="U469" start="0" length="0">
    <dxf>
      <fill>
        <patternFill patternType="none">
          <bgColor indexed="65"/>
        </patternFill>
      </fill>
    </dxf>
  </rfmt>
  <rfmt sheetId="1" sqref="V469" start="0" length="0">
    <dxf>
      <fill>
        <patternFill patternType="none">
          <bgColor indexed="65"/>
        </patternFill>
      </fill>
    </dxf>
  </rfmt>
  <rfmt sheetId="1" sqref="W469" start="0" length="0">
    <dxf>
      <fill>
        <patternFill patternType="none">
          <bgColor indexed="65"/>
        </patternFill>
      </fill>
    </dxf>
  </rfmt>
  <rfmt sheetId="1" sqref="X469" start="0" length="0">
    <dxf>
      <fill>
        <patternFill patternType="none">
          <bgColor indexed="65"/>
        </patternFill>
      </fill>
    </dxf>
  </rfmt>
  <rfmt sheetId="1" sqref="Y469" start="0" length="0">
    <dxf>
      <fill>
        <patternFill patternType="none">
          <bgColor indexed="65"/>
        </patternFill>
      </fill>
    </dxf>
  </rfmt>
  <rfmt sheetId="1" sqref="Z469" start="0" length="0">
    <dxf>
      <fill>
        <patternFill patternType="none">
          <bgColor indexed="65"/>
        </patternFill>
      </fill>
    </dxf>
  </rfmt>
  <rcc rId="10176" sId="1" odxf="1" dxf="1">
    <nc r="AA469" t="inlineStr">
      <is>
        <t>1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cc rId="10177" sId="1" odxf="1" dxf="1">
    <nc r="AB469" t="inlineStr">
      <is>
        <t>0</t>
      </is>
    </nc>
    <odxf>
      <fill>
        <patternFill patternType="solid">
          <bgColor theme="8" tint="0.39997558519241921"/>
        </patternFill>
      </fill>
    </odxf>
    <ndxf>
      <fill>
        <patternFill patternType="none">
          <bgColor indexed="65"/>
        </patternFill>
      </fill>
    </ndxf>
  </rcc>
  <rfmt sheetId="1" sqref="A469:XFD469" start="0" length="0">
    <dxf>
      <fill>
        <patternFill patternType="none">
          <bgColor indexed="65"/>
        </patternFill>
      </fill>
    </dxf>
  </rfmt>
  <rrc rId="10178" sId="1" ref="A473:XFD473" action="deleteRow">
    <rfmt sheetId="1" xfDxf="1" sqref="A473:XFD473" start="0" length="0"/>
    <rcc rId="0" sId="1">
      <nc r="A473" t="inlineStr">
        <is>
          <t>Zone 3</t>
        </is>
      </nc>
    </rcc>
    <rcc rId="0" sId="1">
      <nc r="B473" t="inlineStr">
        <is>
          <t>LoPro S4 HDMI</t>
        </is>
      </nc>
    </rcc>
    <rcc rId="0" sId="1">
      <nc r="C473">
        <v>5.5</v>
      </nc>
    </rcc>
    <rcc rId="0" sId="1">
      <nc r="D473" t="inlineStr">
        <is>
          <t>25-001</t>
        </is>
      </nc>
    </rcc>
    <rcc rId="0" sId="1">
      <nc r="E473" t="inlineStr">
        <is>
          <t>W1027663/1</t>
        </is>
      </nc>
    </rcc>
    <rcc rId="0" sId="1">
      <nc r="F473" t="inlineStr">
        <is>
          <t>VER1/0270-0939</t>
        </is>
      </nc>
    </rcc>
    <rcc rId="0" sId="1">
      <nc r="G473" t="inlineStr">
        <is>
          <t>LoPro S4 Short Well</t>
        </is>
      </nc>
    </rcc>
    <rcc rId="0" sId="1">
      <nc r="H473">
        <v>37.51</v>
      </nc>
    </rcc>
    <rcc rId="0" sId="1">
      <nc r="I473">
        <v>6.82</v>
      </nc>
    </rcc>
    <rcc rId="0" sId="1">
      <nc r="J473">
        <v>150</v>
      </nc>
    </rcc>
    <rcc rId="0" sId="1">
      <nc r="K473">
        <v>0</v>
      </nc>
    </rcc>
    <rcc rId="0" sId="1" dxf="1" numFmtId="19">
      <nc r="L473">
        <v>46216</v>
      </nc>
      <ndxf>
        <numFmt numFmtId="164" formatCode="mm\-dd\-yyyy"/>
      </ndxf>
    </rcc>
    <rcc rId="0" sId="1" dxf="1" numFmtId="19">
      <nc r="M473">
        <v>46216.298611111109</v>
      </nc>
      <ndxf>
        <numFmt numFmtId="164" formatCode="mm\-dd\-yyyy"/>
      </ndxf>
    </rcc>
    <rcc rId="0" sId="1">
      <nc r="AA473" t="inlineStr">
        <is>
          <t>1</t>
        </is>
      </nc>
    </rcc>
    <rcc rId="0" sId="1">
      <nc r="AB473" t="inlineStr">
        <is>
          <t>0</t>
        </is>
      </nc>
    </rcc>
  </rrc>
  <rrc rId="10179" sId="1" ref="A472:XFD472" action="insertRow"/>
  <rcc rId="10180" sId="1" odxf="1" dxf="1">
    <nc r="A472" t="inlineStr">
      <is>
        <t>Zone 3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81" sId="1" odxf="1" dxf="1">
    <nc r="B472" t="inlineStr">
      <is>
        <t>LoPro S4 HDMI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82" sId="1" odxf="1" dxf="1">
    <nc r="C472">
      <v>4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fmt sheetId="1" sqref="D472" start="0" length="0">
    <dxf>
      <fill>
        <patternFill patternType="none">
          <bgColor indexed="65"/>
        </patternFill>
      </fill>
    </dxf>
  </rfmt>
  <rcc rId="10183" sId="1" odxf="1" dxf="1">
    <nc r="E472" t="inlineStr">
      <is>
        <t>W1023960/1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84" sId="1" odxf="1" dxf="1">
    <nc r="F472" t="inlineStr">
      <is>
        <t>VER1/0270-1140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85" sId="1" odxf="1" dxf="1">
    <nc r="G472" t="inlineStr">
      <is>
        <t>Spectrum QC Mac S1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86" sId="1" odxf="1" dxf="1">
    <nc r="H472">
      <v>150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87" sId="1" odxf="1" dxf="1">
    <nc r="I472">
      <v>37.5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88" sId="1" odxf="1" dxf="1">
    <nc r="J472">
      <v>450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89" sId="1" odxf="1" dxf="1">
    <nc r="K472">
      <v>0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90" sId="1" odxf="1" dxf="1" numFmtId="19">
    <nc r="L472">
      <v>46209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91" sId="1" odxf="1" dxf="1" numFmtId="19">
    <nc r="M472">
      <v>46210.576388888891</v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fmt sheetId="1" sqref="N472" start="0" length="0">
    <dxf>
      <fill>
        <patternFill patternType="none">
          <bgColor indexed="65"/>
        </patternFill>
      </fill>
    </dxf>
  </rfmt>
  <rcc rId="10192" sId="1" odxf="1" dxf="1">
    <nc r="O472" t="inlineStr">
      <is>
        <t>P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fmt sheetId="1" sqref="P472" start="0" length="0">
    <dxf>
      <fill>
        <patternFill patternType="none">
          <bgColor indexed="65"/>
        </patternFill>
      </fill>
    </dxf>
  </rfmt>
  <rfmt sheetId="1" sqref="Q472" start="0" length="0">
    <dxf>
      <fill>
        <patternFill patternType="none">
          <bgColor indexed="65"/>
        </patternFill>
      </fill>
    </dxf>
  </rfmt>
  <rfmt sheetId="1" sqref="R472" start="0" length="0">
    <dxf>
      <fill>
        <patternFill patternType="none">
          <bgColor indexed="65"/>
        </patternFill>
      </fill>
    </dxf>
  </rfmt>
  <rfmt sheetId="1" sqref="S472" start="0" length="0">
    <dxf>
      <fill>
        <patternFill patternType="none">
          <bgColor indexed="65"/>
        </patternFill>
      </fill>
    </dxf>
  </rfmt>
  <rfmt sheetId="1" sqref="T472" start="0" length="0">
    <dxf>
      <fill>
        <patternFill patternType="none">
          <bgColor indexed="65"/>
        </patternFill>
      </fill>
    </dxf>
  </rfmt>
  <rfmt sheetId="1" sqref="U472" start="0" length="0">
    <dxf>
      <fill>
        <patternFill patternType="none">
          <bgColor indexed="65"/>
        </patternFill>
      </fill>
    </dxf>
  </rfmt>
  <rfmt sheetId="1" sqref="V472" start="0" length="0">
    <dxf>
      <fill>
        <patternFill patternType="none">
          <bgColor indexed="65"/>
        </patternFill>
      </fill>
    </dxf>
  </rfmt>
  <rfmt sheetId="1" sqref="W472" start="0" length="0">
    <dxf>
      <fill>
        <patternFill patternType="none">
          <bgColor indexed="65"/>
        </patternFill>
      </fill>
    </dxf>
  </rfmt>
  <rfmt sheetId="1" sqref="X472" start="0" length="0">
    <dxf>
      <fill>
        <patternFill patternType="none">
          <bgColor indexed="65"/>
        </patternFill>
      </fill>
    </dxf>
  </rfmt>
  <rfmt sheetId="1" sqref="Y472" start="0" length="0">
    <dxf>
      <fill>
        <patternFill patternType="none">
          <bgColor indexed="65"/>
        </patternFill>
      </fill>
    </dxf>
  </rfmt>
  <rfmt sheetId="1" sqref="Z472" start="0" length="0">
    <dxf>
      <fill>
        <patternFill patternType="none">
          <bgColor indexed="65"/>
        </patternFill>
      </fill>
    </dxf>
  </rfmt>
  <rcc rId="10193" sId="1" odxf="1" dxf="1">
    <nc r="AA472" t="inlineStr">
      <is>
        <t>1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cc rId="10194" sId="1" odxf="1" dxf="1">
    <nc r="AB472" t="inlineStr">
      <is>
        <t>0</t>
      </is>
    </nc>
    <odxf>
      <fill>
        <patternFill patternType="solid">
          <bgColor theme="0" tint="-4.9989318521683403E-2"/>
        </patternFill>
      </fill>
    </odxf>
    <ndxf>
      <fill>
        <patternFill patternType="none">
          <bgColor indexed="65"/>
        </patternFill>
      </fill>
    </ndxf>
  </rcc>
  <rfmt sheetId="1" sqref="A472:XFD472" start="0" length="0">
    <dxf>
      <fill>
        <patternFill patternType="none">
          <bgColor indexed="65"/>
        </patternFill>
      </fill>
    </dxf>
  </rfmt>
  <rrc rId="10195" sId="1" ref="A470:XFD470" action="deleteRow">
    <rfmt sheetId="1" xfDxf="1" sqref="A470:XFD470" start="0" length="0"/>
    <rcc rId="0" sId="1">
      <nc r="A470" t="inlineStr">
        <is>
          <t>Zone 3</t>
        </is>
      </nc>
    </rcc>
    <rcc rId="0" sId="1">
      <nc r="B470" t="inlineStr">
        <is>
          <t>LoPro S4 HDMI</t>
        </is>
      </nc>
    </rcc>
    <rcc rId="0" sId="1">
      <nc r="C470">
        <v>4</v>
      </nc>
    </rcc>
    <rcc rId="0" sId="1">
      <nc r="E470" t="inlineStr">
        <is>
          <t>W1023960/1</t>
        </is>
      </nc>
    </rcc>
    <rcc rId="0" sId="1">
      <nc r="F470" t="inlineStr">
        <is>
          <t>VER1/0270-1140</t>
        </is>
      </nc>
    </rcc>
    <rcc rId="0" sId="1">
      <nc r="G470" t="inlineStr">
        <is>
          <t>Spectrum QC Mac S1</t>
        </is>
      </nc>
    </rcc>
    <rcc rId="0" sId="1">
      <nc r="H470">
        <v>150</v>
      </nc>
    </rcc>
    <rcc rId="0" sId="1">
      <nc r="I470">
        <v>37.5</v>
      </nc>
    </rcc>
    <rcc rId="0" sId="1">
      <nc r="J470">
        <v>450</v>
      </nc>
    </rcc>
    <rcc rId="0" sId="1">
      <nc r="K470">
        <v>0</v>
      </nc>
    </rcc>
    <rcc rId="0" sId="1" dxf="1" numFmtId="19">
      <nc r="L470">
        <v>46209</v>
      </nc>
      <ndxf>
        <numFmt numFmtId="164" formatCode="mm\-dd\-yyyy"/>
      </ndxf>
    </rcc>
    <rcc rId="0" sId="1" dxf="1" numFmtId="19">
      <nc r="M470">
        <v>46210.576388888891</v>
      </nc>
      <ndxf>
        <numFmt numFmtId="164" formatCode="mm\-dd\-yyyy"/>
      </ndxf>
    </rcc>
    <rcc rId="0" sId="1">
      <nc r="O470" t="inlineStr">
        <is>
          <t>P</t>
        </is>
      </nc>
    </rcc>
    <rcc rId="0" sId="1">
      <nc r="AA470" t="inlineStr">
        <is>
          <t>1</t>
        </is>
      </nc>
    </rcc>
    <rcc rId="0" sId="1">
      <nc r="AB470" t="inlineStr">
        <is>
          <t>0</t>
        </is>
      </nc>
    </rcc>
  </rrc>
  <rcc rId="10196" sId="1">
    <oc r="K444">
      <v>0</v>
    </oc>
    <nc r="K444">
      <v>600</v>
    </nc>
  </rcc>
  <rfmt sheetId="1" sqref="A444:XFD444">
    <dxf>
      <fill>
        <patternFill>
          <bgColor rgb="FF00B050"/>
        </patternFill>
      </fill>
    </dxf>
  </rfmt>
  <rfmt sheetId="1" sqref="A445:XFD445">
    <dxf>
      <fill>
        <patternFill patternType="solid">
          <bgColor rgb="FFFFFF00"/>
        </patternFill>
      </fill>
    </dxf>
  </rfmt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97" sId="1">
    <nc r="O468" t="inlineStr">
      <is>
        <t>P</t>
      </is>
    </nc>
  </rcc>
  <rrc rId="10198" sId="1" ref="A472:XFD472" action="deleteRow">
    <rfmt sheetId="1" xfDxf="1" sqref="A472:XFD472" start="0" length="0"/>
    <rcc rId="0" sId="1">
      <nc r="A472" t="inlineStr">
        <is>
          <t>Zone 3</t>
        </is>
      </nc>
    </rcc>
    <rcc rId="0" sId="1">
      <nc r="B472" t="inlineStr">
        <is>
          <t>LoPro S4 HDMI</t>
        </is>
      </nc>
    </rcc>
    <rcc rId="0" sId="1">
      <nc r="C472">
        <v>5.5</v>
      </nc>
    </rcc>
    <rcc rId="0" sId="1">
      <nc r="D472" t="inlineStr">
        <is>
          <t>25-001</t>
        </is>
      </nc>
    </rcc>
    <rcc rId="0" sId="1">
      <nc r="E472" t="inlineStr">
        <is>
          <t>W1027665/1</t>
        </is>
      </nc>
    </rcc>
    <rcc rId="0" sId="1">
      <nc r="F472" t="inlineStr">
        <is>
          <t>VER1/0270-0939</t>
        </is>
      </nc>
    </rcc>
    <rcc rId="0" sId="1">
      <nc r="G472" t="inlineStr">
        <is>
          <t>LoPro S4 Short Well</t>
        </is>
      </nc>
    </rcc>
    <rcc rId="0" sId="1">
      <nc r="H472">
        <v>149.98500000000001</v>
      </nc>
    </rcc>
    <rcc rId="0" sId="1">
      <nc r="I472">
        <v>27.27</v>
      </nc>
    </rcc>
    <rcc rId="0" sId="1">
      <nc r="J472">
        <v>600</v>
      </nc>
    </rcc>
    <rcc rId="0" sId="1">
      <nc r="K472">
        <v>0</v>
      </nc>
    </rcc>
    <rcc rId="0" sId="1" dxf="1" numFmtId="19">
      <nc r="L472">
        <v>46216</v>
      </nc>
      <ndxf>
        <numFmt numFmtId="164" formatCode="mm\-dd\-yyyy"/>
      </ndxf>
    </rcc>
    <rcc rId="0" sId="1" dxf="1" numFmtId="19">
      <nc r="M472">
        <v>46217.152777777781</v>
      </nc>
      <ndxf>
        <numFmt numFmtId="164" formatCode="mm\-dd\-yyyy"/>
      </ndxf>
    </rcc>
    <rcc rId="0" sId="1">
      <nc r="O472" t="inlineStr">
        <is>
          <t>P</t>
        </is>
      </nc>
    </rcc>
    <rcc rId="0" sId="1">
      <nc r="AA472" t="inlineStr">
        <is>
          <t>1</t>
        </is>
      </nc>
    </rcc>
    <rcc rId="0" sId="1">
      <nc r="AB472" t="inlineStr">
        <is>
          <t>0</t>
        </is>
      </nc>
    </rcc>
  </rrc>
  <rfmt sheetId="1" sqref="A519:XFD519" start="0" length="0">
    <dxf>
      <border>
        <bottom style="medium">
          <color indexed="64"/>
        </bottom>
      </border>
    </dxf>
  </rfmt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F530:J530">
    <dxf>
      <fill>
        <patternFill patternType="solid">
          <bgColor theme="5" tint="0.79998168889431442"/>
        </patternFill>
      </fill>
    </dxf>
  </rfmt>
  <rfmt sheetId="1" sqref="E530">
    <dxf>
      <fill>
        <patternFill patternType="solid">
          <bgColor theme="5" tint="0.79998168889431442"/>
        </patternFill>
      </fill>
    </dxf>
  </rfmt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199" sId="1">
    <oc r="K221">
      <v>0</v>
    </oc>
    <nc r="K221">
      <v>5116</v>
    </nc>
  </rcc>
  <rfmt sheetId="1" sqref="A222:XFD222">
    <dxf>
      <fill>
        <patternFill patternType="solid">
          <bgColor rgb="FFFFFF00"/>
        </patternFill>
      </fill>
    </dxf>
  </rfmt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21:XFD221">
    <dxf>
      <fill>
        <patternFill>
          <bgColor rgb="FF92D050"/>
        </patternFill>
      </fill>
    </dxf>
  </rfmt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30:XFD130">
    <dxf>
      <fill>
        <patternFill patternType="solid">
          <bgColor rgb="FFFFFF00"/>
        </patternFill>
      </fill>
    </dxf>
  </rfmt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200" sId="1" ref="A815:XFD815" action="insertRow"/>
  <rcc rId="10201" sId="1">
    <nc r="A815" t="inlineStr">
      <is>
        <t>Zone 3</t>
      </is>
    </nc>
  </rcc>
  <rcc rId="10202" sId="1">
    <nc r="B815" t="inlineStr">
      <is>
        <t>Mold Man 2</t>
      </is>
    </nc>
  </rcc>
  <rcc rId="10203" sId="1">
    <nc r="C815">
      <v>3.5</v>
    </nc>
  </rcc>
  <rcc rId="10204" sId="1">
    <nc r="D815" t="inlineStr">
      <is>
        <t>21-005</t>
      </is>
    </nc>
  </rcc>
  <rcc rId="10205" sId="1">
    <nc r="F815" t="inlineStr">
      <is>
        <t>VER3/0142-0967</t>
      </is>
    </nc>
  </rcc>
  <rcc rId="10206" sId="1">
    <nc r="G815" t="inlineStr">
      <is>
        <r>
          <t xml:space="preserve">Encapsulated Quick Connect PCB-  </t>
        </r>
        <r>
          <rPr>
            <b/>
            <sz val="11"/>
            <color rgb="FFFF0000"/>
            <rFont val="Aptos Narrow"/>
            <family val="2"/>
          </rPr>
          <t>PFC MIPI Cameras</t>
        </r>
      </is>
    </nc>
  </rcc>
  <rcc rId="10207" sId="1">
    <nc r="H815">
      <v>253.61</v>
    </nc>
  </rcc>
  <rcc rId="10208" sId="1">
    <nc r="I815">
      <v>72.459999999999994</v>
    </nc>
  </rcc>
  <rcc rId="10209" sId="1">
    <nc r="J815">
      <v>50000</v>
    </nc>
  </rcc>
  <rcc rId="10210" sId="1">
    <nc r="K815">
      <v>0</v>
    </nc>
  </rcc>
  <rcc rId="10211" sId="1" numFmtId="19">
    <nc r="L815">
      <v>46216.472222222219</v>
    </nc>
  </rcc>
  <rcc rId="10212" sId="1" numFmtId="19">
    <nc r="M815">
      <v>46219.506944444445</v>
    </nc>
  </rcc>
  <rcc rId="10213" sId="1">
    <nc r="AA815" t="inlineStr">
      <is>
        <t>1</t>
      </is>
    </nc>
  </rcc>
  <rcc rId="10214" sId="1">
    <nc r="AB815" t="inlineStr">
      <is>
        <t>0</t>
      </is>
    </nc>
  </rcc>
  <rcc rId="10215" sId="1">
    <oc r="K813">
      <v>0</v>
    </oc>
    <nc r="K813">
      <v>4256</v>
    </nc>
  </rcc>
  <rcc rId="10216" sId="1">
    <oc r="K812">
      <v>0</v>
    </oc>
    <nc r="K812">
      <v>3094</v>
    </nc>
  </rcc>
  <rfmt sheetId="1" sqref="A812:XFD813">
    <dxf>
      <fill>
        <patternFill>
          <bgColor rgb="FF00B050"/>
        </patternFill>
      </fill>
    </dxf>
  </rfmt>
  <rcc rId="10217" sId="1">
    <nc r="E815" t="inlineStr">
      <is>
        <t>W1030343/1</t>
      </is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218" sId="1" ref="A247:XFD247" action="insertRow"/>
  <rfmt sheetId="1" sqref="A247:XFD247">
    <dxf>
      <fill>
        <patternFill>
          <bgColor theme="0" tint="-0.249977111117893"/>
        </patternFill>
      </fill>
    </dxf>
  </rfmt>
  <rcc rId="10219" sId="1">
    <nc r="F247" t="inlineStr">
      <is>
        <t>FLX1/10255</t>
      </is>
    </nc>
  </rcc>
  <rcc rId="10220" sId="1">
    <nc r="G247" t="inlineStr">
      <is>
        <t>FLEX Assembly 6 Count Box</t>
      </is>
    </nc>
  </rcc>
  <rcc rId="10221" sId="1">
    <nc r="H247">
      <v>612</v>
    </nc>
  </rcc>
  <rcc rId="10222" sId="1">
    <nc r="I247">
      <v>102</v>
    </nc>
  </rcc>
  <rcc rId="10223" sId="1">
    <nc r="J247">
      <v>576</v>
    </nc>
  </rcc>
  <rcc rId="10224" sId="1">
    <nc r="K247">
      <v>0</v>
    </nc>
  </rcc>
  <rfmt sheetId="1" sqref="A247:XFD247">
    <dxf>
      <fill>
        <patternFill patternType="none">
          <bgColor auto="1"/>
        </patternFill>
      </fill>
    </dxf>
  </rfmt>
  <rcc rId="10225" sId="1">
    <nc r="A247" t="inlineStr">
      <is>
        <t>Zone 3</t>
      </is>
    </nc>
  </rcc>
  <rcc rId="10226" sId="1">
    <nc r="B247" t="inlineStr">
      <is>
        <t>FLEX Bag Carton</t>
      </is>
    </nc>
  </rcc>
  <rcc rId="10227" sId="1">
    <nc r="C247">
      <v>6</v>
    </nc>
  </rcc>
  <rcc rId="10228" sId="1">
    <nc r="E247" t="inlineStr">
      <is>
        <t>W1030344/1</t>
      </is>
    </nc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29" sId="1">
    <oc r="I247">
      <v>102</v>
    </oc>
    <nc r="I247">
      <v>74.8</v>
    </nc>
  </rcc>
  <rcc rId="10230" sId="1">
    <oc r="H247">
      <v>612</v>
    </oc>
    <nc r="H247">
      <v>432</v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31" sId="1">
    <oc r="K819">
      <v>0</v>
    </oc>
    <nc r="K819">
      <v>152</v>
    </nc>
  </rcc>
  <rrc rId="10232" sId="1" ref="A815:XFD815" action="insertRow"/>
  <rm rId="10233" sheetId="1" source="A820:XFD820" destination="A815:XFD815" sourceSheetId="1">
    <rfmt sheetId="1" xfDxf="1" sqref="A815:XFD815" start="0" length="0">
      <dxf>
        <fill>
          <patternFill patternType="solid">
            <bgColor rgb="FF00B050"/>
          </patternFill>
        </fill>
      </dxf>
    </rfmt>
    <rfmt sheetId="1" sqref="L815" start="0" length="0">
      <dxf>
        <numFmt numFmtId="164" formatCode="mm\-dd\-yyyy"/>
      </dxf>
    </rfmt>
    <rfmt sheetId="1" sqref="M815" start="0" length="0">
      <dxf>
        <numFmt numFmtId="164" formatCode="mm\-dd\-yyyy"/>
      </dxf>
    </rfmt>
  </rm>
  <rrc rId="10234" sId="1" ref="A820:XFD820" action="deleteRow">
    <rfmt sheetId="1" xfDxf="1" sqref="A820:XFD820" start="0" length="0"/>
    <rfmt sheetId="1" sqref="L820" start="0" length="0">
      <dxf>
        <numFmt numFmtId="164" formatCode="mm\-dd\-yyyy"/>
      </dxf>
    </rfmt>
    <rfmt sheetId="1" sqref="M820" start="0" length="0">
      <dxf>
        <numFmt numFmtId="164" formatCode="mm\-dd\-yyyy"/>
      </dxf>
    </rfmt>
  </rrc>
  <rfmt sheetId="1" sqref="A815:XFD815">
    <dxf>
      <fill>
        <patternFill patternType="solid">
          <bgColor rgb="FF00B050"/>
        </patternFill>
      </fill>
    </dxf>
  </rfmt>
  <rrc rId="10235" sId="1" ref="A730:XFD730" action="insertRow"/>
  <rm rId="10236" sheetId="1" source="A733:XFD733" destination="A730:XFD730" sourceSheetId="1">
    <rfmt sheetId="1" xfDxf="1" sqref="A730:XFD730" start="0" length="0">
      <dxf>
        <fill>
          <patternFill patternType="solid">
            <bgColor rgb="FF00B0F0"/>
          </patternFill>
        </fill>
      </dxf>
    </rfmt>
    <rfmt sheetId="1" sqref="L730" start="0" length="0">
      <dxf>
        <numFmt numFmtId="164" formatCode="mm\-dd\-yyyy"/>
      </dxf>
    </rfmt>
    <rfmt sheetId="1" sqref="M730" start="0" length="0">
      <dxf>
        <numFmt numFmtId="164" formatCode="mm\-dd\-yyyy"/>
      </dxf>
    </rfmt>
  </rm>
  <rrc rId="10237" sId="1" ref="A733:XFD733" action="deleteRow">
    <rfmt sheetId="1" xfDxf="1" sqref="A733:XFD733" start="0" length="0"/>
    <rfmt sheetId="1" sqref="L733" start="0" length="0">
      <dxf>
        <numFmt numFmtId="164" formatCode="mm\-dd\-yyyy"/>
      </dxf>
    </rfmt>
    <rfmt sheetId="1" sqref="M733" start="0" length="0">
      <dxf>
        <numFmt numFmtId="164" formatCode="mm\-dd\-yyyy"/>
      </dxf>
    </rfmt>
  </rrc>
  <rfmt sheetId="1" sqref="A729:XFD730">
    <dxf>
      <fill>
        <patternFill>
          <bgColor rgb="FF00B050"/>
        </patternFill>
      </fill>
    </dxf>
  </rfmt>
  <rcv guid="{31B4C6D2-0335-443E-840F-0BE68859C862}" action="delete"/>
  <rcv guid="{31B4C6D2-0335-443E-840F-0BE68859C862}" action="add"/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E025219-1ED0-443C-B3D2-C803CC4C7D58}" action="add"/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445:XFD445">
    <dxf>
      <fill>
        <patternFill>
          <bgColor theme="6" tint="0.59999389629810485"/>
        </patternFill>
      </fill>
    </dxf>
  </rfmt>
  <rfmt sheetId="1" sqref="E446:J446">
    <dxf>
      <fill>
        <patternFill patternType="solid">
          <bgColor rgb="FFFFFF00"/>
        </patternFill>
      </fill>
    </dxf>
  </rfmt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238" sId="1" ref="A711:XFD711" action="insertRow"/>
  <rm rId="10239" sheetId="1" source="A714:XFD714" destination="A711:XFD711" sourceSheetId="1">
    <rfmt sheetId="1" xfDxf="1" sqref="A711:XFD711" start="0" length="0">
      <dxf>
        <fill>
          <patternFill patternType="solid">
            <bgColor theme="8" tint="0.39997558519241921"/>
          </patternFill>
        </fill>
      </dxf>
    </rfmt>
    <rfmt sheetId="1" sqref="L711" start="0" length="0">
      <dxf>
        <numFmt numFmtId="164" formatCode="mm\-dd\-yyyy"/>
      </dxf>
    </rfmt>
    <rfmt sheetId="1" sqref="M711" start="0" length="0">
      <dxf>
        <numFmt numFmtId="164" formatCode="mm\-dd\-yyyy"/>
      </dxf>
    </rfmt>
    <rfmt sheetId="1" sqref="Q711" start="0" length="0">
      <dxf>
        <numFmt numFmtId="19" formatCode="mm/dd/yyyy"/>
      </dxf>
    </rfmt>
  </rm>
  <rrc rId="10240" sId="1" ref="A714:XFD714" action="deleteRow">
    <rfmt sheetId="1" xfDxf="1" sqref="A714:XFD714" start="0" length="0"/>
    <rfmt sheetId="1" sqref="L714" start="0" length="0">
      <dxf>
        <numFmt numFmtId="164" formatCode="mm\-dd\-yyyy"/>
      </dxf>
    </rfmt>
    <rfmt sheetId="1" sqref="M714" start="0" length="0">
      <dxf>
        <numFmt numFmtId="164" formatCode="mm\-dd\-yyyy"/>
      </dxf>
    </rfmt>
  </rrc>
  <rrc rId="10241" sId="1" ref="A712:XFD712" action="insertRow"/>
  <rm rId="10242" sheetId="1" source="A714:XFD714" destination="A712:XFD712" sourceSheetId="1">
    <rfmt sheetId="1" xfDxf="1" sqref="A712:XFD712" start="0" length="0"/>
    <rfmt sheetId="1" sqref="L712" start="0" length="0">
      <dxf>
        <numFmt numFmtId="164" formatCode="mm\-dd\-yyyy"/>
      </dxf>
    </rfmt>
    <rfmt sheetId="1" sqref="M712" start="0" length="0">
      <dxf>
        <numFmt numFmtId="164" formatCode="mm\-dd\-yyyy"/>
      </dxf>
    </rfmt>
  </rm>
  <rrc rId="10243" sId="1" ref="A714:XFD714" action="deleteRow">
    <rfmt sheetId="1" xfDxf="1" sqref="A714:XFD714" start="0" length="0"/>
    <rfmt sheetId="1" sqref="L714" start="0" length="0">
      <dxf>
        <numFmt numFmtId="164" formatCode="mm\-dd\-yyyy"/>
      </dxf>
    </rfmt>
    <rfmt sheetId="1" sqref="M714" start="0" length="0">
      <dxf>
        <numFmt numFmtId="164" formatCode="mm\-dd\-yyyy"/>
      </dxf>
    </rfmt>
  </rrc>
  <rrc rId="10244" sId="1" ref="A713:XFD713" action="insertRow"/>
  <rm rId="10245" sheetId="1" source="A715:XFD715" destination="A713:XFD713" sourceSheetId="1">
    <rfmt sheetId="1" xfDxf="1" sqref="A713:XFD713" start="0" length="0"/>
    <rfmt sheetId="1" sqref="L713" start="0" length="0">
      <dxf>
        <numFmt numFmtId="164" formatCode="mm\-dd\-yyyy"/>
      </dxf>
    </rfmt>
    <rfmt sheetId="1" sqref="M713" start="0" length="0">
      <dxf>
        <numFmt numFmtId="164" formatCode="mm\-dd\-yyyy"/>
      </dxf>
    </rfmt>
  </rm>
  <rrc rId="10246" sId="1" ref="A715:XFD715" action="deleteRow">
    <rfmt sheetId="1" xfDxf="1" sqref="A715:XFD715" start="0" length="0"/>
    <rfmt sheetId="1" sqref="L715" start="0" length="0">
      <dxf>
        <numFmt numFmtId="164" formatCode="mm\-dd\-yyyy"/>
      </dxf>
    </rfmt>
    <rfmt sheetId="1" sqref="M715" start="0" length="0">
      <dxf>
        <numFmt numFmtId="164" formatCode="mm\-dd\-yyyy"/>
      </dxf>
    </rfmt>
  </rr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47" sId="1">
    <nc r="O246" t="inlineStr">
      <is>
        <t>P</t>
      </is>
    </nc>
  </rcc>
  <rcc rId="10248" sId="1">
    <nc r="O523" t="inlineStr">
      <is>
        <t>P</t>
      </is>
    </nc>
  </rcc>
  <rcc rId="10249" sId="1">
    <nc r="O470" t="inlineStr">
      <is>
        <t>P</t>
      </is>
    </nc>
  </rcc>
  <rcc rId="10250" sId="1">
    <nc r="O420" t="inlineStr">
      <is>
        <t>P</t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51" sId="1">
    <nc r="O524" t="inlineStr">
      <is>
        <t>P</t>
      </is>
    </nc>
  </rcc>
  <rcc rId="10252" sId="1">
    <nc r="O247" t="inlineStr">
      <is>
        <t>P</t>
      </is>
    </nc>
  </rcc>
  <rcc rId="10253" sId="1">
    <nc r="O678" t="inlineStr">
      <is>
        <t>P</t>
      </is>
    </nc>
  </rcc>
  <rcc rId="10254" sId="1">
    <nc r="O315" t="inlineStr">
      <is>
        <t>P</t>
      </is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38:Q138" start="0" length="2147483647">
    <dxf>
      <font>
        <b/>
      </font>
    </dxf>
  </rfmt>
  <rfmt sheetId="1" sqref="A137:Q137" start="0" length="2147483647">
    <dxf>
      <font>
        <b val="0"/>
      </font>
    </dxf>
  </rfmt>
  <rcc rId="10255" sId="1">
    <nc r="O138" t="inlineStr">
      <is>
        <t>P</t>
      </is>
    </nc>
  </rcc>
  <rcc rId="10256" sId="1">
    <oc r="A158" t="inlineStr">
      <is>
        <t>Zone 2</t>
      </is>
    </oc>
    <nc r="A158" t="inlineStr">
      <is>
        <t>Z+A158:Q158one 2</t>
      </is>
    </nc>
  </rcc>
  <rcc rId="10257" sId="1" odxf="1" dxf="1">
    <nc r="Q161" t="inlineStr">
      <is>
        <t>P+Q161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fmt sheetId="1" sqref="B158:P158" start="0" length="2147483647">
    <dxf>
      <font>
        <b/>
      </font>
    </dxf>
  </rfmt>
  <rcc rId="10258" sId="1">
    <nc r="O158" t="inlineStr">
      <is>
        <t>P</t>
      </is>
    </nc>
  </rcc>
  <rfmt sheetId="1" sqref="A156:Q157" start="0" length="2147483647">
    <dxf>
      <font>
        <b val="0"/>
      </font>
    </dxf>
  </rfmt>
  <rfmt sheetId="1" sqref="A167:O167" start="0" length="2147483647">
    <dxf>
      <font>
        <b/>
      </font>
    </dxf>
  </rfmt>
  <rcc rId="10259" sId="1">
    <nc r="O167" t="inlineStr">
      <is>
        <t>P</t>
      </is>
    </nc>
  </rcc>
  <rfmt sheetId="1" sqref="A166:Q166" start="0" length="2147483647">
    <dxf>
      <font>
        <b val="0"/>
      </font>
    </dxf>
  </rfmt>
  <rcv guid="{88632445-F0C1-4286-9F20-1B96C4E8571B}" action="add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60" sId="1">
    <oc r="K119">
      <v>111</v>
    </oc>
    <nc r="K119">
      <v>165</v>
    </nc>
  </rcc>
  <rcc rId="10261" sId="1">
    <oc r="K132">
      <v>0</v>
    </oc>
    <nc r="K132">
      <v>25</v>
    </nc>
  </rcc>
  <rcc rId="10262" sId="1">
    <oc r="K137">
      <v>148</v>
    </oc>
    <nc r="K137">
      <v>176</v>
    </nc>
  </rcc>
  <rcc rId="10263" sId="1">
    <oc r="K147">
      <v>72</v>
    </oc>
    <nc r="K147">
      <v>176</v>
    </nc>
  </rcc>
  <rfmt sheetId="1" sqref="A167:XFD167" start="0" length="2147483647">
    <dxf>
      <font>
        <b/>
      </font>
    </dxf>
  </rfmt>
  <rfmt sheetId="1" sqref="A166:XFD166" start="0" length="2147483647">
    <dxf>
      <font>
        <b val="0"/>
      </font>
    </dxf>
  </rfmt>
  <rfmt sheetId="1" sqref="A166:XFD166">
    <dxf>
      <fill>
        <patternFill patternType="solid">
          <bgColor rgb="FF92D050"/>
        </patternFill>
      </fill>
    </dxf>
  </rfmt>
  <rcc rId="10264" sId="1">
    <oc r="K166">
      <v>3300</v>
    </oc>
    <nc r="K166">
      <v>6300</v>
    </nc>
  </rcc>
  <rcc rId="10265" sId="1">
    <oc r="K167">
      <v>0</v>
    </oc>
    <nc r="K167">
      <v>100</v>
    </nc>
  </rcc>
  <rfmt sheetId="1" sqref="A158:XFD158" start="0" length="2147483647">
    <dxf>
      <font>
        <b/>
      </font>
    </dxf>
  </rfmt>
  <rcc rId="10266" sId="1">
    <oc r="K158">
      <v>0</v>
    </oc>
    <nc r="K158">
      <v>148</v>
    </nc>
  </rcc>
  <rcc rId="10267" sId="1">
    <oc r="K157">
      <v>382</v>
    </oc>
    <nc r="K157">
      <v>650</v>
    </nc>
  </rcc>
  <rfmt sheetId="1" sqref="A157:XFD157">
    <dxf>
      <fill>
        <patternFill>
          <bgColor rgb="FF92D050"/>
        </patternFill>
      </fill>
    </dxf>
  </rfmt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133" start="0" length="0">
    <dxf>
      <border>
        <left/>
        <right/>
        <top/>
        <bottom/>
      </border>
    </dxf>
  </rfmt>
  <rfmt sheetId="1" sqref="E138" start="0" length="0">
    <dxf>
      <border>
        <left/>
        <right/>
        <top/>
        <bottom/>
      </border>
    </dxf>
  </rfmt>
  <rfmt sheetId="1" sqref="E149" start="0" length="0">
    <dxf>
      <border>
        <left/>
        <right/>
        <top/>
        <bottom/>
      </border>
    </dxf>
  </rfmt>
  <rfmt sheetId="1" sqref="A148:XFD148" start="0" length="2147483647">
    <dxf>
      <font>
        <b/>
      </font>
    </dxf>
  </rfmt>
  <rcc rId="10268" sId="1">
    <oc r="E148" t="inlineStr">
      <is>
        <t>W1025356 to change to inline printing for flag labels</t>
      </is>
    </oc>
    <nc r="E148" t="inlineStr">
      <is>
        <t>W1025356 to change to inline printing for Tube labels</t>
      </is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37:XFD137">
    <dxf>
      <fill>
        <patternFill>
          <bgColor rgb="FF92D050"/>
        </patternFill>
      </fill>
    </dxf>
  </rfmt>
  <rcc rId="10269" sId="1">
    <oc r="K138">
      <v>0</v>
    </oc>
    <nc r="K138">
      <v>20</v>
    </nc>
  </rcc>
  <rcc rId="10270" sId="1">
    <oc r="K137">
      <v>176</v>
    </oc>
    <nc r="K137">
      <v>252</v>
    </nc>
  </rcc>
  <rfmt sheetId="1" sqref="N138:Q138" start="0" length="0">
    <dxf>
      <border>
        <bottom/>
      </border>
    </dxf>
  </rfmt>
  <rfmt sheetId="1" sqref="N133:Q133" start="0" length="0">
    <dxf>
      <border>
        <bottom/>
      </border>
    </dxf>
  </rfmt>
  <rfmt sheetId="1" sqref="N149:Q150">
    <dxf>
      <border>
        <top/>
        <bottom/>
        <horizontal/>
      </border>
    </dxf>
  </rfmt>
  <rfmt sheetId="1" sqref="A148:XFD148" start="0" length="0">
    <dxf>
      <border>
        <bottom style="double">
          <color indexed="64"/>
        </bottom>
      </border>
    </dxf>
  </rfmt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48:XFD149">
    <dxf>
      <fill>
        <patternFill>
          <bgColor theme="7" tint="0.39997558519241921"/>
        </patternFill>
      </fill>
    </dxf>
  </rfmt>
  <rfmt sheetId="1" sqref="A148:XFD149">
    <dxf>
      <fill>
        <patternFill>
          <bgColor rgb="FFFFC000"/>
        </patternFill>
      </fill>
    </dxf>
  </rfmt>
  <rm rId="10271" sheetId="1" source="E148" destination="F148" sourceSheetId="1">
    <rfmt sheetId="1" sqref="F148" start="0" length="0">
      <dxf>
        <font>
          <b/>
          <sz val="11"/>
          <color theme="1"/>
          <name val="Aptos Narrow"/>
          <family val="2"/>
          <scheme val="minor"/>
        </font>
        <fill>
          <patternFill patternType="solid">
            <bgColor rgb="FFFFC000"/>
          </patternFill>
        </fill>
        <border outline="0">
          <bottom style="double">
            <color indexed="64"/>
          </bottom>
        </border>
      </dxf>
    </rfmt>
  </rm>
  <rcv guid="{10BACC6C-BD8E-422E-A067-1B9586C4059E}" action="delete"/>
  <rcv guid="{10BACC6C-BD8E-422E-A067-1B9586C4059E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272" sId="1" ref="A371:XFD371" action="insertRow"/>
  <rcc rId="10273" sId="1" odxf="1" dxf="1">
    <nc r="A371" t="inlineStr">
      <is>
        <t>Zone 4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274" sId="1" odxf="1" dxf="1">
    <nc r="B371">
      <v>21</v>
    </nc>
    <odxf>
      <border outline="0">
        <bottom/>
      </border>
    </odxf>
    <ndxf>
      <border outline="0">
        <bottom style="thin">
          <color indexed="64"/>
        </bottom>
      </border>
    </ndxf>
  </rcc>
  <rcc rId="10275" sId="1" odxf="1" dxf="1">
    <nc r="C371">
      <v>1</v>
    </nc>
    <odxf>
      <border outline="0">
        <bottom/>
      </border>
    </odxf>
    <ndxf>
      <border outline="0">
        <bottom style="thin">
          <color indexed="64"/>
        </bottom>
      </border>
    </ndxf>
  </rcc>
  <rcc rId="10276" sId="1" odxf="1" dxf="1">
    <nc r="D371" t="inlineStr">
      <is>
        <t>18-004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277" sId="1" odxf="1" dxf="1">
    <nc r="E371" t="inlineStr">
      <is>
        <t>W1026589/1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278" sId="1" odxf="1" dxf="1">
    <nc r="F371" t="inlineStr">
      <is>
        <t>VER3/0122-1180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279" sId="1" odxf="1" dxf="1">
    <nc r="G371" t="inlineStr">
      <is>
        <t>Lopro S2.5, ABS, Left Shell HDMI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280" sId="1" odxf="1" dxf="1">
    <nc r="H371">
      <v>25.55</v>
    </nc>
    <odxf>
      <border outline="0">
        <bottom/>
      </border>
    </odxf>
    <ndxf>
      <border outline="0">
        <bottom style="thin">
          <color indexed="64"/>
        </bottom>
      </border>
    </ndxf>
  </rcc>
  <rcc rId="10281" sId="1" odxf="1" dxf="1">
    <nc r="I371">
      <v>25.55</v>
    </nc>
    <odxf>
      <border outline="0">
        <bottom/>
      </border>
    </odxf>
    <ndxf>
      <border outline="0">
        <bottom style="thin">
          <color indexed="64"/>
        </bottom>
      </border>
    </ndxf>
  </rcc>
  <rcc rId="10282" sId="1" odxf="1" dxf="1">
    <nc r="J371">
      <v>3500</v>
    </nc>
    <odxf>
      <border outline="0">
        <bottom/>
      </border>
    </odxf>
    <ndxf>
      <border outline="0">
        <bottom style="thin">
          <color indexed="64"/>
        </bottom>
      </border>
    </ndxf>
  </rcc>
  <rcc rId="10283" sId="1" odxf="1" dxf="1">
    <nc r="K371">
      <v>0</v>
    </nc>
    <odxf>
      <border outline="0">
        <bottom/>
      </border>
    </odxf>
    <ndxf>
      <border outline="0">
        <bottom style="thin">
          <color indexed="64"/>
        </bottom>
      </border>
    </ndxf>
  </rcc>
  <rcc rId="10284" sId="1" odxf="1" dxf="1" numFmtId="19">
    <nc r="L371">
      <v>46208.958333333336</v>
    </nc>
    <odxf>
      <border outline="0">
        <bottom/>
      </border>
    </odxf>
    <ndxf>
      <border outline="0">
        <bottom style="thin">
          <color indexed="64"/>
        </bottom>
      </border>
    </ndxf>
  </rcc>
  <rcc rId="10285" sId="1" odxf="1" dxf="1" numFmtId="19">
    <nc r="M371">
      <v>46210.354166666664</v>
    </nc>
    <odxf>
      <border outline="0">
        <bottom/>
      </border>
    </odxf>
    <ndxf>
      <border outline="0">
        <bottom style="thin">
          <color indexed="64"/>
        </bottom>
      </border>
    </ndxf>
  </rcc>
  <rfmt sheetId="1" sqref="N371" start="0" length="0">
    <dxf>
      <border outline="0">
        <bottom style="thin">
          <color indexed="64"/>
        </bottom>
      </border>
    </dxf>
  </rfmt>
  <rfmt sheetId="1" sqref="O371" start="0" length="0">
    <dxf>
      <border outline="0">
        <bottom style="thin">
          <color indexed="64"/>
        </bottom>
      </border>
    </dxf>
  </rfmt>
  <rfmt sheetId="1" sqref="P371" start="0" length="0">
    <dxf>
      <border outline="0">
        <bottom style="thin">
          <color indexed="64"/>
        </bottom>
      </border>
    </dxf>
  </rfmt>
  <rfmt sheetId="1" sqref="Q371" start="0" length="0">
    <dxf>
      <border outline="0">
        <bottom style="thin">
          <color indexed="64"/>
        </bottom>
      </border>
    </dxf>
  </rfmt>
  <rfmt sheetId="1" sqref="R371" start="0" length="0">
    <dxf>
      <border outline="0">
        <bottom style="thin">
          <color indexed="64"/>
        </bottom>
      </border>
    </dxf>
  </rfmt>
  <rfmt sheetId="1" sqref="S371" start="0" length="0">
    <dxf>
      <border outline="0">
        <bottom style="thin">
          <color indexed="64"/>
        </bottom>
      </border>
    </dxf>
  </rfmt>
  <rfmt sheetId="1" sqref="T371" start="0" length="0">
    <dxf>
      <border outline="0">
        <bottom style="thin">
          <color indexed="64"/>
        </bottom>
      </border>
    </dxf>
  </rfmt>
  <rfmt sheetId="1" sqref="U371" start="0" length="0">
    <dxf>
      <border outline="0">
        <bottom style="thin">
          <color indexed="64"/>
        </bottom>
      </border>
    </dxf>
  </rfmt>
  <rfmt sheetId="1" sqref="V371" start="0" length="0">
    <dxf>
      <border outline="0">
        <bottom style="thin">
          <color indexed="64"/>
        </bottom>
      </border>
    </dxf>
  </rfmt>
  <rfmt sheetId="1" sqref="W371" start="0" length="0">
    <dxf>
      <border outline="0">
        <bottom style="thin">
          <color indexed="64"/>
        </bottom>
      </border>
    </dxf>
  </rfmt>
  <rfmt sheetId="1" sqref="X371" start="0" length="0">
    <dxf>
      <border outline="0">
        <bottom style="thin">
          <color indexed="64"/>
        </bottom>
      </border>
    </dxf>
  </rfmt>
  <rfmt sheetId="1" sqref="Y371" start="0" length="0">
    <dxf>
      <border outline="0">
        <bottom style="thin">
          <color indexed="64"/>
        </bottom>
      </border>
    </dxf>
  </rfmt>
  <rfmt sheetId="1" sqref="Z371" start="0" length="0">
    <dxf>
      <border outline="0">
        <bottom style="thin">
          <color indexed="64"/>
        </bottom>
      </border>
    </dxf>
  </rfmt>
  <rcc rId="10286" sId="1" odxf="1" dxf="1">
    <nc r="AA371" t="inlineStr">
      <is>
        <t>1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287" sId="1" odxf="1" dxf="1">
    <nc r="AB371" t="inlineStr">
      <is>
        <t>0</t>
      </is>
    </nc>
    <odxf>
      <border outline="0">
        <bottom/>
      </border>
    </odxf>
    <ndxf>
      <border outline="0">
        <bottom style="thin">
          <color indexed="64"/>
        </bottom>
      </border>
    </ndxf>
  </rcc>
  <rfmt sheetId="1" sqref="A371:XFD371" start="0" length="0">
    <dxf>
      <border outline="0">
        <bottom style="thin">
          <color indexed="64"/>
        </bottom>
      </border>
    </dxf>
  </rfmt>
  <rfmt sheetId="1" sqref="A371:XFD371" start="0" length="0">
    <dxf>
      <border>
        <bottom/>
      </border>
    </dxf>
  </rfmt>
  <rcc rId="10288" sId="1">
    <oc r="J370">
      <v>3000</v>
    </oc>
    <nc r="J370">
      <v>3500</v>
    </nc>
  </rcc>
  <rrc rId="10289" sId="1" ref="A371:XFD371" action="insertRow"/>
  <rm rId="10290" sheetId="1" source="A369:XFD369" destination="A371:XFD371" sourceSheetId="1">
    <rfmt sheetId="1" xfDxf="1" sqref="A371:XFD371" start="0" length="0"/>
    <rfmt sheetId="1" sqref="L371" start="0" length="0">
      <dxf>
        <numFmt numFmtId="164" formatCode="mm\-dd\-yyyy"/>
      </dxf>
    </rfmt>
    <rfmt sheetId="1" sqref="M371" start="0" length="0">
      <dxf>
        <numFmt numFmtId="164" formatCode="mm\-dd\-yyyy"/>
      </dxf>
    </rfmt>
  </rm>
  <rrc rId="10291" sId="1" ref="A369:XFD369" action="deleteRow">
    <rfmt sheetId="1" xfDxf="1" sqref="A369:XFD369" start="0" length="0"/>
    <rfmt sheetId="1" sqref="L369" start="0" length="0">
      <dxf>
        <numFmt numFmtId="164" formatCode="mm\-dd\-yyyy"/>
      </dxf>
    </rfmt>
    <rfmt sheetId="1" sqref="M369" start="0" length="0">
      <dxf>
        <numFmt numFmtId="164" formatCode="mm\-dd\-yyyy"/>
      </dxf>
    </rfmt>
  </rrc>
  <rrc rId="10292" sId="1" ref="A372:XFD372" action="insertRow"/>
  <rm rId="10293" sheetId="1" source="A374:XFD374" destination="A372:XFD372" sourceSheetId="1">
    <rfmt sheetId="1" xfDxf="1" sqref="A372:XFD372" start="0" length="0">
      <dxf/>
    </rfmt>
    <rfmt sheetId="1" sqref="L372" start="0" length="0">
      <dxf>
        <numFmt numFmtId="164" formatCode="mm\-dd\-yyyy"/>
      </dxf>
    </rfmt>
    <rfmt sheetId="1" sqref="M372" start="0" length="0">
      <dxf>
        <numFmt numFmtId="164" formatCode="mm\-dd\-yyyy"/>
      </dxf>
    </rfmt>
  </rm>
  <rrc rId="10294" sId="1" ref="A374:XFD374" action="deleteRow">
    <rfmt sheetId="1" xfDxf="1" sqref="A374:XFD374" start="0" length="0"/>
    <rfmt sheetId="1" sqref="L374" start="0" length="0">
      <dxf>
        <numFmt numFmtId="164" formatCode="mm\-dd\-yyyy"/>
      </dxf>
    </rfmt>
    <rfmt sheetId="1" sqref="M374" start="0" length="0">
      <dxf>
        <numFmt numFmtId="164" formatCode="mm\-dd\-yyyy"/>
      </dxf>
    </rfmt>
  </rrc>
  <rcv guid="{31B4C6D2-0335-443E-840F-0BE68859C862}" action="delete"/>
  <rcv guid="{31B4C6D2-0335-443E-840F-0BE68859C862}" action="add"/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95" sId="1">
    <oc r="J676">
      <v>3000</v>
    </oc>
    <nc r="J676">
      <v>6500</v>
    </nc>
  </rcc>
  <rcc rId="10296" sId="1">
    <oc r="J369">
      <v>3500</v>
    </oc>
    <nc r="J369">
      <v>6500</v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97" sId="1">
    <oc r="J676">
      <v>6500</v>
    </oc>
    <nc r="J676">
      <v>7500</v>
    </nc>
  </rcc>
  <rcc rId="10298" sId="1">
    <oc r="J369">
      <v>6500</v>
    </oc>
    <nc r="J369">
      <v>7500</v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99" sId="1">
    <nc r="O226" t="inlineStr">
      <is>
        <t>P 07-22-2026</t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7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</rfmt>
  <rfmt sheetId="1" sqref="E7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</rfmt>
  <rfmt sheetId="1" sqref="E7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</rfmt>
  <rcv guid="{5AC04785-9563-4E87-A211-A9F0B44B833C}" action="add"/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00" sId="1">
    <oc r="J690">
      <v>2500</v>
    </oc>
    <nc r="J690">
      <v>3200</v>
    </nc>
  </rcc>
  <rrc rId="10301" sId="1" ref="A473:XFD473" action="insertRow"/>
  <rm rId="10302" sheetId="1" source="A477:XFD477" destination="A473:XFD473" sourceSheetId="1">
    <rfmt sheetId="1" xfDxf="1" sqref="A473:XFD473" start="0" length="0">
      <dxf>
        <fill>
          <patternFill patternType="solid">
            <bgColor theme="0" tint="-4.9989318521683403E-2"/>
          </patternFill>
        </fill>
      </dxf>
    </rfmt>
    <rfmt sheetId="1" sqref="L473" start="0" length="0">
      <dxf>
        <numFmt numFmtId="164" formatCode="mm\-dd\-yyyy"/>
      </dxf>
    </rfmt>
    <rfmt sheetId="1" sqref="M473" start="0" length="0">
      <dxf>
        <numFmt numFmtId="164" formatCode="mm\-dd\-yyyy"/>
      </dxf>
    </rfmt>
  </rm>
  <rrc rId="10303" sId="1" ref="A477:XFD477" action="deleteRow">
    <rfmt sheetId="1" xfDxf="1" sqref="A477:XFD477" start="0" length="0"/>
    <rfmt sheetId="1" sqref="L477" start="0" length="0">
      <dxf>
        <numFmt numFmtId="164" formatCode="mm\-dd\-yyyy"/>
      </dxf>
    </rfmt>
    <rfmt sheetId="1" sqref="M477" start="0" length="0">
      <dxf>
        <numFmt numFmtId="164" formatCode="mm\-dd\-yyyy"/>
      </dxf>
    </rfmt>
  </rrc>
  <rrc rId="10304" sId="1" ref="A479:XFD479" action="insertRow"/>
  <rm rId="10305" sheetId="1" source="A474:XFD474" destination="A479:XFD479" sourceSheetId="1">
    <rfmt sheetId="1" xfDxf="1" sqref="A479:XFD479" start="0" length="0"/>
    <rfmt sheetId="1" sqref="L479" start="0" length="0">
      <dxf>
        <numFmt numFmtId="164" formatCode="mm\-dd\-yyyy"/>
      </dxf>
    </rfmt>
    <rfmt sheetId="1" sqref="M479" start="0" length="0">
      <dxf>
        <numFmt numFmtId="164" formatCode="mm\-dd\-yyyy"/>
      </dxf>
    </rfmt>
  </rm>
  <rrc rId="10306" sId="1" ref="A474:XFD474" action="deleteRow">
    <rfmt sheetId="1" xfDxf="1" sqref="A474:XFD474" start="0" length="0"/>
    <rfmt sheetId="1" sqref="L474" start="0" length="0">
      <dxf>
        <numFmt numFmtId="164" formatCode="mm\-dd\-yyyy"/>
      </dxf>
    </rfmt>
    <rfmt sheetId="1" sqref="M474" start="0" length="0">
      <dxf>
        <numFmt numFmtId="164" formatCode="mm\-dd\-yyyy"/>
      </dxf>
    </rfmt>
  </rrc>
  <rcc rId="10307" sId="1">
    <oc r="J476">
      <v>150</v>
    </oc>
    <nc r="J476">
      <v>300</v>
    </nc>
  </rcc>
  <rcv guid="{31B4C6D2-0335-443E-840F-0BE68859C862}" action="delete"/>
  <rcv guid="{31B4C6D2-0335-443E-840F-0BE68859C862}" action="add"/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308" sId="1" ref="A489:XFD489" action="deleteRow">
    <rfmt sheetId="1" xfDxf="1" sqref="A489:XFD489" start="0" length="0">
      <dxf>
        <border outline="0">
          <bottom style="medium">
            <color indexed="64"/>
          </bottom>
        </border>
      </dxf>
    </rfmt>
    <rcc rId="0" sId="1">
      <nc r="A489" t="inlineStr">
        <is>
          <t>Zone 3</t>
        </is>
      </nc>
    </rcc>
    <rcc rId="0" sId="1">
      <nc r="B489" t="inlineStr">
        <is>
          <t>LoPro S4 HDMI</t>
        </is>
      </nc>
    </rcc>
    <rcc rId="0" sId="1">
      <nc r="C489">
        <v>5.5</v>
      </nc>
    </rcc>
    <rcc rId="0" sId="1">
      <nc r="D489" t="inlineStr">
        <is>
          <t>25-001</t>
        </is>
      </nc>
    </rcc>
    <rcc rId="0" sId="1">
      <nc r="E489" t="inlineStr">
        <is>
          <t>W1027669/1</t>
        </is>
      </nc>
    </rcc>
    <rcc rId="0" sId="1">
      <nc r="F489" t="inlineStr">
        <is>
          <t>VER1/0270-0939</t>
        </is>
      </nc>
    </rcc>
    <rcc rId="0" sId="1">
      <nc r="G489" t="inlineStr">
        <is>
          <t>LoPro S4 Short Well</t>
        </is>
      </nc>
    </rcc>
    <rcc rId="0" sId="1">
      <nc r="H489">
        <v>37.51</v>
      </nc>
    </rcc>
    <rcc rId="0" sId="1">
      <nc r="I489">
        <v>6.82</v>
      </nc>
    </rcc>
    <rcc rId="0" sId="1">
      <nc r="J489">
        <v>150</v>
      </nc>
    </rcc>
    <rcc rId="0" sId="1">
      <nc r="K489">
        <v>0</v>
      </nc>
    </rcc>
    <rcc rId="0" sId="1" dxf="1" numFmtId="19">
      <nc r="L489">
        <v>46244.590277777781</v>
      </nc>
      <ndxf>
        <numFmt numFmtId="164" formatCode="mm\-dd\-yyyy"/>
      </ndxf>
    </rcc>
    <rcc rId="0" sId="1" dxf="1" numFmtId="19">
      <nc r="M489">
        <v>46244.888888888891</v>
      </nc>
      <ndxf>
        <numFmt numFmtId="164" formatCode="mm\-dd\-yyyy"/>
      </ndxf>
    </rcc>
    <rcc rId="0" sId="1">
      <nc r="AA489" t="inlineStr">
        <is>
          <t>1</t>
        </is>
      </nc>
    </rcc>
    <rcc rId="0" sId="1">
      <nc r="AB489" t="inlineStr">
        <is>
          <t>0</t>
        </is>
      </nc>
    </rcc>
  </rrc>
  <rfmt sheetId="1" sqref="A488:XFD488" start="0" length="0">
    <dxf>
      <border>
        <bottom style="medium">
          <color indexed="64"/>
        </bottom>
      </border>
    </dxf>
  </rfmt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309" sId="1" ref="A766:XFD766" action="insertRow"/>
  <rcc rId="10310" sId="1">
    <nc r="A766" t="inlineStr">
      <is>
        <t>Zone 4</t>
      </is>
    </nc>
  </rcc>
  <rcc rId="10311" sId="1">
    <nc r="B766">
      <v>48</v>
    </nc>
  </rcc>
  <rcc rId="10312" sId="1">
    <nc r="C766">
      <v>1</v>
    </nc>
  </rcc>
  <rcc rId="10313" sId="1">
    <nc r="D766" t="inlineStr">
      <is>
        <t>08-020</t>
      </is>
    </nc>
  </rcc>
  <rfmt sheetId="1" sqref="E766" start="0" length="0">
    <dxf>
      <fill>
        <patternFill patternType="solid">
          <bgColor theme="8" tint="0.39997558519241921"/>
        </patternFill>
      </fill>
    </dxf>
  </rfmt>
  <rcc rId="10314" sId="1">
    <nc r="F766" t="inlineStr">
      <is>
        <t>SMI3/2159-PT-07</t>
      </is>
    </nc>
  </rcc>
  <rcc rId="10315" sId="1">
    <nc r="G766" t="inlineStr">
      <is>
        <t>Oxymask with TPE material</t>
      </is>
    </nc>
  </rcc>
  <rcc rId="10316" sId="1">
    <nc r="H766">
      <v>146.34</v>
    </nc>
  </rcc>
  <rcc rId="10317" sId="1">
    <nc r="I766">
      <v>146.34</v>
    </nc>
  </rcc>
  <rcc rId="10318" sId="1">
    <nc r="J766">
      <v>30000</v>
    </nc>
  </rcc>
  <rcc rId="10319" sId="1">
    <nc r="K766">
      <v>0</v>
    </nc>
  </rcc>
  <rcc rId="10320" sId="1" numFmtId="19">
    <nc r="L766">
      <v>46208.958333333336</v>
    </nc>
  </rcc>
  <rcc rId="10321" sId="1" numFmtId="19">
    <nc r="M766">
      <v>46217.381944444445</v>
    </nc>
  </rcc>
  <rcc rId="10322" sId="1" odxf="1" dxf="1">
    <nc r="N766" t="inlineStr">
      <is>
        <t>Purc. Comp. expected; CL2250</t>
      </is>
    </nc>
    <odxf>
      <fill>
        <patternFill patternType="none">
          <bgColor indexed="65"/>
        </patternFill>
      </fill>
    </odxf>
    <ndxf>
      <fill>
        <patternFill patternType="solid">
          <bgColor theme="8" tint="0.39997558519241921"/>
        </patternFill>
      </fill>
    </ndxf>
  </rcc>
  <rfmt sheetId="1" sqref="O766" start="0" length="0">
    <dxf>
      <fill>
        <patternFill patternType="solid">
          <bgColor theme="8" tint="0.39997558519241921"/>
        </patternFill>
      </fill>
    </dxf>
  </rfmt>
  <rfmt sheetId="1" sqref="P766" start="0" length="0">
    <dxf>
      <fill>
        <patternFill patternType="solid">
          <bgColor theme="8" tint="0.39997558519241921"/>
        </patternFill>
      </fill>
    </dxf>
  </rfmt>
  <rfmt sheetId="1" sqref="Q766" start="0" length="0">
    <dxf>
      <fill>
        <patternFill patternType="solid">
          <bgColor theme="8" tint="0.39997558519241921"/>
        </patternFill>
      </fill>
    </dxf>
  </rfmt>
  <rfmt sheetId="1" sqref="R766" start="0" length="0">
    <dxf>
      <fill>
        <patternFill patternType="solid">
          <bgColor theme="8" tint="0.39997558519241921"/>
        </patternFill>
      </fill>
    </dxf>
  </rfmt>
  <rfmt sheetId="1" sqref="S766" start="0" length="0">
    <dxf>
      <fill>
        <patternFill patternType="solid">
          <bgColor theme="8" tint="0.39997558519241921"/>
        </patternFill>
      </fill>
    </dxf>
  </rfmt>
  <rcc rId="10323" sId="1">
    <nc r="AA766" t="inlineStr">
      <is>
        <t>1</t>
      </is>
    </nc>
  </rcc>
  <rcc rId="10324" sId="1">
    <nc r="AB766" t="inlineStr">
      <is>
        <t>0</t>
      </is>
    </nc>
  </rcc>
  <rcc rId="10325" sId="1">
    <nc r="E766" t="inlineStr">
      <is>
        <t>W1030351/1</t>
      </is>
    </nc>
  </rcc>
  <rfmt sheetId="1" sqref="E766">
    <dxf>
      <fill>
        <patternFill patternType="none">
          <bgColor auto="1"/>
        </patternFill>
      </fill>
    </dxf>
  </rfmt>
  <rrc rId="10326" sId="1" ref="A632:XFD632" action="insertRow"/>
  <rrc rId="10327" sId="1" ref="A632:XFD632" action="insertRow"/>
  <rrc rId="10328" sId="1" ref="A633:XFD633" action="insertRow"/>
  <rcc rId="10329" sId="1" xfDxf="1" dxf="1">
    <nc r="F632" t="inlineStr">
      <is>
        <t>VER1/0122-1322</t>
      </is>
    </nc>
  </rcc>
  <rcc rId="10330" sId="1">
    <nc r="F633" t="inlineStr">
      <is>
        <t>VER1/0122-1322</t>
      </is>
    </nc>
  </rcc>
  <rcc rId="10331" sId="1">
    <nc r="F634" t="inlineStr">
      <is>
        <t>VER1/0122-1322</t>
      </is>
    </nc>
  </rcc>
  <rfmt sheetId="1" sqref="A632:XFD634">
    <dxf>
      <fill>
        <patternFill patternType="solid">
          <bgColor rgb="FF00B0F0"/>
        </patternFill>
      </fill>
    </dxf>
  </rfmt>
  <rcc rId="10332" sId="1" numFmtId="19">
    <nc r="L632">
      <v>46216</v>
    </nc>
  </rcc>
  <rcc rId="10333" sId="1" numFmtId="19">
    <nc r="M632">
      <v>46216</v>
    </nc>
  </rcc>
  <rcc rId="10334" sId="1" numFmtId="19">
    <nc r="L633">
      <v>46216</v>
    </nc>
  </rcc>
  <rcc rId="10335" sId="1" numFmtId="19">
    <nc r="M633">
      <v>46216</v>
    </nc>
  </rcc>
  <rcc rId="10336" sId="1" numFmtId="19">
    <nc r="L634">
      <v>46216</v>
    </nc>
  </rcc>
  <rcc rId="10337" sId="1" numFmtId="19">
    <nc r="M634">
      <v>46216</v>
    </nc>
  </rcc>
  <rcc rId="10338" sId="1">
    <nc r="J632">
      <v>600</v>
    </nc>
  </rcc>
  <rcc rId="10339" sId="1">
    <nc r="J633">
      <v>600</v>
    </nc>
  </rcc>
  <rcc rId="10340" sId="1">
    <nc r="J634">
      <v>600</v>
    </nc>
  </rcc>
  <rcc rId="10341" sId="1">
    <nc r="A632" t="inlineStr">
      <is>
        <t>Zone 4</t>
      </is>
    </nc>
  </rcc>
  <rcc rId="10342" sId="1">
    <nc r="A633" t="inlineStr">
      <is>
        <t>Zone 4</t>
      </is>
    </nc>
  </rcc>
  <rcc rId="10343" sId="1">
    <nc r="A634" t="inlineStr">
      <is>
        <t>Zone 4</t>
      </is>
    </nc>
  </rcc>
  <rcc rId="10344" sId="1">
    <nc r="B632">
      <v>9</v>
    </nc>
  </rcc>
  <rcc rId="10345" sId="1">
    <nc r="B633">
      <v>9</v>
    </nc>
  </rcc>
  <rcc rId="10346" sId="1">
    <nc r="B634">
      <v>9</v>
    </nc>
  </rcc>
  <rcc rId="10347" sId="1">
    <nc r="C632">
      <v>1</v>
    </nc>
  </rcc>
  <rcc rId="10348" sId="1">
    <nc r="C633">
      <v>1</v>
    </nc>
  </rcc>
  <rcc rId="10349" sId="1">
    <nc r="C634">
      <v>1</v>
    </nc>
  </rcc>
  <rcc rId="10350" sId="1">
    <nc r="D632" t="inlineStr">
      <is>
        <t>24-026</t>
      </is>
    </nc>
  </rcc>
  <rcc rId="10351" sId="1">
    <nc r="D633" t="inlineStr">
      <is>
        <t>24-026</t>
      </is>
    </nc>
  </rcc>
  <rcc rId="10352" sId="1">
    <nc r="D634" t="inlineStr">
      <is>
        <t>24-026</t>
      </is>
    </nc>
  </rcc>
  <rcc rId="10353" sId="1">
    <nc r="E632" t="inlineStr">
      <is>
        <t>W1030353/VAL</t>
      </is>
    </nc>
  </rcc>
  <rcc rId="10354" sId="1">
    <nc r="E633" t="inlineStr">
      <is>
        <t>W1030354/VAL</t>
      </is>
    </nc>
  </rcc>
  <rcc rId="10355" sId="1">
    <nc r="E634" t="inlineStr">
      <is>
        <t>W1030355/VAL</t>
      </is>
    </nc>
  </rcc>
  <rcc rId="10356" sId="1">
    <nc r="G632" t="inlineStr">
      <is>
        <t>Funnel Protective Cover, Orion</t>
      </is>
    </nc>
  </rcc>
  <rcc rId="10357" sId="1">
    <nc r="G633" t="inlineStr">
      <is>
        <t>Funnel Protective Cover, Orion</t>
      </is>
    </nc>
  </rcc>
  <rcc rId="10358" sId="1">
    <nc r="G634" t="inlineStr">
      <is>
        <t>Funnel Protective Cover, Orion</t>
      </is>
    </nc>
  </rcc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359" sId="1" ref="A635:XFD635" action="deleteRow">
    <rfmt sheetId="1" xfDxf="1" sqref="A635:XFD635" start="0" length="0"/>
    <rcc rId="0" sId="1">
      <nc r="A635" t="inlineStr">
        <is>
          <t>Zone 4</t>
        </is>
      </nc>
    </rcc>
    <rcc rId="0" sId="1">
      <nc r="B635">
        <v>9</v>
      </nc>
    </rcc>
    <rcc rId="0" sId="1">
      <nc r="C635">
        <v>0.33</v>
      </nc>
    </rcc>
    <rcc rId="0" sId="1">
      <nc r="D635" t="inlineStr">
        <is>
          <t>11-003</t>
        </is>
      </nc>
    </rcc>
    <rcc rId="0" sId="1">
      <nc r="E635" t="inlineStr">
        <is>
          <t>W1030238/1</t>
        </is>
      </nc>
    </rcc>
    <rcc rId="0" sId="1">
      <nc r="F635" t="inlineStr">
        <is>
          <t>SSH3/M-04-164</t>
        </is>
      </nc>
    </rcc>
    <rcc rId="0" sId="1">
      <nc r="G635" t="inlineStr">
        <is>
          <t>Plunger Tip</t>
        </is>
      </nc>
    </rcc>
    <rcc rId="0" sId="1">
      <nc r="H635">
        <v>2.7488999999999999</v>
      </nc>
    </rcc>
    <rcc rId="0" sId="1">
      <nc r="I635">
        <v>8.33</v>
      </nc>
    </rcc>
    <rcc rId="0" sId="1">
      <nc r="J635">
        <v>2000</v>
      </nc>
    </rcc>
    <rcc rId="0" sId="1">
      <nc r="K635">
        <v>0</v>
      </nc>
    </rcc>
    <rcc rId="0" sId="1" dxf="1" numFmtId="19">
      <nc r="L635">
        <v>46223.333333333336</v>
      </nc>
      <ndxf>
        <numFmt numFmtId="164" formatCode="mm\-dd\-yyyy"/>
      </ndxf>
    </rcc>
    <rcc rId="0" sId="1" dxf="1" numFmtId="19">
      <nc r="M635">
        <v>46224.006944444445</v>
      </nc>
      <ndxf>
        <numFmt numFmtId="164" formatCode="mm\-dd\-yyyy"/>
      </ndxf>
    </rcc>
    <rcc rId="0" sId="1">
      <nc r="AA635" t="inlineStr">
        <is>
          <t>1</t>
        </is>
      </nc>
    </rcc>
    <rcc rId="0" sId="1">
      <nc r="AB635" t="inlineStr">
        <is>
          <t>0</t>
        </is>
      </nc>
    </rcc>
  </rrc>
  <rcc rId="10360" sId="1">
    <nc r="I632">
      <v>3</v>
    </nc>
  </rcc>
  <rcc rId="10361" sId="1">
    <nc r="I633">
      <v>3</v>
    </nc>
  </rcc>
  <rcc rId="10362" sId="1">
    <nc r="I634">
      <v>3</v>
    </nc>
  </rcc>
  <rcc rId="10363" sId="1">
    <oc r="F148" t="inlineStr">
      <is>
        <t>W1025356 to change to inline printing for Tube labels</t>
      </is>
    </oc>
    <nc r="F148" t="inlineStr">
      <is>
        <t>W1025356 to change to inline printing for Tube labels - pause for record release</t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64" sId="1">
    <oc r="J477">
      <v>150</v>
    </oc>
    <nc r="J477">
      <v>300</v>
    </nc>
  </rcc>
  <rrc rId="10365" sId="1" ref="A473:XFD473" action="insertRow"/>
  <rm rId="10366" sheetId="1" source="A471:XFD471" destination="A473:XFD473" sourceSheetId="1">
    <rfmt sheetId="1" xfDxf="1" sqref="A473:XFD473" start="0" length="0">
      <dxf>
        <fill>
          <patternFill patternType="solid">
            <bgColor theme="0" tint="-4.9989318521683403E-2"/>
          </patternFill>
        </fill>
      </dxf>
    </rfmt>
    <rfmt sheetId="1" sqref="L473" start="0" length="0">
      <dxf>
        <numFmt numFmtId="164" formatCode="mm\-dd\-yyyy"/>
      </dxf>
    </rfmt>
    <rfmt sheetId="1" sqref="M473" start="0" length="0">
      <dxf>
        <numFmt numFmtId="164" formatCode="mm\-dd\-yyyy"/>
      </dxf>
    </rfmt>
  </rm>
  <rrc rId="10367" sId="1" ref="A471:XFD471" action="deleteRow">
    <rfmt sheetId="1" xfDxf="1" sqref="A471:XFD471" start="0" length="0"/>
    <rfmt sheetId="1" sqref="L471" start="0" length="0">
      <dxf>
        <numFmt numFmtId="164" formatCode="mm\-dd\-yyyy"/>
      </dxf>
    </rfmt>
    <rfmt sheetId="1" sqref="M471" start="0" length="0">
      <dxf>
        <numFmt numFmtId="164" formatCode="mm\-dd\-yyyy"/>
      </dxf>
    </rfmt>
  </rrc>
  <rcc rId="10368" sId="1">
    <oc r="J736">
      <v>2000</v>
    </oc>
    <nc r="J736">
      <v>100</v>
    </nc>
  </rcc>
  <rfmt sheetId="1" sqref="A736:XFD736">
    <dxf>
      <fill>
        <patternFill patternType="solid">
          <bgColor rgb="FF00B0F0"/>
        </patternFill>
      </fill>
    </dxf>
  </rfmt>
  <rfmt sheetId="1" sqref="E745" start="0" length="0">
    <dxf>
      <fill>
        <patternFill patternType="solid">
          <bgColor rgb="FF00B0F0"/>
        </patternFill>
      </fill>
    </dxf>
  </rfmt>
  <rcc rId="10369" sId="1">
    <oc r="J745">
      <v>2000</v>
    </oc>
    <nc r="J745">
      <v>100</v>
    </nc>
  </rcc>
  <rfmt sheetId="1" sqref="A745:XFD745">
    <dxf>
      <fill>
        <patternFill>
          <bgColor rgb="FF00B0F0"/>
        </patternFill>
      </fill>
    </dxf>
  </rfmt>
  <rcc rId="10370" sId="1">
    <oc r="E736" t="inlineStr">
      <is>
        <t>W1030300-1/1</t>
      </is>
    </oc>
    <nc r="E736" t="inlineStr">
      <is>
        <t>W1030369/SAM</t>
      </is>
    </nc>
  </rcc>
  <rcc rId="10371" sId="1">
    <oc r="E745" t="inlineStr">
      <is>
        <t>W1030300/1</t>
      </is>
    </oc>
    <nc r="E745" t="inlineStr">
      <is>
        <t>W1030369/SAM</t>
      </is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448:J448">
    <dxf>
      <fill>
        <patternFill patternType="solid">
          <bgColor rgb="FFFFFF00"/>
        </patternFill>
      </fill>
    </dxf>
  </rfmt>
  <rfmt sheetId="1" sqref="A447:XFD447">
    <dxf>
      <fill>
        <patternFill>
          <bgColor rgb="FF00B050"/>
        </patternFill>
      </fill>
    </dxf>
  </rfmt>
  <rfmt sheetId="1" sqref="E420:J420">
    <dxf>
      <fill>
        <patternFill patternType="solid">
          <bgColor rgb="FFFFFF00"/>
        </patternFill>
      </fill>
    </dxf>
  </rfmt>
  <rfmt sheetId="1" sqref="A419:XFD419">
    <dxf>
      <fill>
        <patternFill>
          <bgColor rgb="FF00B050"/>
        </patternFill>
      </fill>
    </dxf>
  </rfmt>
  <rfmt sheetId="1" sqref="E293:J293">
    <dxf>
      <fill>
        <patternFill patternType="solid">
          <bgColor rgb="FFFFFF00"/>
        </patternFill>
      </fill>
    </dxf>
  </rfmt>
  <rfmt sheetId="1" sqref="A292:XFD292">
    <dxf>
      <fill>
        <patternFill>
          <bgColor rgb="FF00B050"/>
        </patternFill>
      </fill>
    </dxf>
  </rfmt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372" sId="1" ref="A741:XFD741" action="deleteRow">
    <rfmt sheetId="1" xfDxf="1" sqref="A741:XFD741" start="0" length="0"/>
    <rcc rId="0" sId="1">
      <nc r="A741" t="inlineStr">
        <is>
          <t>Zone 4</t>
        </is>
      </nc>
    </rcc>
    <rcc rId="0" sId="1">
      <nc r="B741">
        <v>43</v>
      </nc>
    </rcc>
    <rcc rId="0" sId="1">
      <nc r="C741">
        <v>0.5</v>
      </nc>
    </rcc>
    <rcc rId="0" sId="1">
      <nc r="D741" t="inlineStr">
        <is>
          <t>23-053</t>
        </is>
      </nc>
    </rcc>
    <rcc rId="0" sId="1">
      <nc r="E741" t="inlineStr">
        <is>
          <t>W1022681-1/1</t>
        </is>
      </nc>
    </rcc>
    <rcc rId="0" sId="1">
      <nc r="F741" t="inlineStr">
        <is>
          <t>VER3/0122-1200</t>
        </is>
      </nc>
    </rcc>
    <rcc rId="0" sId="1">
      <nc r="G741" t="inlineStr">
        <is>
          <t>CLEARFIT Miller S2 - Over mold</t>
        </is>
      </nc>
    </rcc>
    <rcc rId="0" sId="1">
      <nc r="H741">
        <v>21.664999999999999</v>
      </nc>
    </rcc>
    <rcc rId="0" sId="1">
      <nc r="I741">
        <v>43.33</v>
      </nc>
    </rcc>
    <rcc rId="0" sId="1">
      <nc r="J741">
        <v>6500</v>
      </nc>
    </rcc>
    <rcc rId="0" sId="1">
      <nc r="K741">
        <v>0</v>
      </nc>
    </rcc>
    <rcc rId="0" sId="1" dxf="1" numFmtId="19">
      <nc r="L741">
        <v>46233.006944444445</v>
      </nc>
      <ndxf>
        <numFmt numFmtId="164" formatCode="mm\-dd\-yyyy"/>
      </ndxf>
    </rcc>
    <rcc rId="0" sId="1" dxf="1" numFmtId="19">
      <nc r="M741">
        <v>46234.840277777781</v>
      </nc>
      <ndxf>
        <numFmt numFmtId="164" formatCode="mm\-dd\-yyyy"/>
      </ndxf>
    </rcc>
    <rcc rId="0" sId="1">
      <nc r="AA741" t="inlineStr">
        <is>
          <t>1</t>
        </is>
      </nc>
    </rcc>
    <rcc rId="0" sId="1">
      <nc r="AB741" t="inlineStr">
        <is>
          <t>1</t>
        </is>
      </nc>
    </rcc>
  </rrc>
  <rrc rId="10373" sId="1" ref="A748:XFD748" action="deleteRow">
    <rfmt sheetId="1" xfDxf="1" sqref="A748:XFD748" start="0" length="0"/>
    <rcc rId="0" sId="1">
      <nc r="A748" t="inlineStr">
        <is>
          <t>Zone 4</t>
        </is>
      </nc>
    </rcc>
    <rcc rId="0" sId="1">
      <nc r="B748">
        <v>45</v>
      </nc>
    </rcc>
    <rcc rId="0" sId="1">
      <nc r="C748">
        <v>0.5</v>
      </nc>
    </rcc>
    <rcc rId="0" sId="1">
      <nc r="D748" t="inlineStr">
        <is>
          <t>23-054</t>
        </is>
      </nc>
    </rcc>
    <rcc rId="0" sId="1">
      <nc r="E748" t="inlineStr">
        <is>
          <t>W1022681/1</t>
        </is>
      </nc>
    </rcc>
    <rcc rId="0" sId="1">
      <nc r="F748" t="inlineStr">
        <is>
          <t>VER3/0122-1200</t>
        </is>
      </nc>
    </rcc>
    <rcc rId="0" sId="1">
      <nc r="G748" t="inlineStr">
        <is>
          <t>CLEARFIT Miller S2 - Over mold</t>
        </is>
      </nc>
    </rcc>
    <rcc rId="0" sId="1">
      <nc r="H748">
        <v>21.664999999999999</v>
      </nc>
    </rcc>
    <rcc rId="0" sId="1">
      <nc r="I748">
        <v>43.33</v>
      </nc>
    </rcc>
    <rcc rId="0" sId="1">
      <nc r="J748">
        <v>6500</v>
      </nc>
    </rcc>
    <rcc rId="0" sId="1">
      <nc r="K748">
        <v>0</v>
      </nc>
    </rcc>
    <rcc rId="0" sId="1" dxf="1" numFmtId="19">
      <nc r="L748">
        <v>46233.013888888891</v>
      </nc>
      <ndxf>
        <numFmt numFmtId="164" formatCode="mm\-dd\-yyyy"/>
      </ndxf>
    </rcc>
    <rcc rId="0" sId="1" dxf="1" numFmtId="19">
      <nc r="M748">
        <v>46234.847222222219</v>
      </nc>
      <ndxf>
        <numFmt numFmtId="164" formatCode="mm\-dd\-yyyy"/>
      </ndxf>
    </rcc>
    <rcc rId="0" sId="1">
      <nc r="AA748" t="inlineStr">
        <is>
          <t>1</t>
        </is>
      </nc>
    </rcc>
    <rcc rId="0" sId="1">
      <nc r="AB748" t="inlineStr">
        <is>
          <t>0</t>
        </is>
      </nc>
    </rcc>
  </rr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74" sId="1">
    <nc r="O225" t="inlineStr">
      <is>
        <t>P 07-22-2026</t>
      </is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521:XFD521">
    <dxf>
      <fill>
        <patternFill>
          <bgColor rgb="FF00B050"/>
        </patternFill>
      </fill>
    </dxf>
  </rfmt>
  <rfmt sheetId="1" sqref="E522:J522">
    <dxf>
      <fill>
        <patternFill patternType="solid">
          <bgColor rgb="FFFFFF00"/>
        </patternFill>
      </fill>
    </dxf>
  </rfmt>
  <rfmt sheetId="1" sqref="E733:J733">
    <dxf>
      <fill>
        <patternFill patternType="solid">
          <bgColor rgb="FFFFFF00"/>
        </patternFill>
      </fill>
    </dxf>
  </rfmt>
  <rfmt sheetId="1" sqref="E735:J735">
    <dxf>
      <fill>
        <patternFill>
          <bgColor rgb="FFFFFF00"/>
        </patternFill>
      </fill>
    </dxf>
  </rfmt>
  <rfmt sheetId="1" sqref="E743:J743">
    <dxf>
      <fill>
        <patternFill>
          <bgColor rgb="FFFFFF00"/>
        </patternFill>
      </fill>
    </dxf>
  </rfmt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375" sId="1">
    <nc r="P227" t="inlineStr">
      <is>
        <t>DG06</t>
      </is>
    </nc>
  </rcc>
  <rcc rId="10376" sId="1">
    <nc r="P228" t="inlineStr">
      <is>
        <t>DG102</t>
      </is>
    </nc>
  </rcc>
  <rrc rId="10377" sId="1" ref="A94:XFD99" action="insertRow"/>
  <rfmt sheetId="1" sqref="C102" start="0" length="0">
    <dxf/>
  </rfmt>
  <rfmt sheetId="1" sqref="B102" start="0" length="0">
    <dxf/>
  </rfmt>
  <rfmt sheetId="1" sqref="A102" start="0" length="0">
    <dxf/>
  </rfmt>
  <rfmt sheetId="1" sqref="C101" start="0" length="0">
    <dxf/>
  </rfmt>
  <rfmt sheetId="1" sqref="B101" start="0" length="0">
    <dxf/>
  </rfmt>
  <rfmt sheetId="1" sqref="A101" start="0" length="0">
    <dxf/>
  </rfmt>
  <rfmt sheetId="1" sqref="C100" start="0" length="0">
    <dxf/>
  </rfmt>
  <rfmt sheetId="1" sqref="B100" start="0" length="0">
    <dxf/>
  </rfmt>
  <rcc rId="10378" sId="1" odxf="1" dxf="1">
    <nc r="C104">
      <v>1</v>
    </nc>
    <odxf/>
    <ndxf/>
  </rcc>
  <rcc rId="10379" sId="1" odxf="1" dxf="1">
    <nc r="B104" t="inlineStr">
      <is>
        <t>Blade Singulate</t>
      </is>
    </nc>
    <odxf/>
    <ndxf/>
  </rcc>
  <rcc rId="10380" sId="1" odxf="1" dxf="1">
    <nc r="A104" t="inlineStr">
      <is>
        <t>Zone 1</t>
      </is>
    </nc>
    <odxf/>
    <ndxf/>
  </rcc>
  <rcc rId="10381" sId="1" odxf="1" dxf="1">
    <nc r="C103">
      <v>1</v>
    </nc>
    <odxf/>
    <ndxf/>
  </rcc>
  <rcc rId="10382" sId="1" odxf="1" dxf="1">
    <nc r="B103" t="inlineStr">
      <is>
        <t>Blade Singulate</t>
      </is>
    </nc>
    <odxf/>
    <ndxf/>
  </rcc>
  <rcc rId="10383" sId="1" odxf="1" dxf="1">
    <nc r="A103" t="inlineStr">
      <is>
        <t>Zone 1</t>
      </is>
    </nc>
    <odxf/>
    <ndxf/>
  </rcc>
  <rcc rId="10384" sId="1">
    <nc r="C102">
      <v>1</v>
    </nc>
  </rcc>
  <rcc rId="10385" sId="1">
    <nc r="B102" t="inlineStr">
      <is>
        <t>Blade Singulate</t>
      </is>
    </nc>
  </rcc>
  <rcc rId="10386" sId="1">
    <nc r="A102" t="inlineStr">
      <is>
        <t>Zone 1</t>
      </is>
    </nc>
  </rcc>
  <rcc rId="10387" sId="1">
    <nc r="C101">
      <v>1</v>
    </nc>
  </rcc>
  <rcc rId="10388" sId="1">
    <nc r="B101" t="inlineStr">
      <is>
        <t>Blade Singulate</t>
      </is>
    </nc>
  </rcc>
  <rcc rId="10389" sId="1">
    <nc r="A101" t="inlineStr">
      <is>
        <t>Zone 1</t>
      </is>
    </nc>
  </rcc>
  <rcc rId="10390" sId="1">
    <nc r="C100">
      <v>1</v>
    </nc>
  </rcc>
  <rcc rId="10391" sId="1">
    <nc r="B100" t="inlineStr">
      <is>
        <t>Blade Singulate</t>
      </is>
    </nc>
  </rcc>
  <rcc rId="10392" sId="1">
    <nc r="A100" t="inlineStr">
      <is>
        <t>Zone 1</t>
      </is>
    </nc>
  </rcc>
  <rcc rId="10393" sId="1">
    <nc r="C99">
      <v>1</v>
    </nc>
  </rcc>
  <rcc rId="10394" sId="1">
    <nc r="B99" t="inlineStr">
      <is>
        <t>Blade Singulate</t>
      </is>
    </nc>
  </rcc>
  <rcc rId="10395" sId="1">
    <nc r="A99" t="inlineStr">
      <is>
        <t>Zone 1</t>
      </is>
    </nc>
  </rcc>
  <rcc rId="10396" sId="1">
    <nc r="C98">
      <v>1</v>
    </nc>
  </rcc>
  <rcc rId="10397" sId="1">
    <nc r="B98" t="inlineStr">
      <is>
        <t>Blade Singulate</t>
      </is>
    </nc>
  </rcc>
  <rcc rId="10398" sId="1">
    <nc r="A98" t="inlineStr">
      <is>
        <t>Zone 1</t>
      </is>
    </nc>
  </rcc>
  <rcc rId="10399" sId="1">
    <nc r="C97">
      <v>1</v>
    </nc>
  </rcc>
  <rcc rId="10400" sId="1">
    <nc r="B97" t="inlineStr">
      <is>
        <t>Blade Singulate</t>
      </is>
    </nc>
  </rcc>
  <rcc rId="10401" sId="1">
    <nc r="A97" t="inlineStr">
      <is>
        <t>Zone 1</t>
      </is>
    </nc>
  </rcc>
  <rcc rId="10402" sId="1">
    <nc r="C96">
      <v>1</v>
    </nc>
  </rcc>
  <rcc rId="10403" sId="1">
    <nc r="B96" t="inlineStr">
      <is>
        <t>Blade Singulate</t>
      </is>
    </nc>
  </rcc>
  <rcc rId="10404" sId="1">
    <nc r="A96" t="inlineStr">
      <is>
        <t>Zone 1</t>
      </is>
    </nc>
  </rcc>
  <rcc rId="10405" sId="1">
    <nc r="C95">
      <v>1</v>
    </nc>
  </rcc>
  <rcc rId="10406" sId="1">
    <nc r="B95" t="inlineStr">
      <is>
        <t>Blade Singulate</t>
      </is>
    </nc>
  </rcc>
  <rcc rId="10407" sId="1">
    <nc r="A95" t="inlineStr">
      <is>
        <t>Zone 1</t>
      </is>
    </nc>
  </rcc>
  <rcc rId="10408" sId="1">
    <nc r="C94">
      <v>1</v>
    </nc>
  </rcc>
  <rcc rId="10409" sId="1">
    <nc r="B94" t="inlineStr">
      <is>
        <t>Blade Singulate</t>
      </is>
    </nc>
  </rcc>
  <rcc rId="10410" sId="1">
    <nc r="A94" t="inlineStr">
      <is>
        <t>Zone 1</t>
      </is>
    </nc>
  </rcc>
  <rcc rId="10411" sId="1" odxf="1" dxf="1">
    <nc r="A105" t="inlineStr">
      <is>
        <t>Zone 1</t>
      </is>
    </nc>
    <odxf/>
    <ndxf/>
  </rcc>
  <rcc rId="10412" sId="1" odxf="1" dxf="1">
    <nc r="B105" t="inlineStr">
      <is>
        <t>Blade Singulate</t>
      </is>
    </nc>
    <odxf/>
    <ndxf/>
  </rcc>
  <rcc rId="10413" sId="1" odxf="1" dxf="1">
    <nc r="C105">
      <v>1</v>
    </nc>
    <odxf/>
    <ndxf/>
  </rcc>
  <rcc rId="10414" sId="1">
    <nc r="E94" t="inlineStr">
      <is>
        <t>W1029927</t>
      </is>
    </nc>
  </rcc>
  <rfmt sheetId="1" sqref="E94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10415" sId="1">
    <nc r="E95" t="inlineStr">
      <is>
        <t>W1029928</t>
      </is>
    </nc>
  </rcc>
  <rcc rId="10416" sId="1">
    <nc r="E96" t="inlineStr">
      <is>
        <t>W1029929</t>
      </is>
    </nc>
  </rcc>
  <rcc rId="10417" sId="1">
    <nc r="E97" t="inlineStr">
      <is>
        <t>W1029930</t>
      </is>
    </nc>
  </rcc>
  <rcc rId="10418" sId="1">
    <nc r="E98" t="inlineStr">
      <is>
        <t>W1029931</t>
      </is>
    </nc>
  </rcc>
  <rcc rId="10419" sId="1">
    <nc r="E99" t="inlineStr">
      <is>
        <t>W1029932</t>
      </is>
    </nc>
  </rcc>
  <rcc rId="10420" sId="1" odxf="1" dxf="1">
    <nc r="E100" t="inlineStr">
      <is>
        <t>W1029933</t>
      </is>
    </nc>
    <odxf/>
    <ndxf/>
  </rcc>
  <rcc rId="10421" sId="1" odxf="1" dxf="1">
    <nc r="E101" t="inlineStr">
      <is>
        <t>W1029934</t>
      </is>
    </nc>
    <odxf/>
    <ndxf/>
  </rcc>
  <rcc rId="10422" sId="1" odxf="1" dxf="1">
    <nc r="E102" t="inlineStr">
      <is>
        <t>W1029935</t>
      </is>
    </nc>
    <odxf/>
    <ndxf/>
  </rcc>
  <rcc rId="10423" sId="1" odxf="1" dxf="1">
    <nc r="E103" t="inlineStr">
      <is>
        <t>W1029936</t>
      </is>
    </nc>
    <odxf/>
    <ndxf/>
  </rcc>
  <rcc rId="10424" sId="1">
    <nc r="E104" t="inlineStr">
      <is>
        <t>W1029547/1</t>
      </is>
    </nc>
  </rcc>
  <rfmt sheetId="1" sqref="E104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rc rId="10425" sId="1" ref="A105:XFD105" action="deleteRow">
    <rfmt sheetId="1" xfDxf="1" sqref="A105:XFD105" start="0" length="0">
      <dxf/>
    </rfmt>
    <rcc rId="0" sId="1" dxf="1">
      <nc r="A105" t="inlineStr">
        <is>
          <t>Zone 1</t>
        </is>
      </nc>
      <ndxf/>
    </rcc>
    <rcc rId="0" sId="1" dxf="1">
      <nc r="B105" t="inlineStr">
        <is>
          <t>Blade Singulate</t>
        </is>
      </nc>
      <ndxf/>
    </rcc>
    <rcc rId="0" sId="1" dxf="1">
      <nc r="C105">
        <v>1</v>
      </nc>
      <ndxf/>
    </rcc>
    <rfmt sheetId="1" sqref="L105" start="0" length="0">
      <dxf>
        <numFmt numFmtId="164" formatCode="mm\-dd\-yyyy"/>
      </dxf>
    </rfmt>
    <rfmt sheetId="1" sqref="M105" start="0" length="0">
      <dxf>
        <numFmt numFmtId="164" formatCode="mm\-dd\-yyyy"/>
      </dxf>
    </rfmt>
  </rrc>
  <rcc rId="10426" sId="1">
    <nc r="F94" t="inlineStr">
      <is>
        <t>SMI3/730082</t>
      </is>
    </nc>
  </rcc>
  <rcc rId="10427" sId="1">
    <nc r="F95" t="inlineStr">
      <is>
        <t>SMI3/730082</t>
      </is>
    </nc>
  </rcc>
  <rcc rId="10428" sId="1">
    <nc r="F96" t="inlineStr">
      <is>
        <t>SMI3/730082</t>
      </is>
    </nc>
  </rcc>
  <rcc rId="10429" sId="1">
    <nc r="F98" t="inlineStr">
      <is>
        <t>SMI3/730082</t>
      </is>
    </nc>
  </rcc>
  <rcc rId="10430" sId="1">
    <nc r="F97" t="inlineStr">
      <is>
        <t>SMI3/730082</t>
      </is>
    </nc>
  </rcc>
  <rcc rId="10431" sId="1">
    <nc r="F99" t="inlineStr">
      <is>
        <t>SMI3/730082</t>
      </is>
    </nc>
  </rcc>
  <rcc rId="10432" sId="1">
    <nc r="F100" t="inlineStr">
      <is>
        <t>SMI3/730082</t>
      </is>
    </nc>
  </rcc>
  <rcc rId="10433" sId="1">
    <nc r="F101" t="inlineStr">
      <is>
        <t>SMI3/730082</t>
      </is>
    </nc>
  </rcc>
  <rcc rId="10434" sId="1">
    <nc r="F102" t="inlineStr">
      <is>
        <t>SMI3/730082</t>
      </is>
    </nc>
  </rcc>
  <rcc rId="10435" sId="1">
    <nc r="F103" t="inlineStr">
      <is>
        <t>SMI3/730082</t>
      </is>
    </nc>
  </rcc>
  <rcc rId="10436" sId="1">
    <nc r="F104" t="inlineStr">
      <is>
        <t>SMI3/730082</t>
      </is>
    </nc>
  </rcc>
  <rcc rId="10437" sId="1">
    <nc r="G94" t="inlineStr">
      <is>
        <t>Singulated #15 Blade Blank</t>
      </is>
    </nc>
  </rcc>
  <rcc rId="10438" sId="1">
    <nc r="J94">
      <v>18000</v>
    </nc>
  </rcc>
  <rcc rId="10439" sId="1">
    <nc r="K94">
      <v>0</v>
    </nc>
  </rcc>
  <rcc rId="10440" sId="1">
    <nc r="G95" t="inlineStr">
      <is>
        <t>Singulated #15 Blade Blank</t>
      </is>
    </nc>
  </rcc>
  <rcc rId="10441" sId="1">
    <nc r="J95">
      <v>18000</v>
    </nc>
  </rcc>
  <rcc rId="10442" sId="1">
    <nc r="K95">
      <v>0</v>
    </nc>
  </rcc>
  <rcc rId="10443" sId="1">
    <nc r="G96" t="inlineStr">
      <is>
        <t>Singulated #15 Blade Blank</t>
      </is>
    </nc>
  </rcc>
  <rcc rId="10444" sId="1">
    <nc r="J96">
      <v>18000</v>
    </nc>
  </rcc>
  <rcc rId="10445" sId="1">
    <nc r="K96">
      <v>0</v>
    </nc>
  </rcc>
  <rcc rId="10446" sId="1">
    <nc r="G97" t="inlineStr">
      <is>
        <t>Singulated #15 Blade Blank</t>
      </is>
    </nc>
  </rcc>
  <rcc rId="10447" sId="1">
    <nc r="J97">
      <v>18000</v>
    </nc>
  </rcc>
  <rcc rId="10448" sId="1">
    <nc r="K97">
      <v>0</v>
    </nc>
  </rcc>
  <rcc rId="10449" sId="1">
    <nc r="G98" t="inlineStr">
      <is>
        <t>Singulated #15 Blade Blank</t>
      </is>
    </nc>
  </rcc>
  <rcc rId="10450" sId="1">
    <nc r="J98">
      <v>18000</v>
    </nc>
  </rcc>
  <rcc rId="10451" sId="1">
    <nc r="K98">
      <v>0</v>
    </nc>
  </rcc>
  <rcc rId="10452" sId="1">
    <nc r="G99" t="inlineStr">
      <is>
        <t>Singulated #15 Blade Blank</t>
      </is>
    </nc>
  </rcc>
  <rcc rId="10453" sId="1">
    <nc r="J99">
      <v>18000</v>
    </nc>
  </rcc>
  <rcc rId="10454" sId="1">
    <nc r="K99">
      <v>0</v>
    </nc>
  </rcc>
  <rcc rId="10455" sId="1" odxf="1" dxf="1">
    <nc r="G100" t="inlineStr">
      <is>
        <t>Singulated #15 Blade Blank</t>
      </is>
    </nc>
    <odxf/>
    <ndxf/>
  </rcc>
  <rcc rId="10456" sId="1" odxf="1" dxf="1">
    <nc r="J100">
      <v>18000</v>
    </nc>
    <odxf/>
    <ndxf/>
  </rcc>
  <rcc rId="10457" sId="1" odxf="1" dxf="1">
    <nc r="K100">
      <v>0</v>
    </nc>
    <odxf/>
    <ndxf/>
  </rcc>
  <rcc rId="10458" sId="1" odxf="1" dxf="1">
    <nc r="G101" t="inlineStr">
      <is>
        <t>Singulated #15 Blade Blank</t>
      </is>
    </nc>
    <odxf/>
    <ndxf/>
  </rcc>
  <rcc rId="10459" sId="1" odxf="1" dxf="1">
    <nc r="J101">
      <v>18000</v>
    </nc>
    <odxf/>
    <ndxf/>
  </rcc>
  <rcc rId="10460" sId="1" odxf="1" dxf="1">
    <nc r="K101">
      <v>0</v>
    </nc>
    <odxf/>
    <ndxf/>
  </rcc>
  <rcc rId="10461" sId="1" odxf="1" dxf="1">
    <nc r="G102" t="inlineStr">
      <is>
        <t>Singulated #15 Blade Blank</t>
      </is>
    </nc>
    <odxf/>
    <ndxf/>
  </rcc>
  <rcc rId="10462" sId="1" odxf="1" dxf="1">
    <nc r="J102">
      <v>18000</v>
    </nc>
    <odxf/>
    <ndxf/>
  </rcc>
  <rcc rId="10463" sId="1" odxf="1" dxf="1">
    <nc r="K102">
      <v>0</v>
    </nc>
    <odxf/>
    <ndxf/>
  </rcc>
  <rcc rId="10464" sId="1" odxf="1" dxf="1">
    <nc r="G103" t="inlineStr">
      <is>
        <t>Singulated #15 Blade Blank</t>
      </is>
    </nc>
    <odxf/>
    <ndxf/>
  </rcc>
  <rcc rId="10465" sId="1" odxf="1" dxf="1">
    <nc r="J103">
      <v>18000</v>
    </nc>
    <odxf/>
    <ndxf/>
  </rcc>
  <rcc rId="10466" sId="1" odxf="1" dxf="1">
    <nc r="K103">
      <v>0</v>
    </nc>
    <odxf/>
    <ndxf/>
  </rcc>
  <rcc rId="10467" sId="1" odxf="1" dxf="1">
    <nc r="G104" t="inlineStr">
      <is>
        <t>Singulated #15 Blade Blank</t>
      </is>
    </nc>
    <odxf/>
    <ndxf/>
  </rcc>
  <rcc rId="10468" sId="1" odxf="1" dxf="1">
    <nc r="J104">
      <v>18000</v>
    </nc>
    <odxf/>
    <ndxf/>
  </rcc>
  <rcc rId="10469" sId="1" odxf="1" dxf="1">
    <nc r="K104">
      <v>0</v>
    </nc>
    <odxf/>
    <ndxf/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B4D97B87-EF97-47BB-8AED-6BEC13B5929D}" action="add"/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70" sId="1">
    <nc r="O164" t="inlineStr">
      <is>
        <t>p</t>
      </is>
    </nc>
  </rcc>
  <rcc rId="10471" sId="1" odxf="1" dxf="1" numFmtId="19">
    <nc r="Q164">
      <v>46211</v>
    </nc>
    <odxf>
      <numFmt numFmtId="0" formatCode="General"/>
    </odxf>
    <ndxf>
      <numFmt numFmtId="19" formatCode="mm/dd/yyyy"/>
    </ndxf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72" sId="1">
    <oc r="K425">
      <v>0</v>
    </oc>
    <nc r="K425">
      <v>300</v>
    </nc>
  </rcc>
  <rcc rId="10473" sId="1">
    <oc r="K424">
      <v>0</v>
    </oc>
    <nc r="K424">
      <v>600</v>
    </nc>
  </rcc>
  <rfmt sheetId="1" sqref="A425:XFD425">
    <dxf>
      <fill>
        <patternFill>
          <bgColor rgb="FF00B050"/>
        </patternFill>
      </fill>
    </dxf>
  </rfmt>
  <rfmt sheetId="1" sqref="A426:XFD426">
    <dxf>
      <fill>
        <patternFill patternType="solid">
          <bgColor rgb="FFFFFF00"/>
        </patternFill>
      </fill>
    </dxf>
  </rfmt>
  <rcc rId="10474" sId="1">
    <oc r="J743">
      <v>6500</v>
    </oc>
    <nc r="J743">
      <v>13000</v>
    </nc>
  </rcc>
  <rcc rId="10475" sId="1">
    <oc r="J746">
      <v>6500</v>
    </oc>
    <nc r="J746">
      <v>13000</v>
    </nc>
  </rcc>
  <rcc rId="10476" sId="1">
    <oc r="J750">
      <v>6500</v>
    </oc>
    <nc r="J750">
      <v>13000</v>
    </nc>
  </rcc>
  <rcc rId="10477" sId="1">
    <oc r="J753">
      <v>6500</v>
    </oc>
    <nc r="J753">
      <v>13000</v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78" sId="1">
    <oc r="J555">
      <v>100</v>
    </oc>
    <nc r="J555">
      <v>150</v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479" sId="1" ref="A321:XFD321" action="insertRow"/>
  <rrc rId="10480" sId="1" ref="A321:XFD321" action="insertRow"/>
  <rcc rId="10481" sId="1">
    <nc r="A321" t="inlineStr">
      <is>
        <t>Zone 4</t>
      </is>
    </nc>
  </rcc>
  <rcc rId="10482" sId="1">
    <nc r="B321">
      <v>7</v>
    </nc>
  </rcc>
  <rcc rId="10483" sId="1">
    <nc r="C321">
      <v>1</v>
    </nc>
  </rcc>
  <rcc rId="10484" sId="1">
    <nc r="D321" t="inlineStr">
      <is>
        <t>01-0214</t>
      </is>
    </nc>
  </rcc>
  <rcc rId="10485" sId="1">
    <nc r="E321" t="inlineStr">
      <is>
        <t>W1029816/1</t>
      </is>
    </nc>
  </rcc>
  <rcc rId="10486" sId="1">
    <nc r="F321" t="inlineStr">
      <is>
        <t>OCM2/83530004001</t>
      </is>
    </nc>
  </rcc>
  <rcc rId="10487" sId="1">
    <nc r="G321" t="inlineStr">
      <is>
        <t>QEL enclosure base</t>
      </is>
    </nc>
  </rcc>
  <rcc rId="10488" sId="1">
    <nc r="H321">
      <v>6.94</v>
    </nc>
  </rcc>
  <rcc rId="10489" sId="1">
    <nc r="I321">
      <v>6.94</v>
    </nc>
  </rcc>
  <rcc rId="10490" sId="1">
    <nc r="J321">
      <v>1000</v>
    </nc>
  </rcc>
  <rcc rId="10491" sId="1">
    <nc r="K321">
      <v>0</v>
    </nc>
  </rcc>
  <rcc rId="10492" sId="1" numFmtId="19">
    <nc r="L321">
      <v>46208.958333333336</v>
    </nc>
  </rcc>
  <rcc rId="10493" sId="1" numFmtId="19">
    <nc r="M321">
      <v>46209.576388888891</v>
    </nc>
  </rcc>
  <rcc rId="10494" sId="1">
    <nc r="AA321" t="inlineStr">
      <is>
        <t>1</t>
      </is>
    </nc>
  </rcc>
  <rcc rId="10495" sId="1">
    <nc r="AB321" t="inlineStr">
      <is>
        <t>0</t>
      </is>
    </nc>
  </rcc>
  <rcc rId="10496" sId="1" odxf="1" dxf="1">
    <nc r="A322" t="inlineStr">
      <is>
        <t>Zone 4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497" sId="1" odxf="1" dxf="1">
    <nc r="B322">
      <v>7</v>
    </nc>
    <odxf>
      <border outline="0">
        <bottom/>
      </border>
    </odxf>
    <ndxf>
      <border outline="0">
        <bottom style="thin">
          <color indexed="64"/>
        </bottom>
      </border>
    </ndxf>
  </rcc>
  <rcc rId="10498" sId="1" odxf="1" dxf="1">
    <nc r="C322">
      <v>1</v>
    </nc>
    <odxf>
      <border outline="0">
        <bottom/>
      </border>
    </odxf>
    <ndxf>
      <border outline="0">
        <bottom style="thin">
          <color indexed="64"/>
        </bottom>
      </border>
    </ndxf>
  </rcc>
  <rcc rId="10499" sId="1" odxf="1" dxf="1">
    <nc r="D322" t="inlineStr">
      <is>
        <t>01-0215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500" sId="1" odxf="1" dxf="1">
    <nc r="E322" t="inlineStr">
      <is>
        <t>W1029817/1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501" sId="1" odxf="1" dxf="1">
    <nc r="F322" t="inlineStr">
      <is>
        <t>OCM2/83530004003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502" sId="1" odxf="1" dxf="1">
    <nc r="G322" t="inlineStr">
      <is>
        <t>M18 enclosure cover with hole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503" sId="1" odxf="1" dxf="1">
    <nc r="H322">
      <v>5.85</v>
    </nc>
    <odxf>
      <border outline="0">
        <bottom/>
      </border>
    </odxf>
    <ndxf>
      <border outline="0">
        <bottom style="thin">
          <color indexed="64"/>
        </bottom>
      </border>
    </ndxf>
  </rcc>
  <rcc rId="10504" sId="1" odxf="1" dxf="1">
    <nc r="I322">
      <v>5.85</v>
    </nc>
    <odxf>
      <border outline="0">
        <bottom/>
      </border>
    </odxf>
    <ndxf>
      <border outline="0">
        <bottom style="thin">
          <color indexed="64"/>
        </bottom>
      </border>
    </ndxf>
  </rcc>
  <rcc rId="10505" sId="1" odxf="1" dxf="1">
    <nc r="J322">
      <v>1000</v>
    </nc>
    <odxf>
      <border outline="0">
        <bottom/>
      </border>
    </odxf>
    <ndxf>
      <border outline="0">
        <bottom style="thin">
          <color indexed="64"/>
        </bottom>
      </border>
    </ndxf>
  </rcc>
  <rcc rId="10506" sId="1" odxf="1" dxf="1">
    <nc r="K322">
      <v>0</v>
    </nc>
    <odxf>
      <border outline="0">
        <bottom/>
      </border>
    </odxf>
    <ndxf>
      <border outline="0">
        <bottom style="thin">
          <color indexed="64"/>
        </bottom>
      </border>
    </ndxf>
  </rcc>
  <rcc rId="10507" sId="1" odxf="1" dxf="1" numFmtId="19">
    <nc r="L322">
      <v>46209.583333333336</v>
    </nc>
    <odxf>
      <border outline="0">
        <bottom/>
      </border>
    </odxf>
    <ndxf>
      <border outline="0">
        <bottom style="thin">
          <color indexed="64"/>
        </bottom>
      </border>
    </ndxf>
  </rcc>
  <rcc rId="10508" sId="1" odxf="1" dxf="1" numFmtId="19">
    <nc r="M322">
      <v>46210.159722222219</v>
    </nc>
    <odxf>
      <border outline="0">
        <bottom/>
      </border>
    </odxf>
    <ndxf>
      <border outline="0">
        <bottom style="thin">
          <color indexed="64"/>
        </bottom>
      </border>
    </ndxf>
  </rcc>
  <rfmt sheetId="1" sqref="N322" start="0" length="0">
    <dxf>
      <border outline="0">
        <bottom style="thin">
          <color indexed="64"/>
        </bottom>
      </border>
    </dxf>
  </rfmt>
  <rfmt sheetId="1" sqref="O322" start="0" length="0">
    <dxf>
      <border outline="0">
        <bottom style="thin">
          <color indexed="64"/>
        </bottom>
      </border>
    </dxf>
  </rfmt>
  <rfmt sheetId="1" sqref="P322" start="0" length="0">
    <dxf>
      <border outline="0">
        <bottom style="thin">
          <color indexed="64"/>
        </bottom>
      </border>
    </dxf>
  </rfmt>
  <rfmt sheetId="1" sqref="Q322" start="0" length="0">
    <dxf>
      <border outline="0">
        <bottom style="thin">
          <color indexed="64"/>
        </bottom>
      </border>
    </dxf>
  </rfmt>
  <rfmt sheetId="1" sqref="R322" start="0" length="0">
    <dxf>
      <border outline="0">
        <bottom style="thin">
          <color indexed="64"/>
        </bottom>
      </border>
    </dxf>
  </rfmt>
  <rfmt sheetId="1" sqref="S322" start="0" length="0">
    <dxf>
      <border outline="0">
        <bottom style="thin">
          <color indexed="64"/>
        </bottom>
      </border>
    </dxf>
  </rfmt>
  <rfmt sheetId="1" sqref="T322" start="0" length="0">
    <dxf>
      <border outline="0">
        <bottom style="thin">
          <color indexed="64"/>
        </bottom>
      </border>
    </dxf>
  </rfmt>
  <rfmt sheetId="1" sqref="U322" start="0" length="0">
    <dxf>
      <border outline="0">
        <bottom style="thin">
          <color indexed="64"/>
        </bottom>
      </border>
    </dxf>
  </rfmt>
  <rfmt sheetId="1" sqref="V322" start="0" length="0">
    <dxf>
      <border outline="0">
        <bottom style="thin">
          <color indexed="64"/>
        </bottom>
      </border>
    </dxf>
  </rfmt>
  <rfmt sheetId="1" sqref="W322" start="0" length="0">
    <dxf>
      <border outline="0">
        <bottom style="thin">
          <color indexed="64"/>
        </bottom>
      </border>
    </dxf>
  </rfmt>
  <rfmt sheetId="1" sqref="X322" start="0" length="0">
    <dxf>
      <border outline="0">
        <bottom style="thin">
          <color indexed="64"/>
        </bottom>
      </border>
    </dxf>
  </rfmt>
  <rfmt sheetId="1" sqref="Y322" start="0" length="0">
    <dxf>
      <border outline="0">
        <bottom style="thin">
          <color indexed="64"/>
        </bottom>
      </border>
    </dxf>
  </rfmt>
  <rfmt sheetId="1" sqref="Z322" start="0" length="0">
    <dxf>
      <border outline="0">
        <bottom style="thin">
          <color indexed="64"/>
        </bottom>
      </border>
    </dxf>
  </rfmt>
  <rcc rId="10509" sId="1" odxf="1" dxf="1">
    <nc r="AA322" t="inlineStr">
      <is>
        <t>1</t>
      </is>
    </nc>
    <odxf>
      <border outline="0">
        <bottom/>
      </border>
    </odxf>
    <ndxf>
      <border outline="0">
        <bottom style="thin">
          <color indexed="64"/>
        </bottom>
      </border>
    </ndxf>
  </rcc>
  <rcc rId="10510" sId="1" odxf="1" dxf="1">
    <nc r="AB322" t="inlineStr">
      <is>
        <t>0</t>
      </is>
    </nc>
    <odxf>
      <border outline="0">
        <bottom/>
      </border>
    </odxf>
    <ndxf>
      <border outline="0">
        <bottom style="thin">
          <color indexed="64"/>
        </bottom>
      </border>
    </ndxf>
  </rcc>
  <rfmt sheetId="1" sqref="A322:XFD322" start="0" length="0">
    <dxf>
      <border outline="0">
        <bottom style="thin">
          <color indexed="64"/>
        </bottom>
      </border>
    </dxf>
  </rfmt>
  <rfmt sheetId="1" sqref="E321:J322">
    <dxf>
      <fill>
        <patternFill patternType="solid">
          <bgColor theme="6" tint="0.79998168889431442"/>
        </patternFill>
      </fill>
    </dxf>
  </rfmt>
  <rfmt sheetId="1" sqref="A322:XFD322" start="0" length="0">
    <dxf>
      <border>
        <bottom/>
      </border>
    </dxf>
  </rfmt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318:J318">
    <dxf>
      <fill>
        <patternFill patternType="solid">
          <bgColor rgb="FFFFFF00"/>
        </patternFill>
      </fill>
    </dxf>
  </rfmt>
  <rfmt sheetId="1" sqref="A317:XFD317">
    <dxf>
      <fill>
        <patternFill>
          <bgColor theme="0" tint="-0.499984740745262"/>
        </patternFill>
      </fill>
    </dxf>
  </rfmt>
  <rfmt sheetId="1" sqref="A317:XFD317">
    <dxf>
      <fill>
        <patternFill>
          <bgColor rgb="FF00B050"/>
        </patternFill>
      </fill>
    </dxf>
  </rfmt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11" sId="1">
    <oc r="J828">
      <v>6000</v>
    </oc>
    <nc r="J828">
      <v>8000</v>
    </nc>
  </rcc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12" sId="1">
    <nc r="O457" t="inlineStr">
      <is>
        <t>P</t>
      </is>
    </nc>
  </rcc>
  <rcc rId="10513" sId="1">
    <nc r="O429" t="inlineStr">
      <is>
        <t>P</t>
      </is>
    </nc>
  </rcc>
  <rfmt sheetId="1" sqref="O429">
    <dxf>
      <fill>
        <patternFill patternType="solid">
          <fgColor indexed="64"/>
          <bgColor rgb="FF00B050"/>
        </patternFill>
      </fill>
    </dxf>
  </rfmt>
  <rcc rId="10514" sId="1">
    <nc r="O399" t="inlineStr">
      <is>
        <t>P</t>
      </is>
    </nc>
  </rcc>
  <rcc rId="10515" sId="1">
    <nc r="O458" t="inlineStr">
      <is>
        <t>P</t>
      </is>
    </nc>
  </rcc>
  <rcc rId="10516" sId="1">
    <nc r="O340" t="inlineStr">
      <is>
        <t>P</t>
      </is>
    </nc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17" sId="1">
    <nc r="O720" t="inlineStr">
      <is>
        <t>P</t>
      </is>
    </nc>
  </rcc>
  <rcc rId="10518" sId="1">
    <nc r="O253" t="inlineStr">
      <is>
        <t>P</t>
      </is>
    </nc>
  </rcc>
  <rcc rId="10519" sId="1">
    <nc r="O359" t="inlineStr">
      <is>
        <t>P</t>
      </is>
    </nc>
  </rcc>
  <rcc rId="10520" sId="1">
    <nc r="O430" t="inlineStr">
      <is>
        <t>P</t>
      </is>
    </nc>
  </rcc>
  <rfmt sheetId="1" sqref="O430">
    <dxf>
      <fill>
        <patternFill patternType="solid">
          <fgColor indexed="64"/>
          <bgColor rgb="FF00B050"/>
        </patternFill>
      </fill>
    </dxf>
  </rfmt>
  <rcc rId="10521" sId="1">
    <nc r="O498" t="inlineStr">
      <is>
        <t>P</t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22" sId="1">
    <oc r="K251">
      <v>0</v>
    </oc>
    <nc r="K251">
      <v>576</v>
    </nc>
  </rcc>
  <rfmt sheetId="1" sqref="A251:XFD251">
    <dxf>
      <fill>
        <patternFill>
          <bgColor rgb="FF00B050"/>
        </patternFill>
      </fill>
    </dxf>
  </rfmt>
  <rfmt sheetId="1" sqref="A252:XFD252">
    <dxf>
      <fill>
        <patternFill patternType="solid">
          <bgColor rgb="FFFFFF00"/>
        </patternFill>
      </fill>
    </dxf>
  </rfmt>
  <rcc rId="10523" sId="1">
    <oc r="K267">
      <v>0</v>
    </oc>
    <nc r="K267">
      <v>295</v>
    </nc>
  </rcc>
  <rfmt sheetId="1" sqref="A267:XFD267">
    <dxf>
      <fill>
        <patternFill>
          <bgColor rgb="FF00B050"/>
        </patternFill>
      </fill>
    </dxf>
  </rfmt>
  <rcc rId="10524" sId="1">
    <oc r="K268">
      <v>0</v>
    </oc>
    <nc r="K268">
      <v>288</v>
    </nc>
  </rcc>
  <rfmt sheetId="1" sqref="A268:XFD268">
    <dxf>
      <fill>
        <patternFill patternType="solid">
          <bgColor rgb="FF00B050"/>
        </patternFill>
      </fill>
    </dxf>
  </rfmt>
  <rfmt sheetId="1" sqref="A269:XFD269">
    <dxf>
      <fill>
        <patternFill patternType="solid">
          <bgColor rgb="FFFFFF00"/>
        </patternFill>
      </fill>
    </dxf>
  </rfmt>
  <rfmt sheetId="1" sqref="A287:XFD287">
    <dxf>
      <fill>
        <patternFill patternType="solid">
          <bgColor rgb="FFFFFF00"/>
        </patternFill>
      </fill>
    </dxf>
  </rfmt>
  <rcc rId="10525" sId="1">
    <oc r="K286">
      <v>0</v>
    </oc>
    <nc r="K286">
      <v>375</v>
    </nc>
  </rcc>
  <rfmt sheetId="1" sqref="A286:XFD286">
    <dxf>
      <fill>
        <patternFill>
          <bgColor rgb="FF00B050"/>
        </patternFill>
      </fill>
    </dxf>
  </rfmt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9717C610-E317-4A8E-A3DA-9B09B3F19190}" action="add"/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27:XFD227">
    <dxf>
      <fill>
        <patternFill>
          <bgColor rgb="FF92D050"/>
        </patternFill>
      </fill>
    </dxf>
  </rfmt>
  <rfmt sheetId="1" sqref="A228:XFD228">
    <dxf>
      <fill>
        <patternFill patternType="solid">
          <bgColor rgb="FFFFFF00"/>
        </patternFill>
      </fill>
    </dxf>
  </rfmt>
  <rcc rId="10526" sId="1">
    <oc r="K227">
      <v>0</v>
    </oc>
    <nc r="K227">
      <v>5116</v>
    </nc>
  </rcc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27" sId="1">
    <oc r="K135">
      <v>0</v>
    </oc>
    <nc r="K135">
      <v>50</v>
    </nc>
  </rcc>
  <rfmt sheetId="1" sqref="A135:XFD135">
    <dxf>
      <fill>
        <patternFill>
          <bgColor rgb="FF92D050"/>
        </patternFill>
      </fill>
    </dxf>
  </rfmt>
  <rfmt sheetId="1" sqref="A136:XFD136">
    <dxf>
      <fill>
        <patternFill patternType="solid">
          <bgColor rgb="FFFFFF00"/>
        </patternFill>
      </fill>
    </dxf>
  </rfmt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28" sId="1">
    <oc r="K137">
      <v>25</v>
    </oc>
    <nc r="K137">
      <v>37</v>
    </nc>
  </rcc>
  <rcc rId="10529" sId="1">
    <oc r="K143">
      <v>20</v>
    </oc>
    <nc r="K143">
      <v>128</v>
    </nc>
  </rcc>
  <rcc rId="10530" sId="1">
    <oc r="K152">
      <v>176</v>
    </oc>
    <nc r="K152">
      <v>284</v>
    </nc>
  </rcc>
  <rcc rId="10531" sId="1">
    <oc r="O164" t="inlineStr">
      <is>
        <t>p</t>
      </is>
    </oc>
    <nc r="O164" t="inlineStr">
      <is>
        <t>P</t>
      </is>
    </nc>
  </rcc>
  <rcc rId="10532" sId="1">
    <oc r="K163">
      <v>148</v>
    </oc>
    <nc r="K163">
      <v>675</v>
    </nc>
  </rcc>
  <rcc rId="10533" sId="1">
    <oc r="K172">
      <v>100</v>
    </oc>
    <nc r="K172">
      <v>3000</v>
    </nc>
  </rcc>
  <rcc rId="10534" sId="1">
    <oc r="K124">
      <v>165</v>
    </oc>
    <nc r="K124">
      <v>186</v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535" sId="1" ref="A704:XFD704" action="insertRow"/>
  <rm rId="10536" sheetId="1" source="A697:XFD697" destination="A704:XFD704" sourceSheetId="1">
    <rfmt sheetId="1" xfDxf="1" sqref="A704:XFD704" start="0" length="0"/>
    <rfmt sheetId="1" sqref="L704" start="0" length="0">
      <dxf>
        <numFmt numFmtId="164" formatCode="mm\-dd\-yyyy"/>
      </dxf>
    </rfmt>
    <rfmt sheetId="1" sqref="M704" start="0" length="0">
      <dxf>
        <numFmt numFmtId="164" formatCode="mm\-dd\-yyyy"/>
      </dxf>
    </rfmt>
  </rm>
  <rrc rId="10537" sId="1" ref="A697:XFD697" action="deleteRow">
    <rfmt sheetId="1" xfDxf="1" sqref="A697:XFD697" start="0" length="0"/>
    <rfmt sheetId="1" sqref="L697" start="0" length="0">
      <dxf>
        <numFmt numFmtId="164" formatCode="mm\-dd\-yyyy"/>
      </dxf>
    </rfmt>
    <rfmt sheetId="1" sqref="M697" start="0" length="0">
      <dxf>
        <numFmt numFmtId="164" formatCode="mm\-dd\-yyyy"/>
      </dxf>
    </rfmt>
  </rrc>
  <rrc rId="10538" sId="1" ref="A705:XFD705" action="insertRow"/>
  <rm rId="10539" sheetId="1" source="A703:XFD703" destination="A705:XFD705" sourceSheetId="1">
    <rfmt sheetId="1" xfDxf="1" sqref="A705:XFD705" start="0" length="0">
      <dxf/>
    </rfmt>
    <rfmt sheetId="1" sqref="L705" start="0" length="0">
      <dxf>
        <numFmt numFmtId="164" formatCode="mm\-dd\-yyyy"/>
      </dxf>
    </rfmt>
    <rfmt sheetId="1" sqref="M705" start="0" length="0">
      <dxf>
        <numFmt numFmtId="164" formatCode="mm\-dd\-yyyy"/>
      </dxf>
    </rfmt>
  </rm>
  <rrc rId="10540" sId="1" ref="A703:XFD703" action="deleteRow">
    <rfmt sheetId="1" xfDxf="1" sqref="A703:XFD703" start="0" length="0"/>
    <rfmt sheetId="1" sqref="L703" start="0" length="0">
      <dxf>
        <numFmt numFmtId="164" formatCode="mm\-dd\-yyyy"/>
      </dxf>
    </rfmt>
    <rfmt sheetId="1" sqref="M703" start="0" length="0">
      <dxf>
        <numFmt numFmtId="164" formatCode="mm\-dd\-yyyy"/>
      </dxf>
    </rfmt>
  </rrc>
  <rfmt sheetId="1" sqref="A703:XFD703" start="0" length="0">
    <dxf>
      <border>
        <bottom/>
      </border>
    </dxf>
  </rfmt>
  <rcv guid="{31B4C6D2-0335-443E-840F-0BE68859C862}" action="delete"/>
  <rcv guid="{31B4C6D2-0335-443E-840F-0BE68859C862}" action="add"/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41" sId="1">
    <oc r="J696">
      <v>10000</v>
    </oc>
    <nc r="J696">
      <v>19000</v>
    </nc>
  </rcc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42" sId="1">
    <oc r="J702">
      <v>6500</v>
    </oc>
    <nc r="J702">
      <v>5000</v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543" sId="1" ref="A145:XFD145" action="insertRow"/>
  <rm rId="10544" sheetId="1" source="A148:XFD148" destination="A145:XFD145" sourceSheetId="1">
    <rfmt sheetId="1" xfDxf="1" sqref="A145:XFD145" start="0" length="0"/>
    <rfmt sheetId="1" sqref="L145" start="0" length="0">
      <dxf>
        <numFmt numFmtId="164" formatCode="mm\-dd\-yyyy"/>
      </dxf>
    </rfmt>
    <rfmt sheetId="1" sqref="M145" start="0" length="0">
      <dxf>
        <numFmt numFmtId="164" formatCode="mm\-dd\-yyyy"/>
      </dxf>
    </rfmt>
  </rm>
  <rrc rId="10545" sId="1" ref="A148:XFD148" action="deleteRow">
    <rfmt sheetId="1" xfDxf="1" sqref="A148:XFD148" start="0" length="0"/>
    <rfmt sheetId="1" sqref="L148" start="0" length="0">
      <dxf>
        <numFmt numFmtId="164" formatCode="mm\-dd\-yyyy"/>
      </dxf>
    </rfmt>
    <rfmt sheetId="1" sqref="M148" start="0" length="0">
      <dxf>
        <numFmt numFmtId="164" formatCode="mm\-dd\-yyyy"/>
      </dxf>
    </rfmt>
  </rrc>
  <rcv guid="{A9066737-D214-4998-B3AE-C1B60D50E4FC}" action="delete"/>
  <rcv guid="{A9066737-D214-4998-B3AE-C1B60D50E4FC}" action="add"/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398:J398">
    <dxf>
      <fill>
        <patternFill patternType="solid">
          <bgColor rgb="FFFFFF00"/>
        </patternFill>
      </fill>
    </dxf>
  </rfmt>
  <rfmt sheetId="1" sqref="A397:XFD397">
    <dxf>
      <fill>
        <patternFill>
          <bgColor rgb="FF00B050"/>
        </patternFill>
      </fill>
    </dxf>
  </rfmt>
  <rfmt sheetId="1" sqref="A428:XFD428">
    <dxf>
      <fill>
        <patternFill>
          <bgColor rgb="FF00B050"/>
        </patternFill>
      </fill>
    </dxf>
  </rfmt>
  <rfmt sheetId="1" sqref="E429:J429">
    <dxf>
      <fill>
        <patternFill patternType="solid">
          <bgColor rgb="FFFFFF00"/>
        </patternFill>
      </fill>
    </dxf>
  </rfmt>
  <rfmt sheetId="1" sqref="A428:XFD428">
    <dxf>
      <fill>
        <patternFill>
          <bgColor theme="6" tint="0.59999389629810485"/>
        </patternFill>
      </fill>
    </dxf>
  </rfmt>
  <rfmt sheetId="1" sqref="E357:J357">
    <dxf>
      <fill>
        <patternFill patternType="solid">
          <bgColor rgb="FFFFFF00"/>
        </patternFill>
      </fill>
    </dxf>
  </rfmt>
  <rfmt sheetId="1" sqref="A356:XFD356">
    <dxf>
      <fill>
        <patternFill>
          <bgColor rgb="FF00B050"/>
        </patternFill>
      </fill>
    </dxf>
  </rfmt>
  <rfmt sheetId="1" sqref="A298:XFD298">
    <dxf>
      <fill>
        <patternFill>
          <bgColor rgb="FF00B050"/>
        </patternFill>
      </fill>
    </dxf>
  </rfmt>
  <rfmt sheetId="1" sqref="E299:J299">
    <dxf>
      <fill>
        <patternFill patternType="solid">
          <bgColor rgb="FFFFFF00"/>
        </patternFill>
      </fill>
    </dxf>
  </rfmt>
  <rfmt sheetId="1" sqref="E497:J497">
    <dxf>
      <fill>
        <patternFill patternType="solid">
          <bgColor rgb="FFFFFF00"/>
        </patternFill>
      </fill>
    </dxf>
  </rfmt>
  <rfmt sheetId="1" sqref="A496:XFD496">
    <dxf>
      <fill>
        <patternFill>
          <bgColor rgb="FF00B050"/>
        </patternFill>
      </fill>
    </dxf>
  </rfmt>
  <rfmt sheetId="1" sqref="A529:XFD529">
    <dxf>
      <fill>
        <patternFill>
          <bgColor rgb="FF00B050"/>
        </patternFill>
      </fill>
    </dxf>
  </rfmt>
  <rfmt sheetId="1" sqref="E530:J530">
    <dxf>
      <fill>
        <patternFill patternType="solid">
          <bgColor rgb="FFFFFF00"/>
        </patternFill>
      </fill>
    </dxf>
  </rfmt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376:J376">
    <dxf>
      <fill>
        <patternFill patternType="solid">
          <bgColor rgb="FFFFFF00"/>
        </patternFill>
      </fill>
    </dxf>
  </rfmt>
  <rfmt sheetId="1" sqref="A375:XFD375">
    <dxf>
      <fill>
        <patternFill>
          <bgColor theme="6" tint="0.59999389629810485"/>
        </patternFill>
      </fill>
    </dxf>
  </rfmt>
  <rfmt sheetId="1" sqref="E477:J477">
    <dxf>
      <fill>
        <patternFill patternType="solid">
          <bgColor rgb="FFFFFF00"/>
        </patternFill>
      </fill>
    </dxf>
  </rfmt>
  <rfmt sheetId="1" sqref="A476:XFD476">
    <dxf>
      <fill>
        <patternFill>
          <bgColor rgb="FF00B050"/>
        </patternFill>
      </fill>
    </dxf>
  </rfmt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46" sId="1">
    <oc r="K616">
      <v>0</v>
    </oc>
    <nc r="K616">
      <v>108</v>
    </nc>
  </rcc>
  <rfmt sheetId="1" sqref="K616">
    <dxf>
      <fill>
        <patternFill patternType="solid">
          <bgColor rgb="FF92D050"/>
        </patternFill>
      </fill>
    </dxf>
  </rfmt>
  <rcc rId="10547" sId="1">
    <oc r="J616">
      <v>720</v>
    </oc>
    <nc r="J616">
      <v>108</v>
    </nc>
  </rcc>
  <rcv guid="{78DC66DA-BE70-4175-B2D2-DDCFEC7F5D1E}" action="add"/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J616">
    <dxf>
      <fill>
        <patternFill patternType="solid">
          <bgColor rgb="FF92D050"/>
        </patternFill>
      </fill>
    </dxf>
  </rfmt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48" sId="1">
    <nc r="O360" t="inlineStr">
      <is>
        <t>P</t>
      </is>
    </nc>
  </rcc>
  <rcv guid="{F71ADF4E-7B20-46DA-AD22-B150D2D44083}" action="add"/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49" sId="1">
    <oc r="I227">
      <v>7.58</v>
    </oc>
    <nc r="I227"/>
  </rcc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50" sId="1">
    <oc r="K428">
      <v>0</v>
    </oc>
    <nc r="K428" t="inlineStr">
      <is>
        <t>Cut @129</t>
      </is>
    </nc>
  </rcc>
  <rfmt sheetId="1" sqref="A428:XFD428">
    <dxf>
      <fill>
        <patternFill>
          <bgColor rgb="FFFF0000"/>
        </patternFill>
      </fill>
    </dxf>
  </rfmt>
  <rcc rId="10551" sId="1">
    <oc r="K429">
      <v>0</v>
    </oc>
    <nc r="K429" t="inlineStr">
      <is>
        <t>Cut @136</t>
      </is>
    </nc>
  </rcc>
  <rfmt sheetId="1" sqref="A429:XFD429">
    <dxf>
      <fill>
        <patternFill>
          <bgColor rgb="FFFF0000"/>
        </patternFill>
      </fill>
    </dxf>
  </rfmt>
  <rrc rId="10552" sId="1" ref="A431:XFD431" action="insertRow"/>
  <rrc rId="10553" sId="1" ref="A433:XFD433" action="insertRow"/>
  <rrc rId="10554" sId="1" ref="A433:XFD433" action="insertRow"/>
  <rrc rId="10555" sId="1" ref="A341:XFD341" action="deleteRow">
    <rfmt sheetId="1" xfDxf="1" sqref="A341:XFD341" start="0" length="0"/>
    <rcc rId="0" sId="1">
      <nc r="A341" t="inlineStr">
        <is>
          <t>Zone 3</t>
        </is>
      </nc>
    </rcc>
    <rcc rId="0" sId="1">
      <nc r="B341" t="inlineStr">
        <is>
          <t>Lopro QC Mac 3</t>
        </is>
      </nc>
    </rcc>
    <rcc rId="0" sId="1">
      <nc r="C341">
        <v>4</v>
      </nc>
    </rcc>
    <rcc rId="0" sId="1">
      <nc r="D341" t="inlineStr">
        <is>
          <t>20-032</t>
        </is>
      </nc>
    </rcc>
    <rcc rId="0" sId="1">
      <nc r="E341" t="inlineStr">
        <is>
          <t>W1029675/1</t>
        </is>
      </nc>
    </rcc>
    <rcc rId="0" sId="1">
      <nc r="F341" t="inlineStr">
        <is>
          <t>VER1/0270-1147</t>
        </is>
      </nc>
    </rcc>
    <rcc rId="0" sId="1">
      <nc r="G341" t="inlineStr">
        <is>
          <t>QC ECO ,MAC S3, NS, GS SPECTRUM BOX-10</t>
        </is>
      </nc>
    </rcc>
    <rcc rId="0" sId="1">
      <nc r="H341">
        <v>100</v>
      </nc>
    </rcc>
    <rcc rId="0" sId="1">
      <nc r="I341">
        <v>25</v>
      </nc>
    </rcc>
    <rcc rId="0" sId="1">
      <nc r="J341">
        <v>300</v>
      </nc>
    </rcc>
    <rcc rId="0" sId="1">
      <nc r="K341">
        <v>0</v>
      </nc>
    </rcc>
    <rcc rId="0" sId="1" dxf="1" numFmtId="19">
      <nc r="L341">
        <v>46217.583333333336</v>
      </nc>
      <ndxf>
        <numFmt numFmtId="164" formatCode="mm\-dd\-yyyy"/>
      </ndxf>
    </rcc>
    <rcc rId="0" sId="1" dxf="1" numFmtId="19">
      <nc r="M341">
        <v>46218.638888888891</v>
      </nc>
      <ndxf>
        <numFmt numFmtId="164" formatCode="mm\-dd\-yyyy"/>
      </ndxf>
    </rcc>
    <rcc rId="0" sId="1">
      <nc r="AA341" t="inlineStr">
        <is>
          <t>1</t>
        </is>
      </nc>
    </rcc>
    <rcc rId="0" sId="1">
      <nc r="AB341" t="inlineStr">
        <is>
          <t>0</t>
        </is>
      </nc>
    </rcc>
  </rrc>
  <rrc rId="10556" sId="1" ref="A339:XFD339" action="deleteRow">
    <rfmt sheetId="1" xfDxf="1" sqref="A339:XFD339" start="0" length="0">
      <dxf>
        <fill>
          <patternFill patternType="solid">
            <bgColor theme="0" tint="-4.9989318521683403E-2"/>
          </patternFill>
        </fill>
      </dxf>
    </rfmt>
    <rfmt sheetId="1" sqref="L339" start="0" length="0">
      <dxf>
        <numFmt numFmtId="164" formatCode="mm\-dd\-yyyy"/>
      </dxf>
    </rfmt>
    <rfmt sheetId="1" sqref="M339" start="0" length="0">
      <dxf>
        <numFmt numFmtId="164" formatCode="mm\-dd\-yyyy"/>
      </dxf>
    </rfmt>
  </rrc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557" sId="1">
    <nc r="A429" t="inlineStr">
      <is>
        <t>Zone 3</t>
      </is>
    </nc>
  </rcc>
  <rcc rId="10558" sId="1">
    <nc r="B429" t="inlineStr">
      <is>
        <t>Lopro QC S4</t>
      </is>
    </nc>
  </rcc>
  <rcc rId="10559" sId="1">
    <nc r="C429">
      <v>4</v>
    </nc>
  </rcc>
  <rcc rId="10560" sId="1">
    <nc r="F429" t="inlineStr">
      <is>
        <t>VER1/0270-1145</t>
      </is>
    </nc>
  </rcc>
  <rcc rId="10561" sId="1">
    <nc r="G429" t="inlineStr">
      <is>
        <t>QC ECO ,HA S3, NS, GS SPECTRUM BOX-10</t>
      </is>
    </nc>
  </rcc>
  <rcc rId="10562" sId="1">
    <nc r="H429">
      <v>133.32</v>
    </nc>
  </rcc>
  <rcc rId="10563" sId="1">
    <nc r="I429">
      <v>33.33</v>
    </nc>
  </rcc>
  <rcc rId="10564" sId="1">
    <nc r="J429">
      <v>600</v>
    </nc>
  </rcc>
  <rcc rId="10565" sId="1" numFmtId="19">
    <nc r="L429">
      <v>46211.381944444445</v>
    </nc>
  </rcc>
  <rcc rId="10566" sId="1" numFmtId="19">
    <nc r="M429">
      <v>46212.784722222219</v>
    </nc>
  </rcc>
  <rcc rId="10567" sId="1">
    <nc r="AA429" t="inlineStr">
      <is>
        <t>1</t>
      </is>
    </nc>
  </rcc>
  <rcc rId="10568" sId="1">
    <nc r="AB429" t="inlineStr">
      <is>
        <t>0</t>
      </is>
    </nc>
  </rcc>
  <rcc rId="10569" sId="1">
    <nc r="A430" t="inlineStr">
      <is>
        <t>Zone 3</t>
      </is>
    </nc>
  </rcc>
  <rcc rId="10570" sId="1">
    <nc r="B430" t="inlineStr">
      <is>
        <t>Lopro QC S4</t>
      </is>
    </nc>
  </rcc>
  <rcc rId="10571" sId="1">
    <nc r="C430">
      <v>4</v>
    </nc>
  </rcc>
  <rcc rId="10572" sId="1">
    <nc r="F430" t="inlineStr">
      <is>
        <t>VER1/0270-1145</t>
      </is>
    </nc>
  </rcc>
  <rcc rId="10573" sId="1">
    <nc r="G430" t="inlineStr">
      <is>
        <t>QC ECO ,HA S3, NS, GS SPECTRUM BOX-10</t>
      </is>
    </nc>
  </rcc>
  <rcc rId="10574" sId="1">
    <nc r="H430">
      <v>133.32</v>
    </nc>
  </rcc>
  <rcc rId="10575" sId="1">
    <nc r="I430">
      <v>33.33</v>
    </nc>
  </rcc>
  <rcc rId="10576" sId="1">
    <nc r="J430">
      <v>600</v>
    </nc>
  </rcc>
  <rcc rId="10577" sId="1" numFmtId="19">
    <nc r="L430">
      <v>46212.791666666664</v>
    </nc>
  </rcc>
  <rcc rId="10578" sId="1" numFmtId="19">
    <nc r="M430">
      <v>46216.194444444445</v>
    </nc>
  </rcc>
  <rcc rId="10579" sId="1">
    <nc r="AA430" t="inlineStr">
      <is>
        <t>1</t>
      </is>
    </nc>
  </rcc>
  <rcc rId="10580" sId="1">
    <nc r="AB430" t="inlineStr">
      <is>
        <t>0</t>
      </is>
    </nc>
  </rcc>
  <rcc rId="10581" sId="1">
    <nc r="A431" t="inlineStr">
      <is>
        <t>Zone 3</t>
      </is>
    </nc>
  </rcc>
  <rcc rId="10582" sId="1">
    <nc r="B431" t="inlineStr">
      <is>
        <t>Lopro QC S4</t>
      </is>
    </nc>
  </rcc>
  <rcc rId="10583" sId="1">
    <nc r="C431">
      <v>5.5</v>
    </nc>
  </rcc>
  <rcc rId="10584" sId="1">
    <nc r="F431" t="inlineStr">
      <is>
        <t>VER1/0270-1145</t>
      </is>
    </nc>
  </rcc>
  <rcc rId="10585" sId="1">
    <nc r="H431">
      <v>75.02</v>
    </nc>
  </rcc>
  <rcc rId="10586" sId="1">
    <nc r="I431">
      <v>13.64</v>
    </nc>
  </rcc>
  <rcc rId="10587" sId="1">
    <nc r="J431">
      <v>300</v>
    </nc>
  </rcc>
  <rcc rId="10588" sId="1">
    <nc r="K431">
      <v>0</v>
    </nc>
  </rcc>
  <rcc rId="10589" sId="1" numFmtId="19">
    <nc r="L431">
      <v>46216.201388888891</v>
    </nc>
  </rcc>
  <rcc rId="10590" sId="1" numFmtId="19">
    <nc r="M431">
      <v>46216.784722222219</v>
    </nc>
  </rcc>
  <rcc rId="10591" sId="1">
    <nc r="AA431" t="inlineStr">
      <is>
        <t>1</t>
      </is>
    </nc>
  </rcc>
  <rcc rId="10592" sId="1">
    <nc r="AB431" t="inlineStr">
      <is>
        <t>0</t>
      </is>
    </nc>
  </rcc>
  <rfmt sheetId="1" sqref="A430:XFD431">
    <dxf>
      <fill>
        <patternFill patternType="none">
          <bgColor auto="1"/>
        </patternFill>
      </fill>
    </dxf>
  </rfmt>
  <rfmt sheetId="1" sqref="A428:XFD428">
    <dxf>
      <fill>
        <patternFill>
          <bgColor rgb="FFFFFF00"/>
        </patternFill>
      </fill>
    </dxf>
  </rfmt>
  <rcc rId="10593" sId="1">
    <nc r="E429" t="inlineStr">
      <is>
        <t>W1030432/1</t>
      </is>
    </nc>
  </rcc>
  <rcc rId="10594" sId="1">
    <nc r="E430" t="inlineStr">
      <is>
        <t>W1030433/1</t>
      </is>
    </nc>
  </rcc>
  <rcc rId="10595" sId="1">
    <nc r="E431" t="inlineStr">
      <is>
        <t>W1030434/1</t>
      </is>
    </nc>
  </rcc>
  <rcc rId="10596" sId="1">
    <nc r="K430">
      <v>0</v>
    </nc>
  </rcc>
  <rfmt sheetId="1" sqref="K430">
    <dxf>
      <fill>
        <patternFill patternType="none">
          <fgColor indexed="64"/>
          <bgColor indexed="65"/>
        </patternFill>
      </fill>
    </dxf>
  </rfmt>
  <rcc rId="10597" sId="1">
    <nc r="K429">
      <v>0</v>
    </nc>
  </rcc>
  <rfmt sheetId="1" sqref="O429">
    <dxf>
      <fill>
        <patternFill patternType="none">
          <bgColor auto="1"/>
        </patternFill>
      </fill>
    </dxf>
  </rfmt>
  <rfmt sheetId="1" sqref="J338">
    <dxf>
      <fill>
        <patternFill patternType="solid">
          <bgColor rgb="FF00B0F0"/>
        </patternFill>
      </fill>
    </dxf>
  </rfmt>
  <rcc rId="10598" sId="1">
    <oc r="K355">
      <v>0</v>
    </oc>
    <nc r="K355">
      <v>181</v>
    </nc>
  </rcc>
  <rfmt sheetId="1" sqref="J377 J379">
    <dxf>
      <fill>
        <patternFill patternType="solid">
          <bgColor rgb="FF00B0F0"/>
        </patternFill>
      </fill>
    </dxf>
  </rfmt>
  <rfmt sheetId="1" sqref="J397:J398">
    <dxf>
      <fill>
        <patternFill patternType="solid">
          <bgColor rgb="FF00B0F0"/>
        </patternFill>
      </fill>
    </dxf>
  </rfmt>
  <rcc rId="10599" sId="1">
    <oc r="K428">
      <v>0</v>
    </oc>
    <nc r="K428">
      <v>50</v>
    </nc>
  </rcc>
  <rfmt sheetId="1" sqref="K428">
    <dxf>
      <fill>
        <patternFill>
          <bgColor rgb="FF00B0F0"/>
        </patternFill>
      </fill>
    </dxf>
  </rfmt>
  <rfmt sheetId="1" sqref="J429:J431">
    <dxf>
      <fill>
        <patternFill patternType="solid">
          <bgColor rgb="FF00B0F0"/>
        </patternFill>
      </fill>
    </dxf>
  </rfmt>
  <rfmt sheetId="1" sqref="K355">
    <dxf>
      <fill>
        <patternFill patternType="solid">
          <bgColor rgb="FF00B0F0"/>
        </patternFill>
      </fill>
    </dxf>
  </rfmt>
  <rcc rId="10600" sId="1">
    <nc r="G431" t="inlineStr">
      <is>
        <r>
          <t xml:space="preserve">QC ECO ,HA S3, NS, GS SPECTRUM BOX-10 </t>
        </r>
        <r>
          <rPr>
            <b/>
            <sz val="11"/>
            <color rgb="FFFF0000"/>
            <rFont val="Aptos Narrow"/>
            <family val="2"/>
          </rPr>
          <t xml:space="preserve">MIPI Cameras </t>
        </r>
        <r>
          <rPr>
            <b/>
            <sz val="11"/>
            <color theme="8"/>
            <rFont val="Aptos Narrow"/>
            <family val="2"/>
          </rPr>
          <t>(in Purple bags)</t>
        </r>
      </is>
    </nc>
  </rcc>
  <rfmt sheetId="1" sqref="E433:G433">
    <dxf>
      <fill>
        <patternFill patternType="none">
          <bgColor auto="1"/>
        </patternFill>
      </fill>
    </dxf>
  </rfmt>
  <rfmt sheetId="1" sqref="E431:J431">
    <dxf>
      <fill>
        <patternFill>
          <bgColor theme="5" tint="0.39997558519241921"/>
        </patternFill>
      </fill>
    </dxf>
  </rfmt>
  <rcc rId="10601" sId="1">
    <oc r="G433" t="inlineStr">
      <is>
        <r>
          <t xml:space="preserve">Spectrum QC HA S4 - </t>
        </r>
        <r>
          <rPr>
            <b/>
            <sz val="11"/>
            <color rgb="FFFF0000"/>
            <rFont val="Aptos Narrow"/>
            <family val="2"/>
          </rPr>
          <t>MIPI Cameras</t>
        </r>
        <r>
          <rPr>
            <b/>
            <sz val="11"/>
            <color theme="8"/>
            <rFont val="Aptos Narrow"/>
            <family val="2"/>
          </rPr>
          <t xml:space="preserve"> (in Purple bags)</t>
        </r>
      </is>
    </oc>
    <nc r="G433" t="inlineStr">
      <is>
        <t xml:space="preserve">Spectrum QC HA S4 </t>
      </is>
    </nc>
  </rcc>
  <rrc rId="10602" sId="1" ref="A432:XFD432" action="deleteRow">
    <rfmt sheetId="1" xfDxf="1" sqref="A432:XFD432" start="0" length="0">
      <dxf>
        <fill>
          <patternFill patternType="solid">
            <bgColor theme="0" tint="-4.9989318521683403E-2"/>
          </patternFill>
        </fill>
      </dxf>
    </rfmt>
    <rfmt sheetId="1" sqref="L432" start="0" length="0">
      <dxf>
        <numFmt numFmtId="164" formatCode="mm\-dd\-yyyy"/>
      </dxf>
    </rfmt>
    <rfmt sheetId="1" sqref="M432" start="0" length="0">
      <dxf>
        <numFmt numFmtId="164" formatCode="mm\-dd\-yyyy"/>
      </dxf>
    </rfmt>
  </rrc>
  <rrc rId="10603" sId="1" ref="A430:XFD430" action="insertRow"/>
  <rfmt sheetId="1" sqref="A430:XFD430">
    <dxf>
      <fill>
        <patternFill>
          <bgColor theme="0" tint="-4.9989318521683403E-2"/>
        </patternFill>
      </fill>
    </dxf>
  </rfmt>
  <rrc rId="10604" sId="1" ref="A434:XFD434" action="deleteRow">
    <rfmt sheetId="1" xfDxf="1" sqref="A434:XFD434" start="0" length="0"/>
    <rcc rId="0" sId="1">
      <nc r="A434" t="inlineStr">
        <is>
          <t>Zone 3</t>
        </is>
      </nc>
    </rcc>
    <rcc rId="0" sId="1">
      <nc r="B434" t="inlineStr">
        <is>
          <t>Lopro QC S4</t>
        </is>
      </nc>
    </rcc>
    <rcc rId="0" sId="1">
      <nc r="C434">
        <v>5.5</v>
      </nc>
    </rcc>
    <rcc rId="0" sId="1">
      <nc r="D434" t="inlineStr">
        <is>
          <t>24-015</t>
        </is>
      </nc>
    </rcc>
    <rcc rId="0" sId="1">
      <nc r="E434" t="inlineStr">
        <is>
          <t>W1027555/1</t>
        </is>
      </nc>
    </rcc>
    <rcc rId="0" sId="1">
      <nc r="F434" t="inlineStr">
        <is>
          <t>VER1/0270-1084</t>
        </is>
      </nc>
    </rcc>
    <rcc rId="0" sId="1">
      <nc r="G434" t="inlineStr">
        <is>
          <t>Spectrum QC HA S4</t>
        </is>
      </nc>
    </rcc>
    <rcc rId="0" sId="1">
      <nc r="H434">
        <v>149.98500000000001</v>
      </nc>
    </rcc>
    <rcc rId="0" sId="1">
      <nc r="I434">
        <v>27.27</v>
      </nc>
    </rcc>
    <rcc rId="0" sId="1">
      <nc r="J434">
        <v>600</v>
      </nc>
    </rcc>
    <rcc rId="0" sId="1">
      <nc r="K434">
        <v>0</v>
      </nc>
    </rcc>
    <rcc rId="0" sId="1" dxf="1" numFmtId="19">
      <nc r="L434">
        <v>46217.951388888891</v>
      </nc>
      <ndxf>
        <numFmt numFmtId="164" formatCode="mm\-dd\-yyyy"/>
      </ndxf>
    </rcc>
    <rcc rId="0" sId="1" dxf="1" numFmtId="19">
      <nc r="M434">
        <v>46219.104166666664</v>
      </nc>
      <ndxf>
        <numFmt numFmtId="164" formatCode="mm\-dd\-yyyy"/>
      </ndxf>
    </rcc>
    <rcc rId="0" sId="1">
      <nc r="AA434" t="inlineStr">
        <is>
          <t>1</t>
        </is>
      </nc>
    </rcc>
    <rcc rId="0" sId="1">
      <nc r="AB434" t="inlineStr">
        <is>
          <t>0</t>
        </is>
      </nc>
    </rcc>
  </rrc>
  <rcc rId="10605" sId="1">
    <oc r="J436">
      <v>600</v>
    </oc>
    <nc r="J436">
      <v>300</v>
    </nc>
  </rcc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606" sId="1" ref="A290:XFD290" action="insertRow"/>
  <rm rId="10607" sheetId="1" source="A293:XFD293" destination="A290:XFD290" sourceSheetId="1">
    <rfmt sheetId="1" xfDxf="1" sqref="A290:XFD290" start="0" length="0"/>
    <rfmt sheetId="1" sqref="L290" start="0" length="0">
      <dxf>
        <numFmt numFmtId="164" formatCode="mm\-dd\-yyyy"/>
      </dxf>
    </rfmt>
    <rfmt sheetId="1" sqref="M290" start="0" length="0">
      <dxf>
        <numFmt numFmtId="164" formatCode="mm\-dd\-yyyy"/>
      </dxf>
    </rfmt>
  </rm>
  <rrc rId="10608" sId="1" ref="A293:XFD293" action="deleteRow">
    <rfmt sheetId="1" xfDxf="1" sqref="A293:XFD293" start="0" length="0"/>
    <rfmt sheetId="1" sqref="L293" start="0" length="0">
      <dxf>
        <numFmt numFmtId="164" formatCode="mm\-dd\-yyyy"/>
      </dxf>
    </rfmt>
    <rfmt sheetId="1" sqref="M293" start="0" length="0">
      <dxf>
        <numFmt numFmtId="164" formatCode="mm\-dd\-yyyy"/>
      </dxf>
    </rfmt>
  </rrc>
  <rcv guid="{5E43336C-C4AC-4860-9F15-9A8E94A38B84}" action="delete"/>
  <rcv guid="{5E43336C-C4AC-4860-9F15-9A8E94A38B84}" action="add"/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09" sId="1">
    <oc r="K585">
      <v>0</v>
    </oc>
    <nc r="K585">
      <v>60</v>
    </nc>
  </rcc>
  <rfmt sheetId="1" sqref="A585:XFD585">
    <dxf>
      <fill>
        <patternFill patternType="solid">
          <bgColor rgb="FF92D050"/>
        </patternFill>
      </fill>
    </dxf>
  </rfmt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228:XFD228">
    <dxf>
      <fill>
        <patternFill>
          <bgColor rgb="FF92D050"/>
        </patternFill>
      </fill>
    </dxf>
  </rfmt>
  <rcc rId="10610" sId="1">
    <oc r="K228">
      <v>0</v>
    </oc>
    <nc r="K228">
      <v>5116</v>
    </nc>
  </rcc>
  <rfmt sheetId="1" sqref="A229:XFD229">
    <dxf>
      <fill>
        <patternFill>
          <bgColor rgb="FFFFFF00"/>
        </patternFill>
      </fill>
    </dxf>
  </rfmt>
  <rcc rId="10611" sId="1">
    <oc r="K218">
      <v>2000</v>
    </oc>
    <nc r="K218">
      <v>6500</v>
    </nc>
  </rcc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382:J382">
    <dxf>
      <fill>
        <patternFill>
          <bgColor theme="0"/>
        </patternFill>
      </fill>
    </dxf>
  </rfmt>
  <rfmt sheetId="1" sqref="E382:J382">
    <dxf>
      <fill>
        <patternFill patternType="none">
          <bgColor auto="1"/>
        </patternFill>
      </fill>
    </dxf>
  </rfmt>
  <rcc rId="10612" sId="1">
    <oc r="G382" t="inlineStr">
      <is>
        <r>
          <t xml:space="preserve">QC ECO ,HA S2, NS, GS SPECTRUM BOX-10 - </t>
        </r>
        <r>
          <rPr>
            <b/>
            <sz val="11"/>
            <color rgb="FFFF0000"/>
            <rFont val="Aptos Narrow"/>
            <family val="2"/>
          </rPr>
          <t>MIPI Cameras</t>
        </r>
        <r>
          <rPr>
            <sz val="11"/>
            <color theme="1"/>
            <rFont val="Aptos Narrow"/>
            <family val="2"/>
          </rPr>
          <t xml:space="preserve"> </t>
        </r>
        <r>
          <rPr>
            <b/>
            <sz val="11"/>
            <color theme="8"/>
            <rFont val="Aptos Narrow"/>
            <family val="2"/>
          </rPr>
          <t>(in Purple bags)</t>
        </r>
      </is>
    </oc>
    <nc r="G382" t="inlineStr">
      <is>
        <t xml:space="preserve">QC ECO ,HA S2, NS, GS SPECTRUM BOX-10 - </t>
      </is>
    </nc>
  </rcc>
  <rcc rId="10613" sId="1">
    <oc r="G381" t="inlineStr">
      <is>
        <t>QC ECO ,HA S2, NS, GS SPECTRUM</t>
      </is>
    </oc>
    <nc r="G381" t="inlineStr">
      <is>
        <r>
          <t xml:space="preserve">QC ECO ,HA S2, NS, GS SPECTRUM </t>
        </r>
        <r>
          <rPr>
            <b/>
            <sz val="11"/>
            <color rgb="FFFF0000"/>
            <rFont val="Aptos Narrow"/>
            <family val="2"/>
          </rPr>
          <t>MIPI Cameras</t>
        </r>
        <r>
          <rPr>
            <b/>
            <sz val="11"/>
            <color theme="8"/>
            <rFont val="Aptos Narrow"/>
            <family val="2"/>
          </rPr>
          <t xml:space="preserve"> (in Purple bags)</t>
        </r>
      </is>
    </nc>
  </rcc>
  <rfmt sheetId="1" sqref="E381:J381">
    <dxf>
      <fill>
        <patternFill patternType="solid">
          <bgColor theme="5" tint="0.39997558519241921"/>
        </patternFill>
      </fill>
    </dxf>
  </rfmt>
  <rcc rId="10614" sId="1">
    <oc r="E432" t="inlineStr">
      <is>
        <t>W1030434/1</t>
      </is>
    </oc>
    <nc r="E432" t="inlineStr">
      <is>
        <t>W1030433/1</t>
      </is>
    </nc>
  </rcc>
  <rcc rId="10615" sId="1">
    <oc r="E431" t="inlineStr">
      <is>
        <t>W1030433/1</t>
      </is>
    </oc>
    <nc r="E431" t="inlineStr">
      <is>
        <t>W1030434/1</t>
      </is>
    </nc>
  </rcc>
  <rcc rId="10616" sId="1">
    <oc r="J432">
      <v>300</v>
    </oc>
    <nc r="J432">
      <v>600</v>
    </nc>
  </rcc>
  <rcc rId="10617" sId="1">
    <oc r="J431">
      <v>600</v>
    </oc>
    <nc r="J431">
      <v>300</v>
    </nc>
  </rcc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618" sId="1" ref="A249:XFD249" action="insertRow"/>
  <rfmt sheetId="1" sqref="A249:XFD249">
    <dxf>
      <fill>
        <patternFill patternType="none">
          <bgColor auto="1"/>
        </patternFill>
      </fill>
    </dxf>
  </rfmt>
  <rcc rId="10619" sId="1">
    <nc r="E249" t="inlineStr">
      <is>
        <t>W1030156/1</t>
      </is>
    </nc>
  </rcc>
  <rfmt sheetId="1" sqref="E249">
    <dxf>
      <border diagonalUp="0" diagonalDown="0" outline="0">
        <left/>
        <right/>
        <top/>
        <bottom/>
      </border>
    </dxf>
  </rfmt>
  <rcc rId="10620" sId="1" xfDxf="1" dxf="1">
    <nc r="F249" t="inlineStr">
      <is>
        <t>FLX1/10100</t>
      </is>
    </nc>
  </rcc>
  <rcc rId="10621" sId="1" xfDxf="1" dxf="1">
    <nc r="G249" t="inlineStr">
      <is>
        <t>Flex Cup Size 1 Canadian</t>
      </is>
    </nc>
  </rcc>
  <rcc rId="10622" sId="1">
    <nc r="J249">
      <v>62</v>
    </nc>
  </rcc>
  <rfmt sheetId="1" sqref="J249">
    <dxf>
      <border diagonalUp="0" diagonalDown="0" outline="0">
        <left/>
        <right/>
        <top/>
        <bottom/>
      </border>
    </dxf>
  </rfmt>
  <rcc rId="10623" sId="1">
    <nc r="K249">
      <v>0</v>
    </nc>
  </rcc>
  <rfmt sheetId="1" sqref="K249">
    <dxf>
      <border diagonalUp="0" diagonalDown="0" outline="0">
        <left/>
        <right/>
        <top/>
        <bottom/>
      </border>
    </dxf>
  </rfmt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624" sId="1" ref="A689:XFD689" action="insertRow"/>
  <rcc rId="10625" sId="1">
    <nc r="A689" t="inlineStr">
      <is>
        <t>Zone 4</t>
      </is>
    </nc>
  </rcc>
  <rcc rId="10626" sId="1">
    <nc r="B689">
      <v>22</v>
    </nc>
  </rcc>
  <rcc rId="10627" sId="1">
    <nc r="C689">
      <v>1</v>
    </nc>
  </rcc>
  <rcc rId="10628" sId="1">
    <nc r="D689" t="inlineStr">
      <is>
        <t>24-007</t>
      </is>
    </nc>
  </rcc>
  <rcc rId="10629" sId="1">
    <nc r="F689" t="inlineStr">
      <is>
        <t>VER1/0122-1170</t>
      </is>
    </nc>
  </rcc>
  <rcc rId="10630" sId="1">
    <nc r="G689" t="inlineStr">
      <is>
        <t>Upper Shuttle, Zeus Baton Large</t>
      </is>
    </nc>
  </rcc>
  <rcc rId="10631" sId="1">
    <nc r="H689">
      <v>5.81</v>
    </nc>
  </rcc>
  <rcc rId="10632" sId="1">
    <nc r="I689">
      <v>5.81</v>
    </nc>
  </rcc>
  <rcc rId="10633" sId="1">
    <nc r="J689">
      <v>900</v>
    </nc>
  </rcc>
  <rcc rId="10634" sId="1">
    <nc r="K689">
      <v>0</v>
    </nc>
  </rcc>
  <rcc rId="10635" sId="1" numFmtId="19">
    <nc r="L689">
      <v>46208.958333333336</v>
    </nc>
  </rcc>
  <rcc rId="10636" sId="1" numFmtId="19">
    <nc r="M689">
      <v>46209.229166666664</v>
    </nc>
  </rcc>
  <rcc rId="10637" sId="1">
    <nc r="O689" t="inlineStr">
      <is>
        <t>P</t>
      </is>
    </nc>
  </rcc>
  <rcc rId="10638" sId="1">
    <nc r="AA689" t="inlineStr">
      <is>
        <t>1</t>
      </is>
    </nc>
  </rcc>
  <rcc rId="10639" sId="1">
    <nc r="AB689" t="inlineStr">
      <is>
        <t>0</t>
      </is>
    </nc>
  </rcc>
  <rcc rId="10640" sId="1">
    <nc r="E689" t="inlineStr">
      <is>
        <t>W1030439/1</t>
      </is>
    </nc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41" sId="1">
    <oc r="J715">
      <v>1000</v>
    </oc>
    <nc r="J715">
      <v>500</v>
    </nc>
  </rcc>
  <rrc rId="10642" sId="1" ref="A716:XFD716" action="insertRow"/>
  <rcc rId="10643" sId="1">
    <nc r="E716" t="inlineStr">
      <is>
        <t>W1030441/1</t>
      </is>
    </nc>
  </rcc>
  <rcc rId="10644" sId="1">
    <nc r="F716" t="inlineStr">
      <is>
        <t>VER1/0120-1103</t>
      </is>
    </nc>
  </rcc>
  <rcc rId="10645" sId="1">
    <nc r="G716" t="inlineStr">
      <is>
        <t>Baton Cone</t>
      </is>
    </nc>
  </rcc>
  <rcc rId="10646" sId="1">
    <nc r="H716">
      <v>0</v>
    </nc>
  </rcc>
  <rcc rId="10647" sId="1">
    <nc r="I716">
      <v>21.74</v>
    </nc>
  </rcc>
  <rcc rId="10648" sId="1">
    <nc r="J716">
      <v>500</v>
    </nc>
  </rcc>
  <rcc rId="10649" sId="1">
    <nc r="K716">
      <v>0</v>
    </nc>
  </rcc>
  <rcc rId="10650" sId="1">
    <oc r="E715" t="inlineStr">
      <is>
        <t>W1030129-1/1</t>
      </is>
    </oc>
    <nc r="E715" t="inlineStr">
      <is>
        <t>W1030129/1</t>
      </is>
    </nc>
  </rcc>
</revisions>
</file>

<file path=xl/revisions/revisionLog1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651" sId="1">
    <oc r="O689" t="inlineStr">
      <is>
        <t>P</t>
      </is>
    </oc>
    <nc r="O689"/>
  </rcc>
</revisions>
</file>

<file path=xl/revisions/revisionLog1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652" sId="1" ref="A627:XFD627" action="insertRow"/>
  <rm rId="10653" sheetId="1" source="A629:XFD629" destination="A627:XFD627" sourceSheetId="1">
    <rfmt sheetId="1" xfDxf="1" sqref="A627:XFD627" start="0" length="0">
      <dxf>
        <fill>
          <patternFill patternType="solid">
            <bgColor theme="8" tint="0.39997558519241921"/>
          </patternFill>
        </fill>
      </dxf>
    </rfmt>
    <rfmt sheetId="1" sqref="B627" start="0" length="0">
      <dxf>
        <alignment horizontal="right" vertical="top"/>
      </dxf>
    </rfmt>
    <rfmt sheetId="1" sqref="L627" start="0" length="0">
      <dxf>
        <numFmt numFmtId="164" formatCode="mm\-dd\-yyyy"/>
      </dxf>
    </rfmt>
    <rfmt sheetId="1" sqref="M627" start="0" length="0">
      <dxf>
        <numFmt numFmtId="164" formatCode="mm\-dd\-yyyy"/>
      </dxf>
    </rfmt>
  </rm>
  <rrc rId="10654" sId="1" ref="A629:XFD629" action="deleteRow">
    <rfmt sheetId="1" xfDxf="1" sqref="A629:XFD629" start="0" length="0"/>
    <rfmt sheetId="1" sqref="L629" start="0" length="0">
      <dxf>
        <numFmt numFmtId="164" formatCode="mm\-dd\-yyyy"/>
      </dxf>
    </rfmt>
    <rfmt sheetId="1" sqref="M629" start="0" length="0">
      <dxf>
        <numFmt numFmtId="164" formatCode="mm\-dd\-yyyy"/>
      </dxf>
    </rfmt>
  </rrc>
  <rrc rId="10655" sId="1" ref="A110:XFD110" action="insertRow"/>
  <rcc rId="10656" sId="1">
    <nc r="A110" t="inlineStr">
      <is>
        <t>Zone 1</t>
      </is>
    </nc>
  </rcc>
  <rcc rId="10657" sId="1">
    <nc r="B110" t="inlineStr">
      <is>
        <t>CANICA</t>
      </is>
    </nc>
  </rcc>
  <rcc rId="10658" sId="1">
    <nc r="C110">
      <v>1</v>
    </nc>
  </rcc>
  <rcc rId="10659" sId="1">
    <nc r="F110" t="inlineStr">
      <is>
        <t>SMI1/DCNE-01</t>
      </is>
    </nc>
  </rcc>
  <rcc rId="10660" sId="1">
    <nc r="G110" t="inlineStr">
      <is>
        <t>Dynacleft Nasal Elevator- 7/PKG</t>
      </is>
    </nc>
  </rcc>
  <rcc rId="10661" sId="1">
    <nc r="H110">
      <v>2.5</v>
    </nc>
  </rcc>
  <rcc rId="10662" sId="1">
    <nc r="I110">
      <v>2.5</v>
    </nc>
  </rcc>
  <rcc rId="10663" sId="1">
    <nc r="K110">
      <v>0</v>
    </nc>
  </rcc>
  <rcc rId="10664" sId="1" numFmtId="19">
    <nc r="L110">
      <v>46210.354166666664</v>
    </nc>
  </rcc>
  <rcc rId="10665" sId="1" numFmtId="19">
    <nc r="M110">
      <v>46210.472222222219</v>
    </nc>
  </rcc>
  <rcc rId="10666" sId="1">
    <nc r="AA110" t="inlineStr">
      <is>
        <t>1</t>
      </is>
    </nc>
  </rcc>
  <rcc rId="10667" sId="1">
    <nc r="AB110" t="inlineStr">
      <is>
        <t>0</t>
      </is>
    </nc>
  </rcc>
  <rcc rId="10668" sId="1">
    <nc r="E110" t="inlineStr">
      <is>
        <t>W1030318/1</t>
      </is>
    </nc>
  </rcc>
  <rcc rId="10669" sId="1">
    <nc r="J110">
      <v>300</v>
    </nc>
  </rcc>
  <rrc rId="10670" sId="1" ref="A628:XFD628" action="insertRow"/>
  <rm rId="10671" sheetId="1" source="A630:XFD630" destination="A628:XFD628" sourceSheetId="1">
    <rfmt sheetId="1" xfDxf="1" sqref="A628:XFD628" start="0" length="0">
      <dxf>
        <fill>
          <patternFill patternType="solid">
            <bgColor theme="8" tint="0.39997558519241921"/>
          </patternFill>
        </fill>
      </dxf>
    </rfmt>
    <rfmt sheetId="1" sqref="B628" start="0" length="0">
      <dxf>
        <alignment horizontal="right" vertical="top"/>
      </dxf>
    </rfmt>
    <rfmt sheetId="1" sqref="L628" start="0" length="0">
      <dxf>
        <numFmt numFmtId="164" formatCode="mm\-dd\-yyyy"/>
      </dxf>
    </rfmt>
    <rfmt sheetId="1" sqref="M628" start="0" length="0">
      <dxf>
        <numFmt numFmtId="164" formatCode="mm\-dd\-yyyy"/>
      </dxf>
    </rfmt>
  </rm>
  <rrc rId="10672" sId="1" ref="A630:XFD630" action="deleteRow">
    <rfmt sheetId="1" xfDxf="1" sqref="A630:XFD630" start="0" length="0"/>
    <rfmt sheetId="1" sqref="L630" start="0" length="0">
      <dxf>
        <numFmt numFmtId="164" formatCode="mm\-dd\-yyyy"/>
      </dxf>
    </rfmt>
    <rfmt sheetId="1" sqref="M630" start="0" length="0">
      <dxf>
        <numFmt numFmtId="164" formatCode="mm\-dd\-yyyy"/>
      </dxf>
    </rfmt>
  </rrc>
  <rrc rId="10673" sId="1" ref="A630:XFD630" action="insertRow"/>
  <rcc rId="10674" sId="1">
    <nc r="A630" t="inlineStr">
      <is>
        <t>Zone 4</t>
      </is>
    </nc>
  </rcc>
  <rcc rId="10675" sId="1">
    <nc r="B630" t="inlineStr">
      <is>
        <t>4A</t>
      </is>
    </nc>
  </rcc>
  <rcc rId="10676" sId="1">
    <nc r="C630">
      <v>0.33</v>
    </nc>
  </rcc>
  <rcc rId="10677" sId="1">
    <nc r="D630" t="inlineStr">
      <is>
        <t>24-011</t>
      </is>
    </nc>
  </rcc>
  <rcc rId="10678" sId="1">
    <nc r="F630" t="inlineStr">
      <is>
        <t>VER3/0122-1307</t>
      </is>
    </nc>
  </rcc>
  <rcc rId="10679" sId="1">
    <nc r="G630" t="inlineStr">
      <is>
        <t>Body, Stopcock</t>
      </is>
    </nc>
  </rcc>
  <rcc rId="10680" sId="1">
    <nc r="H630">
      <v>3.4815</v>
    </nc>
  </rcc>
  <rcc rId="10681" sId="1">
    <nc r="I630">
      <v>10.55</v>
    </nc>
  </rcc>
  <rcc rId="10682" sId="1">
    <nc r="K630">
      <v>0</v>
    </nc>
  </rcc>
  <rcc rId="10683" sId="1" numFmtId="19">
    <nc r="L630">
      <v>46211.659722222219</v>
    </nc>
  </rcc>
  <rcc rId="10684" sId="1" numFmtId="19">
    <nc r="M630">
      <v>46212.097222222219</v>
    </nc>
  </rcc>
  <rcc rId="10685" sId="1">
    <nc r="AA630" t="inlineStr">
      <is>
        <t>1</t>
      </is>
    </nc>
  </rcc>
  <rcc rId="10686" sId="1">
    <nc r="AB630" t="inlineStr">
      <is>
        <t>0</t>
      </is>
    </nc>
  </rcc>
  <rcc rId="10687" sId="1">
    <nc r="E630" t="inlineStr">
      <is>
        <t>W1030430/1</t>
      </is>
    </nc>
  </rcc>
  <rcc rId="10688" sId="1">
    <nc r="J630">
      <v>2000</v>
    </nc>
  </rcc>
  <rrc rId="10689" sId="1" ref="A717:XFD717" action="insertRow"/>
  <rm rId="10690" sheetId="1" source="A720:XFD720" destination="A717:XFD717" sourceSheetId="1">
    <rfmt sheetId="1" xfDxf="1" sqref="A717:XFD717" start="0" length="0">
      <dxf>
        <fill>
          <patternFill patternType="solid">
            <bgColor theme="8" tint="0.39997558519241921"/>
          </patternFill>
        </fill>
      </dxf>
    </rfmt>
    <rfmt sheetId="1" sqref="L717" start="0" length="0">
      <dxf>
        <numFmt numFmtId="164" formatCode="mm\-dd\-yyyy"/>
      </dxf>
    </rfmt>
    <rfmt sheetId="1" sqref="M717" start="0" length="0">
      <dxf>
        <numFmt numFmtId="164" formatCode="mm\-dd\-yyyy"/>
      </dxf>
    </rfmt>
  </rm>
  <rrc rId="10691" sId="1" ref="A720:XFD720" action="deleteRow">
    <rfmt sheetId="1" xfDxf="1" sqref="A720:XFD720" start="0" length="0"/>
    <rfmt sheetId="1" sqref="L720" start="0" length="0">
      <dxf>
        <numFmt numFmtId="164" formatCode="mm\-dd\-yyyy"/>
      </dxf>
    </rfmt>
    <rfmt sheetId="1" sqref="M720" start="0" length="0">
      <dxf>
        <numFmt numFmtId="164" formatCode="mm\-dd\-yyyy"/>
      </dxf>
    </rfmt>
  </rrc>
  <rrc rId="10692" sId="1" ref="A740:XFD740" action="insertRow"/>
  <rm rId="10693" sheetId="1" source="A715:XFD715" destination="A740:XFD740" sourceSheetId="1">
    <rfmt sheetId="1" xfDxf="1" sqref="A740:XFD740" start="0" length="0">
      <dxf/>
    </rfmt>
    <rfmt sheetId="1" sqref="L740" start="0" length="0">
      <dxf>
        <numFmt numFmtId="164" formatCode="mm\-dd\-yyyy"/>
      </dxf>
    </rfmt>
    <rfmt sheetId="1" sqref="M740" start="0" length="0">
      <dxf>
        <numFmt numFmtId="164" formatCode="mm\-dd\-yyyy"/>
      </dxf>
    </rfmt>
  </rm>
  <rcc rId="10694" sId="1">
    <oc r="B740">
      <v>32</v>
    </oc>
    <nc r="B740">
      <v>41</v>
    </nc>
  </rcc>
  <rrc rId="10695" sId="1" ref="A773:XFD773" action="insertRow"/>
  <rfmt sheetId="1" sqref="A773:XFD773">
    <dxf>
      <fill>
        <patternFill>
          <bgColor rgb="FF00B0F0"/>
        </patternFill>
      </fill>
    </dxf>
  </rfmt>
  <rfmt sheetId="1" sqref="E773" start="0" length="0">
    <dxf>
      <fill>
        <patternFill patternType="none">
          <bgColor indexed="65"/>
        </patternFill>
      </fill>
    </dxf>
  </rfmt>
  <rfmt sheetId="1" xfDxf="1" sqref="E773" start="0" length="0">
    <dxf>
      <font>
        <name val="Aptos"/>
        <scheme val="none"/>
      </font>
      <alignment vertical="center"/>
    </dxf>
  </rfmt>
  <rfmt sheetId="1" sqref="A773" start="0" length="0">
    <dxf>
      <fill>
        <patternFill>
          <bgColor theme="8" tint="0.39997558519241921"/>
        </patternFill>
      </fill>
    </dxf>
  </rfmt>
  <rfmt sheetId="1" sqref="B773" start="0" length="0">
    <dxf>
      <fill>
        <patternFill>
          <bgColor theme="8" tint="0.39997558519241921"/>
        </patternFill>
      </fill>
    </dxf>
  </rfmt>
  <rfmt sheetId="1" sqref="C773" start="0" length="0">
    <dxf>
      <fill>
        <patternFill>
          <bgColor theme="8" tint="0.39997558519241921"/>
        </patternFill>
      </fill>
    </dxf>
  </rfmt>
  <rfmt sheetId="1" sqref="D773" start="0" length="0">
    <dxf>
      <fill>
        <patternFill>
          <bgColor theme="8" tint="0.39997558519241921"/>
        </patternFill>
      </fill>
    </dxf>
  </rfmt>
  <rfmt sheetId="1" sqref="F773" start="0" length="0">
    <dxf>
      <fill>
        <patternFill>
          <bgColor theme="8" tint="0.39997558519241921"/>
        </patternFill>
      </fill>
    </dxf>
  </rfmt>
  <rfmt sheetId="1" sqref="G773" start="0" length="0">
    <dxf>
      <fill>
        <patternFill>
          <bgColor theme="8" tint="0.39997558519241921"/>
        </patternFill>
      </fill>
    </dxf>
  </rfmt>
  <rcc rId="10696" sId="1" odxf="1" dxf="1">
    <nc r="A773" t="inlineStr">
      <is>
        <t>Zone 4</t>
      </is>
    </nc>
    <ndxf>
      <fill>
        <patternFill>
          <bgColor rgb="FF00B0F0"/>
        </patternFill>
      </fill>
    </ndxf>
  </rcc>
  <rcc rId="10697" sId="1" odxf="1" dxf="1">
    <nc r="B773">
      <v>47</v>
    </nc>
    <ndxf>
      <fill>
        <patternFill>
          <bgColor rgb="FF00B0F0"/>
        </patternFill>
      </fill>
    </ndxf>
  </rcc>
  <rcc rId="10698" sId="1" odxf="1" dxf="1">
    <nc r="C773">
      <v>0.33</v>
    </nc>
    <ndxf>
      <fill>
        <patternFill>
          <bgColor rgb="FF00B0F0"/>
        </patternFill>
      </fill>
    </ndxf>
  </rcc>
  <rcc rId="10699" sId="1" odxf="1" dxf="1">
    <nc r="D773" t="inlineStr">
      <is>
        <t>08-017</t>
      </is>
    </nc>
    <ndxf>
      <fill>
        <patternFill>
          <bgColor rgb="FF00B0F0"/>
        </patternFill>
      </fill>
    </ndxf>
  </rcc>
  <rcc rId="10700" sId="1" odxf="1" dxf="1">
    <nc r="E773" t="inlineStr">
      <is>
        <t>W1030431/SAM</t>
      </is>
    </nc>
    <ndxf>
      <font>
        <sz val="11"/>
        <color theme="1"/>
        <name val="Aptos Narrow"/>
        <family val="2"/>
        <scheme val="minor"/>
      </font>
      <fill>
        <patternFill patternType="solid">
          <bgColor rgb="FF00B0F0"/>
        </patternFill>
      </fill>
      <alignment vertical="bottom"/>
    </ndxf>
  </rcc>
  <rcc rId="10701" sId="1" odxf="1" dxf="1">
    <nc r="F773" t="inlineStr">
      <is>
        <t>SMI3/73-0610-0021</t>
      </is>
    </nc>
    <ndxf>
      <fill>
        <patternFill>
          <bgColor rgb="FF00B0F0"/>
        </patternFill>
      </fill>
    </ndxf>
  </rcc>
  <rfmt sheetId="1" sqref="G773" start="0" length="0">
    <dxf>
      <fill>
        <patternFill>
          <bgColor rgb="FF00B0F0"/>
        </patternFill>
      </fill>
    </dxf>
  </rfmt>
  <rcc rId="10702" sId="1">
    <nc r="J773">
      <v>100</v>
    </nc>
  </rcc>
  <rcc rId="10703" sId="1">
    <nc r="G773" t="inlineStr">
      <is>
        <t>HNDL PERS+ SAFETY SCALP (LNG TRAVEL) - HIGH DURA SAMPLE</t>
      </is>
    </nc>
  </rcc>
  <rrc rId="10704" sId="1" ref="A748:XFD748" action="insertRow"/>
  <rfmt sheetId="1" sqref="A747:XFD747" start="0" length="0">
    <dxf>
      <border>
        <bottom/>
      </border>
    </dxf>
  </rfmt>
  <rcc rId="10705" sId="1">
    <nc r="A748" t="inlineStr">
      <is>
        <t>Zone 4</t>
      </is>
    </nc>
  </rcc>
  <rcc rId="10706" sId="1">
    <nc r="B748">
      <v>42</v>
    </nc>
  </rcc>
  <rcc rId="10707" sId="1">
    <nc r="D748" t="inlineStr">
      <is>
        <t>24-018</t>
      </is>
    </nc>
  </rcc>
  <rcc rId="10708" sId="1">
    <nc r="E748" t="inlineStr">
      <is>
        <t>W1030436/SAM</t>
      </is>
    </nc>
  </rcc>
  <rfmt sheetId="1" sqref="F748" start="0" length="0">
    <dxf/>
  </rfmt>
  <rcc rId="10709" sId="1" xfDxf="1" dxf="1">
    <nc r="F748" t="inlineStr">
      <is>
        <t>VER1/0122-1320</t>
      </is>
    </nc>
    <ndxf>
      <font>
        <sz val="12"/>
        <color rgb="FF000000"/>
        <name val="Aptos"/>
        <scheme val="none"/>
      </font>
    </ndxf>
  </rcc>
  <rcc rId="10710" sId="1">
    <nc r="G748" t="inlineStr">
      <is>
        <t>Compression Coil Stop, Standard Direction Orion</t>
      </is>
    </nc>
  </rcc>
  <rfmt sheetId="1" sqref="G748">
    <dxf>
      <border diagonalUp="0" diagonalDown="0" outline="0">
        <left/>
        <right/>
        <top/>
        <bottom/>
      </border>
    </dxf>
  </rfmt>
  <rcc rId="10711" sId="1">
    <nc r="J748">
      <v>200</v>
    </nc>
  </rcc>
  <rfmt sheetId="1" sqref="A748:XFD748">
    <dxf>
      <fill>
        <patternFill patternType="solid">
          <bgColor rgb="FF00B0F0"/>
        </patternFill>
      </fill>
    </dxf>
  </rfmt>
</revisions>
</file>

<file path=xl/revisions/revisionLog1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712" sId="1" ref="A693:XFD693" action="deleteRow">
    <rfmt sheetId="1" xfDxf="1" sqref="A693:XFD693" start="0" length="0">
      <dxf>
        <border outline="0">
          <top style="thin">
            <color indexed="64"/>
          </top>
          <bottom style="thin">
            <color indexed="64"/>
          </bottom>
        </border>
      </dxf>
    </rfmt>
    <rcc rId="0" sId="1">
      <nc r="A693" t="inlineStr">
        <is>
          <t>Zone 4</t>
        </is>
      </nc>
    </rcc>
    <rcc rId="0" sId="1">
      <nc r="B693">
        <v>25</v>
      </nc>
    </rcc>
    <rcc rId="0" sId="1">
      <nc r="C693">
        <v>1</v>
      </nc>
    </rcc>
    <rcc rId="0" sId="1">
      <nc r="D693" t="inlineStr">
        <is>
          <t>23-043</t>
        </is>
      </nc>
    </rcc>
    <rcc rId="0" sId="1">
      <nc r="E693" t="inlineStr">
        <is>
          <t>W1030241/1</t>
        </is>
      </nc>
    </rcc>
    <rcc rId="0" sId="1">
      <nc r="F693" t="inlineStr">
        <is>
          <t>VER3/0122-1298</t>
        </is>
      </nc>
    </rcc>
    <rcc rId="0" sId="1">
      <nc r="G693" t="inlineStr">
        <is>
          <t>Mac S1 Left Shell</t>
        </is>
      </nc>
    </rcc>
    <rcc rId="0" sId="1">
      <nc r="H693">
        <v>15.87</v>
      </nc>
    </rcc>
    <rcc rId="0" sId="1">
      <nc r="I693">
        <v>15.87</v>
      </nc>
    </rcc>
    <rcc rId="0" sId="1">
      <nc r="J693">
        <v>2000</v>
      </nc>
    </rcc>
    <rcc rId="0" sId="1">
      <nc r="K693">
        <v>0</v>
      </nc>
    </rcc>
    <rcc rId="0" sId="1" dxf="1" numFmtId="19">
      <nc r="L693">
        <v>46209.416666666664</v>
      </nc>
      <ndxf>
        <numFmt numFmtId="164" formatCode="mm\-dd\-yyyy"/>
      </ndxf>
    </rcc>
    <rcc rId="0" sId="1" dxf="1" numFmtId="19">
      <nc r="M693">
        <v>46210.409722222219</v>
      </nc>
      <ndxf>
        <numFmt numFmtId="164" formatCode="mm\-dd\-yyyy"/>
      </ndxf>
    </rcc>
    <rcc rId="0" sId="1">
      <nc r="AA693" t="inlineStr">
        <is>
          <t>1</t>
        </is>
      </nc>
    </rcc>
    <rcc rId="0" sId="1">
      <nc r="AB693" t="inlineStr">
        <is>
          <t>0</t>
        </is>
      </nc>
    </rcc>
  </rrc>
  <rcv guid="{31B4C6D2-0335-443E-840F-0BE68859C862}" action="delete"/>
  <rcv guid="{31B4C6D2-0335-443E-840F-0BE68859C862}" action="add"/>
</revisions>
</file>

<file path=xl/revisions/revisionLog1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713" sId="1" ref="A655:XFD657" action="insertRow"/>
  <rm rId="10714" sheetId="1" source="A649:XFD651" destination="A655:XFD657" sourceSheetId="1">
    <rfmt sheetId="1" xfDxf="1" sqref="A655:XFD655" start="0" length="0">
      <dxf/>
    </rfmt>
    <rfmt sheetId="1" xfDxf="1" sqref="A656:XFD656" start="0" length="0">
      <dxf/>
    </rfmt>
    <rfmt sheetId="1" xfDxf="1" sqref="A657:XFD657" start="0" length="0">
      <dxf/>
    </rfmt>
    <rfmt sheetId="1" sqref="L655" start="0" length="0">
      <dxf>
        <numFmt numFmtId="164" formatCode="mm\-dd\-yyyy"/>
      </dxf>
    </rfmt>
    <rfmt sheetId="1" sqref="M655" start="0" length="0">
      <dxf>
        <numFmt numFmtId="164" formatCode="mm\-dd\-yyyy"/>
      </dxf>
    </rfmt>
    <rfmt sheetId="1" sqref="L656" start="0" length="0">
      <dxf>
        <numFmt numFmtId="164" formatCode="mm\-dd\-yyyy"/>
      </dxf>
    </rfmt>
    <rfmt sheetId="1" sqref="M656" start="0" length="0">
      <dxf>
        <numFmt numFmtId="164" formatCode="mm\-dd\-yyyy"/>
      </dxf>
    </rfmt>
    <rfmt sheetId="1" sqref="L657" start="0" length="0">
      <dxf>
        <numFmt numFmtId="164" formatCode="mm\-dd\-yyyy"/>
      </dxf>
    </rfmt>
    <rfmt sheetId="1" sqref="M657" start="0" length="0">
      <dxf>
        <numFmt numFmtId="164" formatCode="mm\-dd\-yyyy"/>
      </dxf>
    </rfmt>
  </rm>
  <rrc rId="10715" sId="1" ref="A649:XFD649" action="deleteRow">
    <rfmt sheetId="1" xfDxf="1" sqref="A649:XFD649" start="0" length="0"/>
    <rfmt sheetId="1" sqref="L649" start="0" length="0">
      <dxf>
        <numFmt numFmtId="164" formatCode="mm\-dd\-yyyy"/>
      </dxf>
    </rfmt>
    <rfmt sheetId="1" sqref="M649" start="0" length="0">
      <dxf>
        <numFmt numFmtId="164" formatCode="mm\-dd\-yyyy"/>
      </dxf>
    </rfmt>
  </rrc>
  <rrc rId="10716" sId="1" ref="A649:XFD649" action="deleteRow">
    <rfmt sheetId="1" xfDxf="1" sqref="A649:XFD649" start="0" length="0"/>
    <rfmt sheetId="1" sqref="L649" start="0" length="0">
      <dxf>
        <numFmt numFmtId="164" formatCode="mm\-dd\-yyyy"/>
      </dxf>
    </rfmt>
    <rfmt sheetId="1" sqref="M649" start="0" length="0">
      <dxf>
        <numFmt numFmtId="164" formatCode="mm\-dd\-yyyy"/>
      </dxf>
    </rfmt>
  </rrc>
  <rrc rId="10717" sId="1" ref="A649:XFD649" action="deleteRow">
    <rfmt sheetId="1" xfDxf="1" sqref="A649:XFD649" start="0" length="0"/>
    <rfmt sheetId="1" sqref="L649" start="0" length="0">
      <dxf>
        <numFmt numFmtId="164" formatCode="mm\-dd\-yyyy"/>
      </dxf>
    </rfmt>
    <rfmt sheetId="1" sqref="M649" start="0" length="0">
      <dxf>
        <numFmt numFmtId="164" formatCode="mm\-dd\-yyyy"/>
      </dxf>
    </rfmt>
  </rrc>
  <rfmt sheetId="1" sqref="A651:XFD651" start="0" length="0">
    <dxf>
      <border>
        <bottom/>
      </border>
    </dxf>
  </rfmt>
  <rfmt sheetId="1" sqref="A654:XFD654" start="0" length="0">
    <dxf>
      <border>
        <bottom/>
      </border>
    </dxf>
  </rfmt>
  <rfmt sheetId="1" sqref="A654:XFD654" start="0" length="0">
    <dxf>
      <border>
        <bottom style="thin">
          <color indexed="64"/>
        </bottom>
      </border>
    </dxf>
  </rfmt>
  <rcv guid="{A9066737-D214-4998-B3AE-C1B60D50E4FC}" action="delete"/>
  <rcv guid="{A9066737-D214-4998-B3AE-C1B60D50E4FC}" action="add"/>
</revisions>
</file>

<file path=xl/revisions/revisionLog1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18" sId="1">
    <nc r="O482" t="inlineStr">
      <is>
        <t>P</t>
      </is>
    </nc>
  </rcc>
  <rcc rId="10719" sId="1">
    <nc r="O534" t="inlineStr">
      <is>
        <t>P</t>
      </is>
    </nc>
  </rcc>
  <rcc rId="10720" sId="1">
    <nc r="O145" t="inlineStr">
      <is>
        <t>P</t>
      </is>
    </nc>
  </rcc>
  <rcc rId="10721" sId="1">
    <nc r="O146" t="inlineStr">
      <is>
        <t>P</t>
      </is>
    </nc>
  </rcc>
</revisions>
</file>

<file path=xl/revisions/revisionLog1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22" sId="1">
    <oc r="E656" t="inlineStr">
      <is>
        <t>W1030108-4/1</t>
      </is>
    </oc>
    <nc r="E656" t="inlineStr">
      <is>
        <t>W1030447/1</t>
      </is>
    </nc>
  </rcc>
  <rfmt sheetId="1" sqref="D656">
    <dxf>
      <fill>
        <patternFill patternType="solid">
          <fgColor indexed="64"/>
          <bgColor rgb="FF00B0F0"/>
        </patternFill>
      </fill>
      <border diagonalUp="0" diagonalDown="0" outline="0">
        <left/>
        <right/>
        <top/>
        <bottom/>
      </border>
    </dxf>
  </rfmt>
  <rfmt sheetId="1" sqref="D656">
    <dxf>
      <fill>
        <patternFill patternType="none">
          <bgColor auto="1"/>
        </patternFill>
      </fill>
    </dxf>
  </rfmt>
  <rrc rId="10723" sId="1" ref="A657:XFD660" action="insertRow"/>
  <rcc rId="10724" sId="1">
    <nc r="A657" t="inlineStr">
      <is>
        <t>Zone 4</t>
      </is>
    </nc>
  </rcc>
  <rfmt sheetId="1" sqref="A657">
    <dxf>
      <fill>
        <patternFill patternType="solid">
          <fgColor indexed="64"/>
          <bgColor rgb="FF00B0F0"/>
        </patternFill>
      </fill>
      <border diagonalUp="0" diagonalDown="0" outline="0">
        <left/>
        <right/>
        <top/>
        <bottom/>
      </border>
    </dxf>
  </rfmt>
  <rcc rId="10725" sId="1">
    <nc r="B657">
      <v>16</v>
    </nc>
  </rcc>
  <rfmt sheetId="1" sqref="B657">
    <dxf>
      <fill>
        <patternFill patternType="solid">
          <fgColor indexed="64"/>
          <bgColor rgb="FF00B0F0"/>
        </patternFill>
      </fill>
      <border diagonalUp="0" diagonalDown="0" outline="0">
        <left/>
        <right/>
        <top/>
        <bottom/>
      </border>
    </dxf>
  </rfmt>
  <rcc rId="10726" sId="1">
    <nc r="C657">
      <v>1</v>
    </nc>
  </rcc>
  <rfmt sheetId="1" sqref="C657">
    <dxf>
      <fill>
        <patternFill patternType="solid">
          <fgColor indexed="64"/>
          <bgColor rgb="FF00B0F0"/>
        </patternFill>
      </fill>
      <border diagonalUp="0" diagonalDown="0" outline="0">
        <left/>
        <right/>
        <top/>
        <bottom/>
      </border>
    </dxf>
  </rfmt>
  <rcc rId="10727" sId="1">
    <nc r="D657" t="inlineStr">
      <is>
        <t>11-002</t>
      </is>
    </nc>
  </rcc>
  <rfmt sheetId="1" sqref="D657">
    <dxf>
      <fill>
        <patternFill patternType="solid">
          <fgColor indexed="64"/>
          <bgColor rgb="FF00B0F0"/>
        </patternFill>
      </fill>
      <border diagonalUp="0" diagonalDown="0" outline="0">
        <left/>
        <right/>
        <top/>
        <bottom/>
      </border>
    </dxf>
  </rfmt>
  <rfmt sheetId="1" sqref="A657:XFD657">
    <dxf>
      <fill>
        <patternFill patternType="none">
          <bgColor auto="1"/>
        </patternFill>
      </fill>
    </dxf>
  </rfmt>
  <rcc rId="10728" sId="1">
    <nc r="E657" t="inlineStr">
      <is>
        <t>W1024401/1</t>
      </is>
    </nc>
  </rcc>
  <rcc rId="10729" sId="1">
    <nc r="F657" t="inlineStr">
      <is>
        <t>SMI3/000330-1-8</t>
      </is>
    </nc>
  </rcc>
  <rfmt sheetId="1" sqref="F657">
    <dxf>
      <fill>
        <patternFill patternType="solid">
          <fgColor indexed="64"/>
          <bgColor rgb="FF00B0F0"/>
        </patternFill>
      </fill>
      <border diagonalUp="0" diagonalDown="0" outline="0">
        <left/>
        <right/>
        <top/>
        <bottom/>
      </border>
    </dxf>
  </rfmt>
  <rcc rId="10730" sId="1">
    <nc r="G657" t="inlineStr">
      <is>
        <t>Oxygen Supply Tube</t>
      </is>
    </nc>
  </rcc>
  <rfmt sheetId="1" sqref="G657">
    <dxf>
      <fill>
        <patternFill patternType="solid">
          <fgColor indexed="64"/>
          <bgColor rgb="FF00B0F0"/>
        </patternFill>
      </fill>
      <border diagonalUp="0" diagonalDown="0" outline="0">
        <left/>
        <right/>
        <top/>
        <bottom/>
      </border>
    </dxf>
  </rfmt>
  <rcc rId="10731" sId="1">
    <nc r="J657">
      <v>75000</v>
    </nc>
  </rcc>
  <rfmt sheetId="1" sqref="J657">
    <dxf>
      <fill>
        <patternFill patternType="solid">
          <fgColor indexed="64"/>
          <bgColor rgb="FF00B0F0"/>
        </patternFill>
      </fill>
      <border diagonalUp="0" diagonalDown="0" outline="0">
        <left/>
        <right/>
        <top/>
        <bottom/>
      </border>
    </dxf>
  </rfmt>
  <rcc rId="10732" sId="1">
    <nc r="K657">
      <v>0</v>
    </nc>
  </rcc>
  <rfmt sheetId="1" sqref="K657">
    <dxf>
      <fill>
        <patternFill patternType="solid">
          <fgColor indexed="64"/>
          <bgColor rgb="FF00B0F0"/>
        </patternFill>
      </fill>
      <border diagonalUp="0" diagonalDown="0" outline="0">
        <left/>
        <right/>
        <top/>
        <bottom/>
      </border>
    </dxf>
  </rfmt>
  <rcc rId="10733" sId="1">
    <nc r="I657">
      <v>61</v>
    </nc>
  </rcc>
  <rfmt sheetId="1" sqref="I657">
    <dxf>
      <fill>
        <patternFill patternType="solid">
          <fgColor indexed="64"/>
          <bgColor rgb="FF00B0F0"/>
        </patternFill>
      </fill>
      <border diagonalUp="0" diagonalDown="0" outline="0">
        <left/>
        <right/>
        <top/>
        <bottom/>
      </border>
    </dxf>
  </rfmt>
  <rcc rId="10734" sId="1">
    <nc r="H657">
      <v>61</v>
    </nc>
  </rcc>
  <rfmt sheetId="1" sqref="H657">
    <dxf>
      <fill>
        <patternFill patternType="solid">
          <fgColor indexed="64"/>
          <bgColor rgb="FF00B0F0"/>
        </patternFill>
      </fill>
      <border diagonalUp="0" diagonalDown="0" outline="0">
        <left/>
        <right/>
        <top/>
        <bottom/>
      </border>
    </dxf>
  </rfmt>
  <rfmt sheetId="1" sqref="A657:XFD657">
    <dxf>
      <fill>
        <patternFill patternType="none">
          <bgColor auto="1"/>
        </patternFill>
      </fill>
    </dxf>
  </rfmt>
  <rcc rId="10735" sId="1">
    <nc r="A658" t="inlineStr">
      <is>
        <t>Zone 4</t>
      </is>
    </nc>
  </rcc>
  <rfmt sheetId="1" sqref="A658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10736" sId="1">
    <nc r="B658">
      <v>16</v>
    </nc>
  </rcc>
  <rfmt sheetId="1" sqref="B658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10737" sId="1">
    <nc r="C658">
      <v>1</v>
    </nc>
  </rcc>
  <rfmt sheetId="1" sqref="C658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10738" sId="1">
    <nc r="D658" t="inlineStr">
      <is>
        <t>11-002</t>
      </is>
    </nc>
  </rcc>
  <rfmt sheetId="1" sqref="D658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10739" sId="1" xfDxf="1" dxf="1">
    <nc r="F658" t="inlineStr">
      <is>
        <t>SMI3/2159-PT-10</t>
      </is>
    </nc>
  </rcc>
  <rcc rId="10740" sId="1">
    <nc r="E658" t="inlineStr">
      <is>
        <t>W1025391/1</t>
      </is>
    </nc>
  </rcc>
  <rcc rId="10741" sId="1">
    <nc r="G658" t="inlineStr">
      <is>
        <t>Non Pvc Oxygen Tubing</t>
      </is>
    </nc>
  </rcc>
  <rfmt sheetId="1" sqref="G658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10742" sId="1">
    <nc r="H658">
      <v>102</v>
    </nc>
  </rcc>
  <rfmt sheetId="1" sqref="H658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10743" sId="1">
    <nc r="I658">
      <v>102</v>
    </nc>
  </rcc>
  <rfmt sheetId="1" sqref="I658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10744" sId="1">
    <nc r="J658">
      <v>35000</v>
    </nc>
  </rcc>
  <rfmt sheetId="1" sqref="J658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cc rId="10745" sId="1">
    <nc r="K658">
      <v>0</v>
    </nc>
  </rcc>
  <rfmt sheetId="1" sqref="K658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fmt sheetId="1" sqref="K658"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</rfmt>
  <rrc rId="10746" sId="1" ref="A670:XFD672" action="insertRow"/>
  <rm rId="10747" sheetId="1" source="A656:XFD658" destination="A670:XFD672" sourceSheetId="1">
    <rfmt sheetId="1" xfDxf="1" sqref="A670:XFD670" start="0" length="0">
      <dxf/>
    </rfmt>
    <rfmt sheetId="1" xfDxf="1" sqref="A671:XFD671" start="0" length="0">
      <dxf/>
    </rfmt>
    <rfmt sheetId="1" xfDxf="1" sqref="A672:XFD672" start="0" length="0">
      <dxf/>
    </rfmt>
    <rfmt sheetId="1" sqref="L670" start="0" length="0">
      <dxf>
        <numFmt numFmtId="164" formatCode="mm\-dd\-yyyy"/>
      </dxf>
    </rfmt>
    <rfmt sheetId="1" sqref="M670" start="0" length="0">
      <dxf>
        <numFmt numFmtId="164" formatCode="mm\-dd\-yyyy"/>
      </dxf>
    </rfmt>
    <rfmt sheetId="1" sqref="L671" start="0" length="0">
      <dxf>
        <numFmt numFmtId="164" formatCode="mm\-dd\-yyyy"/>
      </dxf>
    </rfmt>
    <rfmt sheetId="1" sqref="M671" start="0" length="0">
      <dxf>
        <numFmt numFmtId="164" formatCode="mm\-dd\-yyyy"/>
      </dxf>
    </rfmt>
    <rfmt sheetId="1" sqref="L672" start="0" length="0">
      <dxf>
        <numFmt numFmtId="164" formatCode="mm\-dd\-yyyy"/>
      </dxf>
    </rfmt>
    <rfmt sheetId="1" sqref="M672" start="0" length="0">
      <dxf>
        <numFmt numFmtId="164" formatCode="mm\-dd\-yyyy"/>
      </dxf>
    </rfmt>
  </rm>
  <rrc rId="10748" sId="1" ref="A656:XFD656" action="deleteRow">
    <rfmt sheetId="1" xfDxf="1" sqref="A656:XFD656" start="0" length="0"/>
    <rfmt sheetId="1" sqref="L656" start="0" length="0">
      <dxf>
        <numFmt numFmtId="164" formatCode="mm\-dd\-yyyy"/>
      </dxf>
    </rfmt>
    <rfmt sheetId="1" sqref="M656" start="0" length="0">
      <dxf>
        <numFmt numFmtId="164" formatCode="mm\-dd\-yyyy"/>
      </dxf>
    </rfmt>
  </rrc>
  <rrc rId="10749" sId="1" ref="A656:XFD656" action="deleteRow">
    <rfmt sheetId="1" xfDxf="1" sqref="A656:XFD656" start="0" length="0"/>
    <rfmt sheetId="1" sqref="L656" start="0" length="0">
      <dxf>
        <numFmt numFmtId="164" formatCode="mm\-dd\-yyyy"/>
      </dxf>
    </rfmt>
    <rfmt sheetId="1" sqref="M656" start="0" length="0">
      <dxf>
        <numFmt numFmtId="164" formatCode="mm\-dd\-yyyy"/>
      </dxf>
    </rfmt>
  </rrc>
  <rrc rId="10750" sId="1" ref="A656:XFD656" action="deleteRow">
    <rfmt sheetId="1" xfDxf="1" sqref="A656:XFD656" start="0" length="0"/>
    <rfmt sheetId="1" sqref="L656" start="0" length="0">
      <dxf>
        <numFmt numFmtId="164" formatCode="mm\-dd\-yyyy"/>
      </dxf>
    </rfmt>
    <rfmt sheetId="1" sqref="M656" start="0" length="0">
      <dxf>
        <numFmt numFmtId="164" formatCode="mm\-dd\-yyyy"/>
      </dxf>
    </rfmt>
  </rrc>
  <rrc rId="10751" sId="1" ref="A656:XFD656" action="deleteRow">
    <rfmt sheetId="1" xfDxf="1" sqref="A656:XFD656" start="0" length="0"/>
    <rfmt sheetId="1" sqref="D656" start="0" length="0">
      <dxf/>
    </rfmt>
    <rfmt sheetId="1" sqref="L656" start="0" length="0">
      <dxf>
        <numFmt numFmtId="164" formatCode="mm\-dd\-yyyy"/>
      </dxf>
    </rfmt>
    <rfmt sheetId="1" sqref="M656" start="0" length="0">
      <dxf>
        <numFmt numFmtId="164" formatCode="mm\-dd\-yyyy"/>
      </dxf>
    </rfmt>
  </rrc>
  <rrc rId="10752" sId="1" ref="A656:XFD656" action="deleteRow">
    <rfmt sheetId="1" xfDxf="1" sqref="A656:XFD656" start="0" length="0"/>
    <rfmt sheetId="1" sqref="D656" start="0" length="0">
      <dxf/>
    </rfmt>
    <rfmt sheetId="1" sqref="L656" start="0" length="0">
      <dxf>
        <numFmt numFmtId="164" formatCode="mm\-dd\-yyyy"/>
      </dxf>
    </rfmt>
    <rfmt sheetId="1" sqref="M656" start="0" length="0">
      <dxf>
        <numFmt numFmtId="164" formatCode="mm\-dd\-yyyy"/>
      </dxf>
    </rfmt>
  </rrc>
  <rcc rId="10753" sId="1">
    <oc r="J665">
      <v>100000</v>
    </oc>
    <nc r="J665">
      <v>90000</v>
    </nc>
  </rcc>
  <rcv guid="{A9066737-D214-4998-B3AE-C1B60D50E4FC}" action="delete"/>
  <rcv guid="{A9066737-D214-4998-B3AE-C1B60D50E4FC}" action="add"/>
</revisions>
</file>

<file path=xl/revisions/revisionLog1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54" sId="1">
    <nc r="O109" t="inlineStr">
      <is>
        <t>P</t>
      </is>
    </nc>
  </rcc>
  <rcc rId="10755" sId="1">
    <nc r="O250" t="inlineStr">
      <is>
        <t>P</t>
      </is>
    </nc>
  </rcc>
  <rcc rId="10756" sId="1">
    <nc r="O242" t="inlineStr">
      <is>
        <t>P</t>
      </is>
    </nc>
  </rcc>
  <rcc rId="10757" sId="1">
    <nc r="O431" t="inlineStr">
      <is>
        <t>P</t>
      </is>
    </nc>
  </rcc>
  <rcc rId="10758" sId="1">
    <nc r="O272" t="inlineStr">
      <is>
        <t>P</t>
      </is>
    </nc>
  </rcc>
  <rfmt sheetId="1" sqref="O272">
    <dxf>
      <fill>
        <patternFill patternType="solid">
          <fgColor indexed="64"/>
          <bgColor rgb="FF00B050"/>
        </patternFill>
      </fill>
    </dxf>
  </rfmt>
</revisions>
</file>

<file path=xl/revisions/revisionLog1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59" sId="1">
    <nc r="A250" t="inlineStr">
      <is>
        <t>Zone 3</t>
      </is>
    </nc>
  </rcc>
  <rcc rId="10760" sId="1">
    <nc r="B250" t="inlineStr">
      <is>
        <t>FLEX Bag Carton</t>
      </is>
    </nc>
  </rcc>
  <rcc rId="10761" sId="1">
    <nc r="C250">
      <v>6</v>
    </nc>
  </rcc>
  <rfmt sheetId="1" sqref="C250">
    <dxf>
      <border diagonalUp="0" diagonalDown="0" outline="0">
        <left/>
        <right/>
        <top/>
        <bottom/>
      </border>
    </dxf>
  </rfmt>
</revisions>
</file>

<file path=xl/revisions/revisionLog1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E7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</rfmt>
  <rfmt sheetId="1" sqref="E79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fill>
        <patternFill patternType="solid">
          <fgColor indexed="65"/>
          <bgColor rgb="FFC6EFCE"/>
        </patternFill>
      </fill>
    </dxf>
  </rfmt>
</revisions>
</file>

<file path=xl/revisions/revisionLog1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0762" sId="1" ref="A359:XFD359" action="insertRow"/>
  <rm rId="10763" sheetId="1" source="A361:XFD361" destination="A359:XFD359" sourceSheetId="1">
    <rfmt sheetId="1" xfDxf="1" sqref="A359:XFD359" start="0" length="0">
      <dxf>
        <fill>
          <patternFill patternType="solid">
            <bgColor theme="0" tint="-4.9989318521683403E-2"/>
          </patternFill>
        </fill>
      </dxf>
    </rfmt>
    <rfmt sheetId="1" sqref="L359" start="0" length="0">
      <dxf>
        <numFmt numFmtId="164" formatCode="mm\-dd\-yyyy"/>
      </dxf>
    </rfmt>
    <rfmt sheetId="1" sqref="M359" start="0" length="0">
      <dxf>
        <numFmt numFmtId="164" formatCode="mm\-dd\-yyyy"/>
      </dxf>
    </rfmt>
  </rm>
  <rrc rId="10764" sId="1" ref="A361:XFD361" action="deleteRow">
    <rfmt sheetId="1" xfDxf="1" sqref="A361:XFD361" start="0" length="0"/>
    <rfmt sheetId="1" sqref="L361" start="0" length="0">
      <dxf>
        <numFmt numFmtId="164" formatCode="mm\-dd\-yyyy"/>
      </dxf>
    </rfmt>
    <rfmt sheetId="1" sqref="M361" start="0" length="0">
      <dxf>
        <numFmt numFmtId="164" formatCode="mm\-dd\-yyyy"/>
      </dxf>
    </rfmt>
  </rrc>
  <rcv guid="{5E43336C-C4AC-4860-9F15-9A8E94A38B84}" action="delete"/>
  <rcv guid="{5E43336C-C4AC-4860-9F15-9A8E94A38B84}" action="add"/>
</revisions>
</file>

<file path=xl/revisions/revisionLog1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339:XFD339">
    <dxf>
      <fill>
        <patternFill>
          <bgColor rgb="FF00B050"/>
        </patternFill>
      </fill>
    </dxf>
  </rfmt>
</revisions>
</file>

<file path=xl/revisions/revisionLog1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765" sId="1">
    <oc r="P233" t="inlineStr">
      <is>
        <t>DG06</t>
      </is>
    </oc>
    <nc r="P233" t="inlineStr">
      <is>
        <t>DG07</t>
      </is>
    </nc>
  </rcc>
  <rrc rId="10766" sId="1" ref="A721:XFD721" action="insertRow"/>
  <rm rId="10767" sheetId="1" source="A725:XFD725" destination="A721:XFD721" sourceSheetId="1">
    <rfmt sheetId="1" xfDxf="1" sqref="A721:XFD721" start="0" length="0"/>
    <rfmt sheetId="1" sqref="L721" start="0" length="0">
      <dxf>
        <numFmt numFmtId="164" formatCode="mm\-dd\-yyyy"/>
      </dxf>
    </rfmt>
    <rfmt sheetId="1" sqref="M721" start="0" length="0">
      <dxf>
        <numFmt numFmtId="164" formatCode="mm\-dd\-yyyy"/>
      </dxf>
    </rfmt>
  </rm>
  <rrc rId="10768" sId="1" ref="A725:XFD725" action="deleteRow">
    <rfmt sheetId="1" xfDxf="1" sqref="A725:XFD725" start="0" length="0"/>
    <rfmt sheetId="1" sqref="L725" start="0" length="0">
      <dxf>
        <numFmt numFmtId="164" formatCode="mm\-dd\-yyyy"/>
      </dxf>
    </rfmt>
    <rfmt sheetId="1" sqref="M725" start="0" length="0">
      <dxf>
        <numFmt numFmtId="164" formatCode="mm\-dd\-yyyy"/>
      </dxf>
    </rfmt>
  </rrc>
  <rfmt sheetId="1" sqref="A721:XFD721" start="0" length="0">
    <dxf>
      <border>
        <bottom/>
      </border>
    </dxf>
  </rfmt>
  <rcc rId="10769" sId="1">
    <nc r="A720" t="inlineStr">
      <is>
        <t>Zone 4</t>
      </is>
    </nc>
  </rcc>
  <rcc rId="10770" sId="1">
    <nc r="B720">
      <v>33</v>
    </nc>
  </rcc>
  <rcc rId="10771" sId="1">
    <nc r="D720" t="inlineStr">
      <is>
        <t>24-004</t>
      </is>
    </nc>
  </rcc>
  <rcc rId="10772" sId="1">
    <oc r="C719">
      <v>0</v>
    </oc>
    <nc r="C719">
      <v>1</v>
    </nc>
  </rcc>
  <rcc rId="10773" sId="1">
    <nc r="C720">
      <v>1</v>
    </nc>
  </rcc>
  <rrc rId="10774" sId="1" ref="A632:XFD632" action="insertRow"/>
  <rrc rId="10775" sId="1" ref="A643:XFD643" action="insertRow"/>
  <rcc rId="10776" sId="1">
    <oc r="J642">
      <v>70000</v>
    </oc>
    <nc r="J642">
      <v>40000</v>
    </nc>
  </rcc>
  <rrc rId="10777" sId="1" ref="A647:XFD647" action="insertRow"/>
  <rfmt sheetId="1" sqref="A647:XFD647">
    <dxf>
      <fill>
        <patternFill patternType="none">
          <bgColor auto="1"/>
        </patternFill>
      </fill>
    </dxf>
  </rfmt>
  <rrc rId="10778" sId="1" ref="A643:XFD643" action="deleteRow">
    <rfmt sheetId="1" xfDxf="1" sqref="A643:XFD643" start="0" length="0"/>
    <rfmt sheetId="1" sqref="L643" start="0" length="0">
      <dxf>
        <numFmt numFmtId="164" formatCode="mm\-dd\-yyyy"/>
      </dxf>
    </rfmt>
    <rfmt sheetId="1" sqref="M643" start="0" length="0">
      <dxf>
        <numFmt numFmtId="164" formatCode="mm\-dd\-yyyy"/>
      </dxf>
    </rfmt>
  </rrc>
  <rcc rId="10779" sId="1" odxf="1">
    <nc r="A646" t="inlineStr">
      <is>
        <t>Zone 4</t>
      </is>
    </nc>
    <odxf/>
  </rcc>
  <rcc rId="10780" sId="1" odxf="1">
    <nc r="B646">
      <v>9</v>
    </nc>
    <odxf/>
  </rcc>
  <rcc rId="10781" sId="1" odxf="1">
    <nc r="C646">
      <v>0.33</v>
    </nc>
    <odxf/>
  </rcc>
  <rcc rId="10782" sId="1" odxf="1">
    <nc r="D646" t="inlineStr">
      <is>
        <t>23-003</t>
      </is>
    </nc>
    <odxf/>
  </rcc>
  <rcc rId="10783" sId="1" odxf="1">
    <nc r="G646" t="inlineStr">
      <is>
        <t>DNA Double Ended Cap</t>
      </is>
    </nc>
    <odxf/>
  </rcc>
  <rcc rId="10784" sId="1" odxf="1">
    <nc r="H646">
      <v>19.248899999999999</v>
    </nc>
    <odxf/>
  </rcc>
  <rcc rId="10785" sId="1" odxf="1">
    <nc r="I646">
      <v>58.33</v>
    </nc>
    <odxf/>
  </rcc>
  <rcc rId="10786" sId="1" odxf="1">
    <nc r="K646">
      <v>0</v>
    </nc>
    <odxf/>
  </rcc>
  <rcc rId="10787" sId="1" odxf="1" numFmtId="19">
    <nc r="L646">
      <v>46218.569444444445</v>
    </nc>
    <odxf/>
  </rcc>
  <rcc rId="10788" sId="1" odxf="1" numFmtId="19">
    <nc r="M646">
      <v>46223.326388888891</v>
    </nc>
    <odxf/>
  </rcc>
  <rcc rId="10789" sId="1" odxf="1">
    <nc r="AA646" t="inlineStr">
      <is>
        <t>1</t>
      </is>
    </nc>
    <odxf/>
  </rcc>
  <rcc rId="10790" sId="1" odxf="1">
    <nc r="AB646" t="inlineStr">
      <is>
        <t>0</t>
      </is>
    </nc>
    <odxf/>
  </rcc>
  <rcc rId="10791" sId="1">
    <nc r="F646" t="inlineStr">
      <is>
        <t>DNA3/710883-T3</t>
      </is>
    </nc>
  </rcc>
  <rcc rId="10792" sId="1">
    <nc r="J646">
      <v>70000</v>
    </nc>
  </rcc>
  <rcc rId="10793" sId="1">
    <nc r="E646" t="inlineStr">
      <is>
        <t>W1030453/1</t>
      </is>
    </nc>
  </rcc>
  <rcc rId="10794" sId="1">
    <nc r="A632" t="inlineStr">
      <is>
        <t>Zone 4</t>
      </is>
    </nc>
  </rcc>
  <rcc rId="10795" sId="1">
    <nc r="B632" t="inlineStr">
      <is>
        <t>4A</t>
      </is>
    </nc>
  </rcc>
  <rcc rId="10796" sId="1">
    <nc r="C632">
      <v>1</v>
    </nc>
  </rcc>
  <rcc rId="10797" sId="1">
    <nc r="D632" t="inlineStr">
      <is>
        <t>14-018</t>
      </is>
    </nc>
  </rcc>
  <rcc rId="10798" sId="1">
    <nc r="E632" t="inlineStr">
      <is>
        <t>W1030352/1</t>
      </is>
    </nc>
  </rcc>
  <rcc rId="10799" sId="1">
    <nc r="F632" t="inlineStr">
      <is>
        <t>SMI1/ETPSR3/00A50</t>
      </is>
    </nc>
  </rcc>
  <rcc rId="10800" sId="1">
    <nc r="G632" t="inlineStr">
      <is>
        <t>Endo. Tube Protector triple Ring</t>
      </is>
    </nc>
  </rcc>
  <rcc rId="10801" sId="1">
    <nc r="H632">
      <v>124</v>
    </nc>
  </rcc>
  <rcc rId="10802" sId="1">
    <nc r="I632">
      <v>124</v>
    </nc>
  </rcc>
  <rcc rId="10803" sId="1">
    <nc r="J632">
      <v>120</v>
    </nc>
  </rcc>
  <rcc rId="10804" sId="1">
    <nc r="K632">
      <v>0</v>
    </nc>
  </rcc>
</revisions>
</file>

<file path=xl/revisions/revisionLog1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05" sId="1">
    <oc r="J402">
      <v>600</v>
    </oc>
    <nc r="J402">
      <v>300</v>
    </nc>
  </rcc>
  <rrc rId="10806" sId="1" ref="A402:XFD402" action="insertRow"/>
  <rcc rId="10807" sId="1">
    <oc r="J407">
      <v>300</v>
    </oc>
    <nc r="J407">
      <v>600</v>
    </nc>
  </rcc>
  <rfmt sheetId="1" sqref="F404" start="0" length="0">
    <dxf>
      <fill>
        <patternFill patternType="solid">
          <bgColor theme="5" tint="0.39997558519241921"/>
        </patternFill>
      </fill>
    </dxf>
  </rfmt>
  <rcc rId="10808" sId="1" odxf="1" dxf="1">
    <oc r="G404" t="inlineStr">
      <is>
        <t>Spectrum QC HA S3</t>
      </is>
    </oc>
    <nc r="G404" t="inlineStr">
      <is>
        <r>
          <t>Spectrum QC HA S3 -</t>
        </r>
        <r>
          <rPr>
            <b/>
            <sz val="11"/>
            <color rgb="FFFF0000"/>
            <rFont val="Aptos Narrow"/>
            <family val="2"/>
          </rPr>
          <t xml:space="preserve"> MIPI Cameras</t>
        </r>
        <r>
          <rPr>
            <sz val="11"/>
            <color theme="1"/>
            <rFont val="Aptos Narrow"/>
            <family val="2"/>
          </rPr>
          <t xml:space="preserve"> </t>
        </r>
        <r>
          <rPr>
            <b/>
            <sz val="11"/>
            <color theme="8"/>
            <rFont val="Aptos Narrow"/>
            <family val="2"/>
          </rPr>
          <t>(in Purple bags)</t>
        </r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10809" sId="1">
    <oc r="G403" t="inlineStr">
      <is>
        <r>
          <t>Spectrum QC HA S3 -</t>
        </r>
        <r>
          <rPr>
            <b/>
            <sz val="11"/>
            <color rgb="FFFF0000"/>
            <rFont val="Aptos Narrow"/>
            <family val="2"/>
          </rPr>
          <t xml:space="preserve"> MIPI Cameras</t>
        </r>
        <r>
          <rPr>
            <sz val="11"/>
            <color theme="1"/>
            <rFont val="Aptos Narrow"/>
            <family val="2"/>
          </rPr>
          <t xml:space="preserve"> </t>
        </r>
        <r>
          <rPr>
            <b/>
            <sz val="11"/>
            <color theme="8"/>
            <rFont val="Aptos Narrow"/>
            <family val="2"/>
          </rPr>
          <t>(in Purple bags)</t>
        </r>
      </is>
    </oc>
    <nc r="G403" t="inlineStr">
      <is>
        <t xml:space="preserve">Spectrum QC HA S3 </t>
      </is>
    </nc>
  </rcc>
  <rfmt sheetId="1" sqref="A403:XFD403">
    <dxf>
      <fill>
        <patternFill patternType="none">
          <bgColor auto="1"/>
        </patternFill>
      </fill>
    </dxf>
  </rfmt>
  <rrc rId="10810" sId="1" ref="A402:XFD402" action="deleteRow">
    <rfmt sheetId="1" xfDxf="1" sqref="A402:XFD402" start="0" length="0">
      <dxf>
        <fill>
          <patternFill patternType="solid">
            <bgColor theme="0" tint="-4.9989318521683403E-2"/>
          </patternFill>
        </fill>
      </dxf>
    </rfmt>
    <rfmt sheetId="1" sqref="L402" start="0" length="0">
      <dxf>
        <numFmt numFmtId="164" formatCode="mm\-dd\-yyyy"/>
      </dxf>
    </rfmt>
    <rfmt sheetId="1" sqref="M402" start="0" length="0">
      <dxf>
        <numFmt numFmtId="164" formatCode="mm\-dd\-yyyy"/>
      </dxf>
    </rfmt>
  </rrc>
  <rfmt sheetId="1" sqref="J402">
    <dxf>
      <fill>
        <patternFill patternType="solid">
          <bgColor rgb="FF00B0F0"/>
        </patternFill>
      </fill>
    </dxf>
  </rfmt>
  <rfmt sheetId="1" sqref="J341">
    <dxf>
      <fill>
        <patternFill patternType="solid">
          <bgColor rgb="FF00B0F0"/>
        </patternFill>
      </fill>
    </dxf>
  </rfmt>
  <rcc rId="10811" sId="1" odxf="1" dxf="1">
    <oc r="G343" t="inlineStr">
      <is>
        <t>QC ECO ,MAC S3, NS, GS SPECTRUM BOX-10</t>
      </is>
    </oc>
    <nc r="G343" t="inlineStr">
      <is>
        <r>
          <t xml:space="preserve">QC ECO ,MAC S3, NS, GS SPECTRUM </t>
        </r>
        <r>
          <rPr>
            <b/>
            <sz val="11"/>
            <color rgb="FFFF0000"/>
            <rFont val="Aptos Narrow"/>
            <family val="2"/>
          </rPr>
          <t xml:space="preserve">MIPI Cameras  </t>
        </r>
        <r>
          <rPr>
            <b/>
            <sz val="11"/>
            <color theme="8"/>
            <rFont val="Aptos Narrow"/>
            <family val="2"/>
          </rPr>
          <t>(in Purple bags)</t>
        </r>
      </is>
    </nc>
    <odxf>
      <fill>
        <patternFill patternType="none">
          <bgColor indexed="65"/>
        </patternFill>
      </fill>
    </odxf>
    <ndxf>
      <fill>
        <patternFill patternType="solid">
          <bgColor theme="5" tint="0.39997558519241921"/>
        </patternFill>
      </fill>
    </ndxf>
  </rcc>
  <rcc rId="10812" sId="1" odxf="1" dxf="1">
    <oc r="G341" t="inlineStr">
      <is>
        <r>
          <t xml:space="preserve">QC ECO ,MAC S3, NS, GS SPECTRUM </t>
        </r>
        <r>
          <rPr>
            <b/>
            <sz val="11"/>
            <color rgb="FFFF0000"/>
            <rFont val="Aptos Narrow"/>
            <family val="2"/>
          </rPr>
          <t xml:space="preserve">MIPI Cameras  </t>
        </r>
        <r>
          <rPr>
            <b/>
            <sz val="11"/>
            <color theme="8"/>
            <rFont val="Aptos Narrow"/>
            <family val="2"/>
          </rPr>
          <t>(in Purple bags)</t>
        </r>
      </is>
    </oc>
    <nc r="G341" t="inlineStr">
      <is>
        <t>QC ECO ,MAC S3, NS, GS SPECTRUM BOX-10</t>
      </is>
    </nc>
    <odxf>
      <fill>
        <patternFill patternType="solid">
          <bgColor theme="5" tint="0.39997558519241921"/>
        </patternFill>
      </fill>
    </odxf>
    <ndxf>
      <fill>
        <patternFill patternType="none">
          <bgColor indexed="65"/>
        </patternFill>
      </fill>
    </ndxf>
  </rcc>
  <rfmt sheetId="1" sqref="E341:F341">
    <dxf>
      <fill>
        <patternFill patternType="none">
          <bgColor auto="1"/>
        </patternFill>
      </fill>
    </dxf>
  </rfmt>
  <rfmt sheetId="1" sqref="E343:F343">
    <dxf>
      <fill>
        <patternFill patternType="solid">
          <bgColor theme="5" tint="0.39997558519241921"/>
        </patternFill>
      </fill>
    </dxf>
  </rfmt>
  <rrc rId="10813" sId="1" ref="A302:XFD302" action="insertRow"/>
  <rm rId="10814" sheetId="1" source="A313:XFD313" destination="A302:XFD302" sourceSheetId="1">
    <rfmt sheetId="1" xfDxf="1" sqref="A302:XFD302" start="0" length="0"/>
    <rfmt sheetId="1" sqref="E302" start="0" length="0">
      <dxf>
        <fill>
          <patternFill patternType="solid">
            <bgColor rgb="FFFFFF00"/>
          </patternFill>
        </fill>
      </dxf>
    </rfmt>
    <rfmt sheetId="1" sqref="F302" start="0" length="0">
      <dxf>
        <fill>
          <patternFill patternType="solid">
            <bgColor rgb="FFFFFF00"/>
          </patternFill>
        </fill>
      </dxf>
    </rfmt>
    <rfmt sheetId="1" sqref="G302" start="0" length="0">
      <dxf>
        <fill>
          <patternFill patternType="solid">
            <bgColor rgb="FFFFFF00"/>
          </patternFill>
        </fill>
      </dxf>
    </rfmt>
    <rfmt sheetId="1" sqref="H302" start="0" length="0">
      <dxf>
        <fill>
          <patternFill patternType="solid">
            <bgColor rgb="FFFFFF00"/>
          </patternFill>
        </fill>
      </dxf>
    </rfmt>
    <rfmt sheetId="1" sqref="I302" start="0" length="0">
      <dxf>
        <fill>
          <patternFill patternType="solid">
            <bgColor rgb="FFFFFF00"/>
          </patternFill>
        </fill>
      </dxf>
    </rfmt>
    <rfmt sheetId="1" sqref="J302" start="0" length="0">
      <dxf>
        <fill>
          <patternFill patternType="solid">
            <bgColor rgb="FFFFFF00"/>
          </patternFill>
        </fill>
      </dxf>
    </rfmt>
    <rfmt sheetId="1" sqref="L302" start="0" length="0">
      <dxf>
        <numFmt numFmtId="164" formatCode="mm\-dd\-yyyy"/>
      </dxf>
    </rfmt>
    <rfmt sheetId="1" sqref="M302" start="0" length="0">
      <dxf>
        <numFmt numFmtId="164" formatCode="mm\-dd\-yyyy"/>
      </dxf>
    </rfmt>
  </rm>
  <rrc rId="10815" sId="1" ref="A313:XFD313" action="deleteRow">
    <rfmt sheetId="1" xfDxf="1" sqref="A313:XFD313" start="0" length="0"/>
    <rfmt sheetId="1" sqref="L313" start="0" length="0">
      <dxf>
        <numFmt numFmtId="164" formatCode="mm\-dd\-yyyy"/>
      </dxf>
    </rfmt>
    <rfmt sheetId="1" sqref="M313" start="0" length="0">
      <dxf>
        <numFmt numFmtId="164" formatCode="mm\-dd\-yyyy"/>
      </dxf>
    </rfmt>
  </rrc>
  <rcc rId="10816" sId="1">
    <oc r="K299">
      <v>0</v>
    </oc>
    <nc r="K299">
      <v>6000</v>
    </nc>
  </rcc>
  <rcc rId="10817" sId="1">
    <oc r="K300">
      <v>0</v>
    </oc>
    <nc r="K300">
      <v>6000</v>
    </nc>
  </rcc>
  <rcc rId="10818" sId="1">
    <oc r="K301">
      <v>0</v>
    </oc>
    <nc r="K301">
      <v>6000</v>
    </nc>
  </rcc>
  <rfmt sheetId="1" sqref="A301:XFD301">
    <dxf>
      <fill>
        <patternFill>
          <bgColor rgb="FF00B050"/>
        </patternFill>
      </fill>
    </dxf>
  </rfmt>
  <rfmt sheetId="1" sqref="A302:XFD302">
    <dxf>
      <fill>
        <patternFill patternType="solid">
          <bgColor rgb="FFFFFF00"/>
        </patternFill>
      </fill>
    </dxf>
  </rfmt>
  <rcv guid="{31B4C6D2-0335-443E-840F-0BE68859C862}" action="delete"/>
  <rcv guid="{31B4C6D2-0335-443E-840F-0BE68859C862}" action="add"/>
</revisions>
</file>

<file path=xl/revisions/revisionLog1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819" sId="1">
    <oc r="J303">
      <v>6000</v>
    </oc>
    <nc r="J303">
      <v>12000</v>
    </nc>
  </rcc>
  <rcc rId="10820" sId="1">
    <oc r="G303" t="inlineStr">
      <is>
        <t>Camera, Green OVM7695 Encapsulated Quickconnect</t>
      </is>
    </oc>
    <nc r="G303" t="inlineStr">
      <is>
        <r>
          <t xml:space="preserve">Camera, Green OVM7695 Encapsulated Quickconnect - </t>
        </r>
        <r>
          <rPr>
            <b/>
            <sz val="11"/>
            <color rgb="FFFF0000"/>
            <rFont val="Aptos Narrow"/>
            <family val="2"/>
          </rPr>
          <t>MIPI Cameras</t>
        </r>
      </is>
    </nc>
  </rcc>
  <rfmt sheetId="1" sqref="E303:J303">
    <dxf>
      <fill>
        <patternFill patternType="solid">
          <bgColor theme="5" tint="0.59999389629810485"/>
        </patternFill>
      </fill>
    </dxf>
  </rfmt>
  <rcc rId="10821" sId="1" odxf="1" dxf="1">
    <oc r="G304" t="inlineStr">
      <is>
        <t>Camera, Green OVM7695 Encapsulated Quickconnect</t>
      </is>
    </oc>
    <nc r="G304" t="inlineStr">
      <is>
        <r>
          <t xml:space="preserve">Camera, Green OVM7695 Encapsulated Quickconnect - </t>
        </r>
        <r>
          <rPr>
            <b/>
            <sz val="11"/>
            <color rgb="FFFF0000"/>
            <rFont val="Aptos Narrow"/>
            <family val="2"/>
          </rPr>
          <t>MIPI Cameras</t>
        </r>
      </is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fmt sheetId="1" sqref="E304:F304">
    <dxf>
      <fill>
        <patternFill patternType="solid">
          <bgColor theme="5" tint="0.59999389629810485"/>
        </patternFill>
      </fill>
    </dxf>
  </rfmt>
  <rfmt sheetId="1" sqref="H304:J304">
    <dxf>
      <fill>
        <patternFill patternType="solid">
          <bgColor theme="5" tint="0.59999389629810485"/>
        </patternFill>
      </fill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70">
  <userInfo guid="{CEDD50D0-6FEE-4CD9-A542-F3EFC58DC80C}" name="Casey Hicks" id="-223359063" dateTime="2026-07-02T14:43:27"/>
  <userInfo guid="{49F0569F-F8DC-41F2-B8A2-3CFF02215148}" name="Chris Oliver" id="-2054451647" dateTime="2026-07-03T10:42:37"/>
  <userInfo guid="{9BF3DE17-EACC-4BF1-8596-18F0D52AAF0C}" name="Zahra Haghi" id="-1405866535" dateTime="2026-07-03T11:16:47"/>
  <userInfo guid="{CEDD50D0-6FEE-4CD9-A542-F3EFC58DC80C}" name="Zahra Haghi" id="-1405831122" dateTime="2026-07-03T12:01:11"/>
  <userInfo guid="{CCA98F83-64CE-40D1-AB3F-CB7D31042EA9}" name="Precy Sadio" id="-1852548140" dateTime="2026-07-05T18:55:27"/>
  <userInfo guid="{CCA98F83-64CE-40D1-AB3F-CB7D31042EA9}" name="John Kerfoot" id="-729474247" dateTime="2026-07-06T02:01:18"/>
  <userInfo guid="{7DFD7F07-C47A-4CFD-8CBA-37814E4335A2}" name="Pamela Boynton" id="-406895618" dateTime="2026-07-06T06:40:59"/>
  <userInfo guid="{7862FE1E-B97D-4E74-9398-ED6429B8A894}" name="Navjot Kaur" id="-2018662660" dateTime="2026-07-06T07:51:05"/>
  <userInfo guid="{06942F09-28D2-450D-9569-C2056636AD1B}" name="Pamela Boynton" id="-406893736" dateTime="2026-07-06T09:58:28"/>
  <userInfo guid="{935D7349-454B-4520-B829-13E519FBEFC0}" name="Alexander Miller" id="-1748733620" dateTime="2026-07-06T13:11:17"/>
  <userInfo guid="{AFDBCF77-7F00-4A6E-908A-8288E9F58C0C}" name="Bailee Simpson" id="-1442151854" dateTime="2026-07-06T14:59:24"/>
  <userInfo guid="{DD436314-043B-4FC9-8FFA-659386ED0E01}" name="Erica Pinto" id="-77678765" dateTime="2026-07-06T15:33:58"/>
  <userInfo guid="{DD436314-043B-4FC9-8FFA-659386ED0E01}" name="Ramon Cruz" id="-1631860402" dateTime="2026-07-06T15:37:33"/>
  <userInfo guid="{75D3C5BB-C49D-434B-8BA5-D8D51A92F32F}" name="Zakk Straiko" id="-598293119" dateTime="2026-07-06T23:11:59"/>
  <userInfo guid="{75D3C5BB-C49D-434B-8BA5-D8D51A92F32F}" name="Precy Sadio" id="-1852545290" dateTime="2026-07-06T23:59:44"/>
  <userInfo guid="{166E4577-07B5-43A7-86E4-262A5988A312}" name="John Kerfoot" id="-729439046" dateTime="2026-07-07T02:38:43"/>
  <userInfo guid="{166E4577-07B5-43A7-86E4-262A5988A312}" name="Ravi Gopaul" id="-301671590" dateTime="2026-07-07T04:23:47"/>
  <userInfo guid="{166E4577-07B5-43A7-86E4-262A5988A312}" name="Navjot Kaur" id="-2018641596" dateTime="2026-07-07T07:23:26"/>
  <userInfo guid="{166E4577-07B5-43A7-86E4-262A5988A312}" name="David Damas" id="-873866157" dateTime="2026-07-07T07:37:43"/>
  <userInfo guid="{61EBD750-A888-4D68-A4DF-72A2308AE374}" name="Ariel Fababier" id="-306261470" dateTime="2026-07-07T09:02:25"/>
  <userInfo guid="{B9B14941-53C9-4F95-9389-96AF60D2D3C4}" name="Pamela Boynton" id="-406881055" dateTime="2026-07-07T09:37:26"/>
  <userInfo guid="{B9B14941-53C9-4F95-9389-96AF60D2D3C4}" name="Chris Oliver" id="-2054482208" dateTime="2026-07-07T10:27:32"/>
  <userInfo guid="{166B8D21-7AC2-427D-97D5-4ED1FD2C1E3C}" name="Bailee Simpson" id="-1442128231" dateTime="2026-07-07T14:58:46"/>
  <userInfo guid="{98FC36B9-F190-4783-9F89-6B5E40F54190}" name="Vijeesh Ayadathi" id="-1063041376" dateTime="2026-07-07T18:15:19"/>
  <userInfo guid="{5DE3E8C2-777C-4AEC-AD70-40A3AF605899}" name="Zakk Straiko" id="-598281997" dateTime="2026-07-07T23:07:28"/>
  <userInfo guid="{5DE3E8C2-777C-4AEC-AD70-40A3AF605899}" name="Precy Sadio" id="-1852531548" dateTime="2026-07-08T00:07:54"/>
  <userInfo guid="{5DE3E8C2-777C-4AEC-AD70-40A3AF605899}" name="Ravi Gopaul" id="-301724154" dateTime="2026-07-08T03:48:10"/>
  <userInfo guid="{5DE3E8C2-777C-4AEC-AD70-40A3AF605899}" name="Alexander Miller" id="-1748706720" dateTime="2026-07-08T06:57:35"/>
  <userInfo guid="{5DE3E8C2-777C-4AEC-AD70-40A3AF605899}" name="Austin Pomerleau" id="-1075972144" dateTime="2026-07-08T07:19:03"/>
  <userInfo guid="{5DE3E8C2-777C-4AEC-AD70-40A3AF605899}" name="Ariel Fababier" id="-306266631" dateTime="2026-07-08T07:43:27"/>
  <userInfo guid="{F47BFBFD-CAD9-4B2A-BA20-B9312AE655B1}" name="Zahra Haghi" id="-1405843258" dateTime="2026-07-08T08:28:35"/>
  <userInfo guid="{3FF95EAC-B130-456C-9918-CFA19866D158}" name="Marlfe Alivia" id="-224868583" dateTime="2026-07-08T13:59:24"/>
  <userInfo guid="{AE3BD267-B028-4059-8CE6-960B6A57E39F}" name="Taylor Eshkakogan-Sahota" id="-1294590523" dateTime="2026-07-08T14:24:33"/>
  <userInfo guid="{B00C67FE-2856-448F-A34E-919E5985C8AA}" name="Bailee Simpson" id="-1442176738" dateTime="2026-07-08T14:56:23"/>
  <userInfo guid="{B00C67FE-2856-448F-A34E-919E5985C8AA}" name="Harleen Kaur" id="-756512488" dateTime="2026-07-08T15:44:12"/>
  <userInfo guid="{B00C67FE-2856-448F-A34E-919E5985C8AA}" name="Brazen Aquino" id="-208644111" dateTime="2026-07-08T15:48:26"/>
  <userInfo guid="{B00C67FE-2856-448F-A34E-919E5985C8AA}" name="Ramon Cruz" id="-1631887356" dateTime="2026-07-08T15:51:25"/>
  <userInfo guid="{DFBAB6F1-686D-4B9C-B157-0C0920D9232D}" name="Nora Abaya" id="-123505497" dateTime="2026-07-08T20:20:08"/>
  <userInfo guid="{E050C094-3184-481E-A935-DAE0FBA3585A}" name="Bailee Simpson" id="-1442174618" dateTime="2026-07-09T02:42:24"/>
  <userInfo guid="{E050C094-3184-481E-A935-DAE0FBA3585A}" name="David Damas" id="-873865351" dateTime="2026-07-09T02:44:29"/>
  <userInfo guid="{E050C094-3184-481E-A935-DAE0FBA3585A}" name="Precy Sadio" id="-1852543790" dateTime="2026-07-09T03:03:06"/>
  <userInfo guid="{FCFC5B99-8F4F-4BA6-AE05-7F98298F7E3A}" name="Pamela Boynton" id="-406897018" dateTime="2026-07-09T06:42:03"/>
  <userInfo guid="{96738362-7692-4A2B-9055-2122EA13645A}" name="Alexander Miller" id="-1748736901" dateTime="2026-07-09T07:00:05"/>
  <userInfo guid="{567E6320-46FC-4596-97D9-429C4D14C6CD}" name="Ariel Fababier" id="-306309734" dateTime="2026-07-09T08:19:02"/>
  <userInfo guid="{567E6320-46FC-4596-97D9-429C4D14C6CD}" name="Zahra Haghi" id="-1405825150" dateTime="2026-07-09T08:26:29"/>
  <userInfo guid="{FCFC5B99-8F4F-4BA6-AE05-7F98298F7E3A}" name="Navjot Kaur" id="-2018670547" dateTime="2026-07-09T09:29:33"/>
  <userInfo guid="{4A070357-12C7-4E33-BCAA-359642190AEB}" name="Andrew Bashford" id="-967781512" dateTime="2026-07-09T12:53:09"/>
  <userInfo guid="{3E184182-9135-41EB-886B-60CDE16B9EAA}" name="Bailee Simpson" id="-1442143684" dateTime="2026-07-09T14:58:16"/>
  <userInfo guid="{05C912E5-A05B-4037-94C6-DB0DDB5CA3FF}" name="Pamela Boynton" id="-406890587" dateTime="2026-07-09T15:05:20"/>
  <userInfo guid="{05C912E5-A05B-4037-94C6-DB0DDB5CA3FF}" name="Zenny Estrada" id="-733598878" dateTime="2026-07-09T15:10:49"/>
  <userInfo guid="{88BB5473-C856-47D0-9479-B369A83A116B}" name="Harleen Kaur" id="-756506176" dateTime="2026-07-09T15:45:30"/>
  <userInfo guid="{90AD792C-A532-4D0F-A94B-24D7360ACC9D}" name="Chris Oliver" id="-2054472659" dateTime="2026-07-09T16:30:28"/>
  <userInfo guid="{3425CCCB-4F9C-4A72-86AF-1F00947C471D}" name="Ramon Cruz" id="-1631900009" dateTime="2026-07-09T20:38:12"/>
  <userInfo guid="{C17FE819-093F-464E-AFFF-25745983C694}" name="Precy Sadio" id="-1852533970" dateTime="2026-07-09T23:36:23"/>
  <userInfo guid="{217B347B-784D-40C3-9B48-A9A09F62F3BC}" name="Ravi Gopaul" id="-301666816" dateTime="2026-07-10T04:42:42"/>
  <userInfo guid="{E6DC3602-81DE-4417-8149-9E52B68BAC6A}" name="Michael Ladouceur" id="-453101299" dateTime="2026-07-10T06:37:02"/>
  <userInfo guid="{19066EA7-64E4-4FF3-9946-61789EBF95D4}" name="Michael Humber" id="-441747495" dateTime="2026-07-10T06:45:30"/>
  <userInfo guid="{217B347B-784D-40C3-9B48-A9A09F62F3BC}" name="Alexander Miller" id="-1748712742" dateTime="2026-07-10T06:59:36"/>
  <userInfo guid="{217B347B-784D-40C3-9B48-A9A09F62F3BC}" name="Bren Aquino" id="-2130669189" dateTime="2026-07-10T07:01:46"/>
  <userInfo guid="{217B347B-784D-40C3-9B48-A9A09F62F3BC}" name="Austin Pomerleau" id="-1076031835" dateTime="2026-07-10T07:10:21"/>
  <userInfo guid="{217B347B-784D-40C3-9B48-A9A09F62F3BC}" name="Navjot Kaur" id="-2018672894" dateTime="2026-07-10T07:21:52"/>
  <userInfo guid="{19066EA7-64E4-4FF3-9946-61789EBF95D4}" name="George Trifonov" id="-1695206065" dateTime="2026-07-10T07:45:17"/>
  <userInfo guid="{217B347B-784D-40C3-9B48-A9A09F62F3BC}" name="Nicole Blaire Castillo" id="-1120685662" dateTime="2026-07-10T07:46:27"/>
  <userInfo guid="{217B347B-784D-40C3-9B48-A9A09F62F3BC}" name="Ariel Fababier" id="-306272207" dateTime="2026-07-10T07:56:00"/>
  <userInfo guid="{217B347B-784D-40C3-9B48-A9A09F62F3BC}" name="Pamela Boynton" id="-406849069" dateTime="2026-07-10T08:27:32"/>
  <userInfo guid="{E6DC3602-81DE-4417-8149-9E52B68BAC6A}" name="Zahra Haghi" id="-1405814064" dateTime="2026-07-10T08:39:59"/>
  <userInfo guid="{5263F2DA-B348-49B5-A18E-989F91115367}" name="Jason Forstl" id="-872976577" dateTime="2026-07-10T09:25:23"/>
  <userInfo guid="{5263F2DA-B348-49B5-A18E-989F91115367}" name="Susan Bonney" id="-579410690" dateTime="2026-07-10T09:34:31"/>
  <userInfo guid="{5263F2DA-B348-49B5-A18E-989F91115367}" name="Mary Durrett" id="-2033041884" dateTime="2026-07-10T09:47:45"/>
  <userInfo guid="{FAC73D2B-0F02-43C2-88C4-79A147824630}" name="Zahra Haghi" id="-1405833409" dateTime="2026-07-10T11:33:00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24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58"/>
  <sheetViews>
    <sheetView tabSelected="1" topLeftCell="A290" workbookViewId="0">
      <selection activeCell="G310" sqref="G310"/>
    </sheetView>
  </sheetViews>
  <sheetFormatPr defaultColWidth="8.85546875" defaultRowHeight="15" x14ac:dyDescent="0.25"/>
  <cols>
    <col min="1" max="1" width="6.5703125" bestFit="1" customWidth="1"/>
    <col min="2" max="2" width="17.5703125" bestFit="1" customWidth="1"/>
    <col min="3" max="3" width="10.42578125" bestFit="1" customWidth="1"/>
    <col min="4" max="4" width="10.5703125" bestFit="1" customWidth="1"/>
    <col min="5" max="5" width="14.42578125" bestFit="1" customWidth="1"/>
    <col min="6" max="6" width="26.42578125" bestFit="1" customWidth="1"/>
    <col min="7" max="7" width="61.5703125" bestFit="1" customWidth="1"/>
    <col min="8" max="8" width="9.5703125" bestFit="1" customWidth="1"/>
    <col min="9" max="9" width="9.140625" bestFit="1" customWidth="1"/>
    <col min="10" max="11" width="10.5703125" bestFit="1" customWidth="1"/>
    <col min="12" max="12" width="11.5703125" style="3" bestFit="1" customWidth="1"/>
    <col min="13" max="13" width="12.140625" style="3" bestFit="1" customWidth="1"/>
    <col min="14" max="14" width="17.42578125" customWidth="1"/>
    <col min="15" max="15" width="11.5703125" bestFit="1" customWidth="1"/>
    <col min="16" max="16" width="9.5703125" bestFit="1" customWidth="1"/>
    <col min="17" max="17" width="38.42578125" bestFit="1" customWidth="1"/>
    <col min="18" max="18" width="11" bestFit="1" customWidth="1"/>
    <col min="19" max="19" width="10.42578125" bestFit="1" customWidth="1"/>
    <col min="20" max="20" width="18.42578125" bestFit="1" customWidth="1"/>
    <col min="21" max="21" width="10.85546875" bestFit="1" customWidth="1"/>
    <col min="22" max="22" width="11.140625" bestFit="1" customWidth="1"/>
    <col min="23" max="23" width="27.140625" bestFit="1" customWidth="1"/>
    <col min="24" max="24" width="9.85546875" bestFit="1" customWidth="1"/>
    <col min="27" max="27" width="18.42578125" bestFit="1" customWidth="1"/>
    <col min="28" max="28" width="11.1406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AA1" t="s">
        <v>19</v>
      </c>
      <c r="AB1" t="s">
        <v>20</v>
      </c>
    </row>
    <row r="2" spans="1:28" x14ac:dyDescent="0.25">
      <c r="A2" t="s">
        <v>21</v>
      </c>
      <c r="B2" t="s">
        <v>27</v>
      </c>
      <c r="C2">
        <v>1</v>
      </c>
      <c r="E2" t="s">
        <v>28</v>
      </c>
      <c r="F2" t="s">
        <v>29</v>
      </c>
      <c r="G2" t="s">
        <v>30</v>
      </c>
      <c r="H2">
        <v>1.41</v>
      </c>
      <c r="I2">
        <v>1.41</v>
      </c>
      <c r="J2">
        <v>10000</v>
      </c>
      <c r="K2">
        <v>0</v>
      </c>
      <c r="L2" s="3">
        <v>46154.298611111109</v>
      </c>
      <c r="M2" s="3">
        <v>46155.354166666664</v>
      </c>
    </row>
    <row r="3" spans="1:28" s="4" customFormat="1" ht="15.75" thickBot="1" x14ac:dyDescent="0.3">
      <c r="A3" s="4" t="s">
        <v>21</v>
      </c>
      <c r="B3" s="4" t="s">
        <v>27</v>
      </c>
      <c r="C3" s="4">
        <v>1</v>
      </c>
      <c r="E3" s="4" t="s">
        <v>31</v>
      </c>
      <c r="F3" s="4" t="s">
        <v>29</v>
      </c>
      <c r="G3" s="4" t="s">
        <v>30</v>
      </c>
      <c r="H3" s="4">
        <v>1.41</v>
      </c>
      <c r="I3" s="4">
        <v>1.41</v>
      </c>
      <c r="J3" s="4">
        <v>10000</v>
      </c>
      <c r="K3" s="4">
        <v>0</v>
      </c>
      <c r="L3" s="40">
        <v>46155.361111111109</v>
      </c>
      <c r="M3" s="40">
        <v>46156.416666666664</v>
      </c>
    </row>
    <row r="4" spans="1:28" ht="15.75" thickBot="1" x14ac:dyDescent="0.3">
      <c r="A4" t="s">
        <v>21</v>
      </c>
      <c r="B4" t="s">
        <v>27</v>
      </c>
      <c r="C4">
        <v>1</v>
      </c>
      <c r="E4" s="4" t="s">
        <v>32</v>
      </c>
      <c r="F4" t="s">
        <v>33</v>
      </c>
      <c r="G4" t="s">
        <v>34</v>
      </c>
      <c r="H4">
        <v>1.7</v>
      </c>
      <c r="I4">
        <v>1.7</v>
      </c>
      <c r="J4">
        <v>12000</v>
      </c>
      <c r="K4">
        <v>0</v>
      </c>
      <c r="L4" s="3">
        <v>46162.3125</v>
      </c>
      <c r="M4" s="3">
        <v>46162.381944444445</v>
      </c>
      <c r="N4" s="4"/>
      <c r="O4" s="4"/>
      <c r="P4" s="4"/>
      <c r="Q4" s="4"/>
      <c r="R4" s="4"/>
      <c r="S4" s="4"/>
    </row>
    <row r="5" spans="1:28" x14ac:dyDescent="0.25">
      <c r="A5" t="s">
        <v>21</v>
      </c>
      <c r="B5" t="s">
        <v>27</v>
      </c>
      <c r="C5">
        <v>1</v>
      </c>
      <c r="E5" t="s">
        <v>35</v>
      </c>
      <c r="F5" t="s">
        <v>33</v>
      </c>
      <c r="G5" t="s">
        <v>34</v>
      </c>
      <c r="H5">
        <v>1.7</v>
      </c>
      <c r="I5">
        <v>1.7</v>
      </c>
      <c r="J5">
        <v>12000</v>
      </c>
      <c r="K5">
        <v>0</v>
      </c>
      <c r="L5" s="3">
        <v>46162.388888888891</v>
      </c>
      <c r="M5" s="3">
        <v>46162.458333333336</v>
      </c>
    </row>
    <row r="6" spans="1:28" x14ac:dyDescent="0.25">
      <c r="A6" t="s">
        <v>21</v>
      </c>
      <c r="B6" t="s">
        <v>27</v>
      </c>
      <c r="C6">
        <v>1</v>
      </c>
      <c r="E6" t="s">
        <v>36</v>
      </c>
      <c r="F6" t="s">
        <v>33</v>
      </c>
      <c r="G6" t="s">
        <v>34</v>
      </c>
      <c r="H6">
        <v>1.7</v>
      </c>
      <c r="I6">
        <v>1.7</v>
      </c>
      <c r="J6">
        <v>12000</v>
      </c>
      <c r="K6">
        <v>0</v>
      </c>
      <c r="L6" s="3">
        <v>46162.465277777781</v>
      </c>
      <c r="M6" s="3">
        <v>46162.534722222219</v>
      </c>
    </row>
    <row r="7" spans="1:28" x14ac:dyDescent="0.25">
      <c r="A7" t="s">
        <v>21</v>
      </c>
      <c r="B7" t="s">
        <v>27</v>
      </c>
      <c r="C7">
        <v>1</v>
      </c>
      <c r="E7" t="s">
        <v>39</v>
      </c>
      <c r="F7" t="s">
        <v>33</v>
      </c>
      <c r="G7" t="s">
        <v>34</v>
      </c>
      <c r="H7">
        <v>1.7</v>
      </c>
      <c r="I7">
        <v>1.7</v>
      </c>
      <c r="J7">
        <v>12000</v>
      </c>
      <c r="K7">
        <v>0</v>
      </c>
      <c r="L7" s="3">
        <v>46163.319444444445</v>
      </c>
      <c r="M7" s="3">
        <v>46163.388888888891</v>
      </c>
    </row>
    <row r="8" spans="1:28" s="4" customFormat="1" ht="15.75" thickBot="1" x14ac:dyDescent="0.3">
      <c r="A8" s="4" t="s">
        <v>21</v>
      </c>
      <c r="B8" s="4" t="s">
        <v>27</v>
      </c>
      <c r="C8" s="4">
        <v>1</v>
      </c>
      <c r="E8" s="4" t="s">
        <v>40</v>
      </c>
      <c r="F8" s="4" t="s">
        <v>33</v>
      </c>
      <c r="G8" s="4" t="s">
        <v>34</v>
      </c>
      <c r="H8" s="4">
        <v>1.7</v>
      </c>
      <c r="I8" s="4">
        <v>1.7</v>
      </c>
      <c r="J8" s="4">
        <v>12000</v>
      </c>
      <c r="K8" s="4">
        <v>0</v>
      </c>
      <c r="L8" s="40">
        <v>46163.395833333336</v>
      </c>
      <c r="M8" s="40">
        <v>46163.465277777781</v>
      </c>
    </row>
    <row r="9" spans="1:28" s="13" customFormat="1" x14ac:dyDescent="0.25">
      <c r="A9" s="13" t="s">
        <v>21</v>
      </c>
      <c r="B9" s="13" t="s">
        <v>27</v>
      </c>
      <c r="C9" s="13">
        <v>1</v>
      </c>
      <c r="E9" s="13" t="s">
        <v>1302</v>
      </c>
      <c r="F9" s="13" t="s">
        <v>41</v>
      </c>
      <c r="G9" s="13" t="s">
        <v>42</v>
      </c>
      <c r="H9" s="13">
        <v>2.8</v>
      </c>
      <c r="I9" s="13">
        <v>2.8</v>
      </c>
      <c r="J9" s="13">
        <v>19800</v>
      </c>
      <c r="K9" s="13">
        <v>0</v>
      </c>
      <c r="L9" s="47"/>
      <c r="M9" s="47"/>
    </row>
    <row r="10" spans="1:28" s="4" customFormat="1" ht="15.75" thickBot="1" x14ac:dyDescent="0.3">
      <c r="A10" s="4" t="s">
        <v>21</v>
      </c>
      <c r="B10" s="4" t="s">
        <v>27</v>
      </c>
      <c r="C10" s="4">
        <v>1</v>
      </c>
      <c r="E10" s="4" t="s">
        <v>1303</v>
      </c>
      <c r="F10" s="4" t="s">
        <v>41</v>
      </c>
      <c r="G10" s="4" t="s">
        <v>42</v>
      </c>
      <c r="H10" s="4">
        <v>2.8</v>
      </c>
      <c r="I10" s="4">
        <v>2.8</v>
      </c>
      <c r="J10" s="4">
        <v>19800</v>
      </c>
      <c r="K10" s="4">
        <v>0</v>
      </c>
      <c r="L10" s="40"/>
      <c r="M10" s="40"/>
    </row>
    <row r="11" spans="1:28" x14ac:dyDescent="0.25">
      <c r="A11" t="s">
        <v>21</v>
      </c>
      <c r="B11" t="s">
        <v>27</v>
      </c>
      <c r="C11">
        <v>1</v>
      </c>
      <c r="E11" t="s">
        <v>1304</v>
      </c>
      <c r="F11" t="s">
        <v>37</v>
      </c>
      <c r="G11" t="s">
        <v>38</v>
      </c>
      <c r="H11">
        <v>2.12</v>
      </c>
      <c r="I11">
        <v>2.12</v>
      </c>
      <c r="J11">
        <v>15000</v>
      </c>
      <c r="K11">
        <v>0</v>
      </c>
    </row>
    <row r="12" spans="1:28" x14ac:dyDescent="0.25">
      <c r="A12" t="s">
        <v>21</v>
      </c>
      <c r="B12" t="s">
        <v>27</v>
      </c>
      <c r="C12">
        <v>1</v>
      </c>
      <c r="E12" t="s">
        <v>1305</v>
      </c>
      <c r="F12" t="s">
        <v>37</v>
      </c>
      <c r="G12" t="s">
        <v>38</v>
      </c>
      <c r="H12">
        <v>2.12</v>
      </c>
      <c r="I12">
        <v>2.12</v>
      </c>
      <c r="J12">
        <v>15000</v>
      </c>
      <c r="K12">
        <v>0</v>
      </c>
    </row>
    <row r="13" spans="1:28" x14ac:dyDescent="0.25">
      <c r="A13" t="s">
        <v>21</v>
      </c>
      <c r="B13" t="s">
        <v>27</v>
      </c>
      <c r="C13">
        <v>1</v>
      </c>
      <c r="E13" t="s">
        <v>1306</v>
      </c>
      <c r="F13" t="s">
        <v>37</v>
      </c>
      <c r="G13" t="s">
        <v>38</v>
      </c>
      <c r="H13">
        <v>2.12</v>
      </c>
      <c r="I13">
        <v>2.12</v>
      </c>
      <c r="J13">
        <v>15000</v>
      </c>
      <c r="K13">
        <v>0</v>
      </c>
    </row>
    <row r="14" spans="1:28" x14ac:dyDescent="0.25">
      <c r="A14" t="s">
        <v>21</v>
      </c>
      <c r="B14" t="s">
        <v>27</v>
      </c>
      <c r="C14">
        <v>1</v>
      </c>
      <c r="E14" t="s">
        <v>1307</v>
      </c>
      <c r="F14" t="s">
        <v>37</v>
      </c>
      <c r="G14" t="s">
        <v>38</v>
      </c>
      <c r="H14">
        <v>2.12</v>
      </c>
      <c r="I14">
        <v>2.12</v>
      </c>
      <c r="J14">
        <v>15000</v>
      </c>
      <c r="K14">
        <v>0</v>
      </c>
    </row>
    <row r="15" spans="1:28" x14ac:dyDescent="0.25">
      <c r="A15" t="s">
        <v>21</v>
      </c>
      <c r="B15" t="s">
        <v>27</v>
      </c>
      <c r="C15">
        <v>1</v>
      </c>
      <c r="E15" t="s">
        <v>1308</v>
      </c>
      <c r="F15" t="s">
        <v>37</v>
      </c>
      <c r="G15" t="s">
        <v>38</v>
      </c>
      <c r="H15">
        <v>2.12</v>
      </c>
      <c r="I15">
        <v>2.12</v>
      </c>
      <c r="J15">
        <v>15000</v>
      </c>
      <c r="K15">
        <v>0</v>
      </c>
    </row>
    <row r="16" spans="1:28" x14ac:dyDescent="0.25">
      <c r="A16" t="s">
        <v>21</v>
      </c>
      <c r="B16" t="s">
        <v>27</v>
      </c>
      <c r="C16">
        <v>1</v>
      </c>
      <c r="E16" t="s">
        <v>1309</v>
      </c>
      <c r="F16" t="s">
        <v>37</v>
      </c>
      <c r="G16" t="s">
        <v>38</v>
      </c>
      <c r="H16">
        <v>2.12</v>
      </c>
      <c r="I16">
        <v>2.12</v>
      </c>
      <c r="J16">
        <v>15000</v>
      </c>
      <c r="K16">
        <v>0</v>
      </c>
    </row>
    <row r="17" spans="1:13" x14ac:dyDescent="0.25">
      <c r="A17" t="s">
        <v>21</v>
      </c>
      <c r="B17" t="s">
        <v>27</v>
      </c>
      <c r="C17">
        <v>1</v>
      </c>
      <c r="E17" t="s">
        <v>1310</v>
      </c>
      <c r="F17" t="s">
        <v>37</v>
      </c>
      <c r="G17" t="s">
        <v>38</v>
      </c>
      <c r="H17">
        <v>2.12</v>
      </c>
      <c r="I17">
        <v>2.12</v>
      </c>
      <c r="J17">
        <v>15000</v>
      </c>
      <c r="K17">
        <v>0</v>
      </c>
    </row>
    <row r="18" spans="1:13" x14ac:dyDescent="0.25">
      <c r="A18" t="s">
        <v>21</v>
      </c>
      <c r="B18" t="s">
        <v>27</v>
      </c>
      <c r="C18">
        <v>1</v>
      </c>
      <c r="E18" t="s">
        <v>1311</v>
      </c>
      <c r="F18" t="s">
        <v>37</v>
      </c>
      <c r="G18" t="s">
        <v>38</v>
      </c>
      <c r="H18">
        <v>2.12</v>
      </c>
      <c r="I18">
        <v>2.12</v>
      </c>
      <c r="J18">
        <v>15000</v>
      </c>
      <c r="K18">
        <v>0</v>
      </c>
    </row>
    <row r="19" spans="1:13" x14ac:dyDescent="0.25">
      <c r="A19" t="s">
        <v>21</v>
      </c>
      <c r="B19" t="s">
        <v>27</v>
      </c>
      <c r="C19">
        <v>1</v>
      </c>
      <c r="E19" t="s">
        <v>1312</v>
      </c>
      <c r="F19" t="s">
        <v>37</v>
      </c>
      <c r="G19" t="s">
        <v>38</v>
      </c>
      <c r="H19">
        <v>2.12</v>
      </c>
      <c r="I19">
        <v>2.12</v>
      </c>
      <c r="J19">
        <v>15000</v>
      </c>
      <c r="K19">
        <v>0</v>
      </c>
    </row>
    <row r="20" spans="1:13" x14ac:dyDescent="0.25">
      <c r="A20" t="s">
        <v>21</v>
      </c>
      <c r="B20" t="s">
        <v>27</v>
      </c>
      <c r="C20">
        <v>1</v>
      </c>
      <c r="E20" t="s">
        <v>1313</v>
      </c>
      <c r="F20" t="s">
        <v>37</v>
      </c>
      <c r="G20" t="s">
        <v>38</v>
      </c>
      <c r="H20">
        <v>2.12</v>
      </c>
      <c r="I20">
        <v>2.12</v>
      </c>
      <c r="J20">
        <v>15000</v>
      </c>
      <c r="K20">
        <v>0</v>
      </c>
    </row>
    <row r="21" spans="1:13" x14ac:dyDescent="0.25">
      <c r="A21" t="s">
        <v>21</v>
      </c>
      <c r="B21" t="s">
        <v>27</v>
      </c>
      <c r="C21">
        <v>1</v>
      </c>
      <c r="E21" t="s">
        <v>1314</v>
      </c>
      <c r="F21" t="s">
        <v>37</v>
      </c>
      <c r="G21" t="s">
        <v>38</v>
      </c>
      <c r="H21">
        <v>2.12</v>
      </c>
      <c r="I21">
        <v>2.12</v>
      </c>
      <c r="J21">
        <v>15000</v>
      </c>
      <c r="K21">
        <v>0</v>
      </c>
    </row>
    <row r="22" spans="1:13" x14ac:dyDescent="0.25">
      <c r="A22" t="s">
        <v>21</v>
      </c>
      <c r="B22" t="s">
        <v>27</v>
      </c>
      <c r="C22">
        <v>1</v>
      </c>
      <c r="E22" t="s">
        <v>1315</v>
      </c>
      <c r="F22" t="s">
        <v>37</v>
      </c>
      <c r="G22" t="s">
        <v>38</v>
      </c>
      <c r="H22">
        <v>2.12</v>
      </c>
      <c r="I22">
        <v>2.12</v>
      </c>
      <c r="J22">
        <v>15000</v>
      </c>
      <c r="K22">
        <v>0</v>
      </c>
    </row>
    <row r="23" spans="1:13" x14ac:dyDescent="0.25">
      <c r="A23" t="s">
        <v>21</v>
      </c>
      <c r="B23" t="s">
        <v>27</v>
      </c>
      <c r="C23">
        <v>1</v>
      </c>
      <c r="E23" t="s">
        <v>1316</v>
      </c>
      <c r="F23" t="s">
        <v>37</v>
      </c>
      <c r="G23" t="s">
        <v>38</v>
      </c>
      <c r="H23">
        <v>2.12</v>
      </c>
      <c r="I23">
        <v>2.12</v>
      </c>
      <c r="J23">
        <v>15000</v>
      </c>
      <c r="K23">
        <v>0</v>
      </c>
    </row>
    <row r="24" spans="1:13" x14ac:dyDescent="0.25">
      <c r="A24" t="s">
        <v>21</v>
      </c>
      <c r="B24" t="s">
        <v>27</v>
      </c>
      <c r="C24">
        <v>1</v>
      </c>
      <c r="E24" t="s">
        <v>1317</v>
      </c>
      <c r="F24" t="s">
        <v>37</v>
      </c>
      <c r="G24" t="s">
        <v>38</v>
      </c>
      <c r="H24">
        <v>2.12</v>
      </c>
      <c r="I24">
        <v>2.12</v>
      </c>
      <c r="J24">
        <v>15000</v>
      </c>
      <c r="K24">
        <v>0</v>
      </c>
    </row>
    <row r="25" spans="1:13" x14ac:dyDescent="0.25">
      <c r="A25" t="s">
        <v>21</v>
      </c>
      <c r="B25" t="s">
        <v>27</v>
      </c>
      <c r="C25">
        <v>1</v>
      </c>
      <c r="E25" t="s">
        <v>1318</v>
      </c>
      <c r="F25" t="s">
        <v>37</v>
      </c>
      <c r="G25" t="s">
        <v>38</v>
      </c>
      <c r="H25">
        <v>2.12</v>
      </c>
      <c r="I25">
        <v>2.12</v>
      </c>
      <c r="J25">
        <v>15000</v>
      </c>
      <c r="K25">
        <v>0</v>
      </c>
    </row>
    <row r="26" spans="1:13" x14ac:dyDescent="0.25">
      <c r="A26" t="s">
        <v>21</v>
      </c>
      <c r="B26" t="s">
        <v>27</v>
      </c>
      <c r="C26">
        <v>1</v>
      </c>
      <c r="E26" t="s">
        <v>1319</v>
      </c>
      <c r="F26" t="s">
        <v>37</v>
      </c>
      <c r="G26" t="s">
        <v>38</v>
      </c>
      <c r="H26">
        <v>2.12</v>
      </c>
      <c r="I26">
        <v>2.12</v>
      </c>
      <c r="J26">
        <v>15000</v>
      </c>
      <c r="K26">
        <v>0</v>
      </c>
    </row>
    <row r="27" spans="1:13" x14ac:dyDescent="0.25">
      <c r="A27" t="s">
        <v>21</v>
      </c>
      <c r="B27" t="s">
        <v>27</v>
      </c>
      <c r="C27">
        <v>1</v>
      </c>
      <c r="E27" t="s">
        <v>1320</v>
      </c>
      <c r="F27" t="s">
        <v>37</v>
      </c>
      <c r="G27" t="s">
        <v>38</v>
      </c>
      <c r="H27">
        <v>2.12</v>
      </c>
      <c r="I27">
        <v>2.12</v>
      </c>
      <c r="J27">
        <v>15000</v>
      </c>
      <c r="K27">
        <v>0</v>
      </c>
    </row>
    <row r="28" spans="1:13" x14ac:dyDescent="0.25">
      <c r="A28" t="s">
        <v>21</v>
      </c>
      <c r="B28" t="s">
        <v>27</v>
      </c>
      <c r="C28">
        <v>1</v>
      </c>
      <c r="E28" t="s">
        <v>1321</v>
      </c>
      <c r="F28" t="s">
        <v>37</v>
      </c>
      <c r="G28" t="s">
        <v>38</v>
      </c>
      <c r="H28">
        <v>2.12</v>
      </c>
      <c r="I28">
        <v>2.12</v>
      </c>
      <c r="J28">
        <v>15000</v>
      </c>
      <c r="K28">
        <v>0</v>
      </c>
    </row>
    <row r="29" spans="1:13" s="4" customFormat="1" ht="15.75" thickBot="1" x14ac:dyDescent="0.3">
      <c r="A29" s="4" t="s">
        <v>21</v>
      </c>
      <c r="B29" s="4" t="s">
        <v>27</v>
      </c>
      <c r="C29" s="4">
        <v>1</v>
      </c>
      <c r="E29" s="4" t="s">
        <v>1322</v>
      </c>
      <c r="F29" s="4" t="s">
        <v>37</v>
      </c>
      <c r="G29" s="4" t="s">
        <v>38</v>
      </c>
      <c r="H29" s="4">
        <v>2.12</v>
      </c>
      <c r="I29" s="4">
        <v>2.12</v>
      </c>
      <c r="J29" s="4">
        <v>15000</v>
      </c>
      <c r="K29" s="4">
        <v>0</v>
      </c>
      <c r="L29" s="40"/>
      <c r="M29" s="40"/>
    </row>
    <row r="30" spans="1:13" x14ac:dyDescent="0.25">
      <c r="A30" t="s">
        <v>21</v>
      </c>
      <c r="B30" t="s">
        <v>27</v>
      </c>
      <c r="C30">
        <v>1</v>
      </c>
      <c r="E30" t="s">
        <v>1323</v>
      </c>
      <c r="F30" t="s">
        <v>45</v>
      </c>
      <c r="G30" t="s">
        <v>46</v>
      </c>
      <c r="H30">
        <v>2.12</v>
      </c>
      <c r="I30">
        <v>2.12</v>
      </c>
      <c r="J30">
        <v>15000</v>
      </c>
      <c r="K30">
        <v>0</v>
      </c>
    </row>
    <row r="31" spans="1:13" x14ac:dyDescent="0.25">
      <c r="A31" t="s">
        <v>21</v>
      </c>
      <c r="B31" t="s">
        <v>27</v>
      </c>
      <c r="C31">
        <v>1</v>
      </c>
      <c r="E31" t="s">
        <v>1324</v>
      </c>
      <c r="F31" t="s">
        <v>45</v>
      </c>
      <c r="G31" t="s">
        <v>46</v>
      </c>
      <c r="H31">
        <v>2.12</v>
      </c>
      <c r="I31">
        <v>2.12</v>
      </c>
      <c r="J31">
        <v>15000</v>
      </c>
      <c r="K31">
        <v>0</v>
      </c>
    </row>
    <row r="32" spans="1:13" x14ac:dyDescent="0.25">
      <c r="A32" t="s">
        <v>21</v>
      </c>
      <c r="B32" t="s">
        <v>27</v>
      </c>
      <c r="C32">
        <v>1</v>
      </c>
      <c r="E32" t="s">
        <v>1325</v>
      </c>
      <c r="F32" t="s">
        <v>45</v>
      </c>
      <c r="G32" t="s">
        <v>46</v>
      </c>
      <c r="H32">
        <v>2.12</v>
      </c>
      <c r="I32">
        <v>2.12</v>
      </c>
      <c r="J32">
        <v>15000</v>
      </c>
      <c r="K32">
        <v>0</v>
      </c>
    </row>
    <row r="33" spans="1:13" x14ac:dyDescent="0.25">
      <c r="A33" t="s">
        <v>21</v>
      </c>
      <c r="B33" t="s">
        <v>27</v>
      </c>
      <c r="C33">
        <v>1</v>
      </c>
      <c r="E33" t="s">
        <v>1326</v>
      </c>
      <c r="F33" t="s">
        <v>45</v>
      </c>
      <c r="G33" t="s">
        <v>46</v>
      </c>
      <c r="H33">
        <v>2.12</v>
      </c>
      <c r="I33">
        <v>2.12</v>
      </c>
      <c r="J33">
        <v>15000</v>
      </c>
      <c r="K33">
        <v>0</v>
      </c>
    </row>
    <row r="34" spans="1:13" x14ac:dyDescent="0.25">
      <c r="A34" t="s">
        <v>21</v>
      </c>
      <c r="B34" t="s">
        <v>27</v>
      </c>
      <c r="C34">
        <v>1</v>
      </c>
      <c r="E34" t="s">
        <v>1327</v>
      </c>
      <c r="F34" t="s">
        <v>45</v>
      </c>
      <c r="G34" t="s">
        <v>46</v>
      </c>
      <c r="H34">
        <v>2.12</v>
      </c>
      <c r="I34">
        <v>2.12</v>
      </c>
      <c r="J34">
        <v>15000</v>
      </c>
      <c r="K34">
        <v>0</v>
      </c>
    </row>
    <row r="35" spans="1:13" x14ac:dyDescent="0.25">
      <c r="A35" t="s">
        <v>21</v>
      </c>
      <c r="B35" t="s">
        <v>27</v>
      </c>
      <c r="C35">
        <v>1</v>
      </c>
      <c r="E35" t="s">
        <v>1328</v>
      </c>
      <c r="F35" t="s">
        <v>45</v>
      </c>
      <c r="G35" t="s">
        <v>46</v>
      </c>
      <c r="H35">
        <v>2.12</v>
      </c>
      <c r="I35">
        <v>2.12</v>
      </c>
      <c r="J35">
        <v>15000</v>
      </c>
      <c r="K35">
        <v>0</v>
      </c>
    </row>
    <row r="36" spans="1:13" x14ac:dyDescent="0.25">
      <c r="A36" t="s">
        <v>21</v>
      </c>
      <c r="B36" t="s">
        <v>27</v>
      </c>
      <c r="C36">
        <v>1</v>
      </c>
      <c r="E36" t="s">
        <v>1329</v>
      </c>
      <c r="F36" t="s">
        <v>45</v>
      </c>
      <c r="G36" t="s">
        <v>46</v>
      </c>
      <c r="H36">
        <v>2.12</v>
      </c>
      <c r="I36">
        <v>2.12</v>
      </c>
      <c r="J36">
        <v>15000</v>
      </c>
      <c r="K36">
        <v>0</v>
      </c>
    </row>
    <row r="37" spans="1:13" s="4" customFormat="1" ht="15.75" thickBot="1" x14ac:dyDescent="0.3">
      <c r="A37" s="4" t="s">
        <v>21</v>
      </c>
      <c r="B37" s="4" t="s">
        <v>27</v>
      </c>
      <c r="C37" s="4">
        <v>1</v>
      </c>
      <c r="E37" s="4" t="s">
        <v>1330</v>
      </c>
      <c r="F37" s="4" t="s">
        <v>45</v>
      </c>
      <c r="G37" s="4" t="s">
        <v>46</v>
      </c>
      <c r="H37" s="4">
        <v>2.12</v>
      </c>
      <c r="I37" s="4">
        <v>2.12</v>
      </c>
      <c r="J37" s="4">
        <v>15000</v>
      </c>
      <c r="K37" s="4">
        <v>0</v>
      </c>
      <c r="L37" s="40"/>
      <c r="M37" s="40"/>
    </row>
    <row r="38" spans="1:13" s="13" customFormat="1" x14ac:dyDescent="0.25">
      <c r="A38" s="13" t="s">
        <v>21</v>
      </c>
      <c r="B38" s="13" t="s">
        <v>27</v>
      </c>
      <c r="C38" s="13">
        <v>1</v>
      </c>
      <c r="E38" s="13" t="s">
        <v>1331</v>
      </c>
      <c r="F38" s="13" t="s">
        <v>43</v>
      </c>
      <c r="G38" s="13" t="s">
        <v>44</v>
      </c>
      <c r="H38" s="13">
        <v>2.12</v>
      </c>
      <c r="I38" s="13">
        <v>2.12</v>
      </c>
      <c r="J38" s="13">
        <v>16000</v>
      </c>
      <c r="K38" s="13">
        <v>0</v>
      </c>
      <c r="L38" s="47"/>
      <c r="M38" s="47"/>
    </row>
    <row r="39" spans="1:13" x14ac:dyDescent="0.25">
      <c r="A39" t="s">
        <v>21</v>
      </c>
      <c r="B39" t="s">
        <v>27</v>
      </c>
      <c r="C39">
        <v>1</v>
      </c>
      <c r="E39" t="s">
        <v>1332</v>
      </c>
      <c r="F39" t="s">
        <v>43</v>
      </c>
      <c r="G39" t="s">
        <v>44</v>
      </c>
      <c r="H39">
        <v>2.12</v>
      </c>
      <c r="I39">
        <v>2.12</v>
      </c>
      <c r="J39">
        <v>16000</v>
      </c>
      <c r="K39">
        <v>0</v>
      </c>
    </row>
    <row r="40" spans="1:13" x14ac:dyDescent="0.25">
      <c r="A40" t="s">
        <v>21</v>
      </c>
      <c r="B40" t="s">
        <v>27</v>
      </c>
      <c r="C40">
        <v>1</v>
      </c>
      <c r="E40" t="s">
        <v>1333</v>
      </c>
      <c r="F40" t="s">
        <v>43</v>
      </c>
      <c r="G40" t="s">
        <v>44</v>
      </c>
      <c r="H40">
        <v>2.12</v>
      </c>
      <c r="I40">
        <v>2.12</v>
      </c>
      <c r="J40">
        <v>16000</v>
      </c>
      <c r="K40">
        <v>0</v>
      </c>
    </row>
    <row r="41" spans="1:13" x14ac:dyDescent="0.25">
      <c r="A41" t="s">
        <v>21</v>
      </c>
      <c r="B41" t="s">
        <v>27</v>
      </c>
      <c r="C41">
        <v>1</v>
      </c>
      <c r="E41" t="s">
        <v>1334</v>
      </c>
      <c r="F41" t="s">
        <v>43</v>
      </c>
      <c r="G41" t="s">
        <v>44</v>
      </c>
      <c r="H41">
        <v>2.12</v>
      </c>
      <c r="I41">
        <v>2.12</v>
      </c>
      <c r="J41">
        <v>16000</v>
      </c>
      <c r="K41">
        <v>0</v>
      </c>
    </row>
    <row r="42" spans="1:13" x14ac:dyDescent="0.25">
      <c r="A42" t="s">
        <v>21</v>
      </c>
      <c r="B42" t="s">
        <v>27</v>
      </c>
      <c r="C42">
        <v>1</v>
      </c>
      <c r="E42" t="s">
        <v>1335</v>
      </c>
      <c r="F42" t="s">
        <v>43</v>
      </c>
      <c r="G42" t="s">
        <v>44</v>
      </c>
      <c r="H42">
        <v>2.12</v>
      </c>
      <c r="I42">
        <v>2.12</v>
      </c>
      <c r="J42">
        <v>16000</v>
      </c>
      <c r="K42">
        <v>0</v>
      </c>
    </row>
    <row r="43" spans="1:13" x14ac:dyDescent="0.25">
      <c r="A43" t="s">
        <v>21</v>
      </c>
      <c r="B43" t="s">
        <v>27</v>
      </c>
      <c r="C43">
        <v>1</v>
      </c>
      <c r="E43" t="s">
        <v>1336</v>
      </c>
      <c r="F43" t="s">
        <v>43</v>
      </c>
      <c r="G43" t="s">
        <v>44</v>
      </c>
      <c r="H43">
        <v>2.12</v>
      </c>
      <c r="I43">
        <v>2.12</v>
      </c>
      <c r="J43">
        <v>15000</v>
      </c>
      <c r="K43">
        <v>0</v>
      </c>
    </row>
    <row r="44" spans="1:13" x14ac:dyDescent="0.25">
      <c r="A44" t="s">
        <v>21</v>
      </c>
      <c r="B44" t="s">
        <v>27</v>
      </c>
      <c r="C44">
        <v>1</v>
      </c>
      <c r="E44" t="s">
        <v>1337</v>
      </c>
      <c r="F44" t="s">
        <v>43</v>
      </c>
      <c r="G44" t="s">
        <v>44</v>
      </c>
      <c r="H44">
        <v>2.12</v>
      </c>
      <c r="I44">
        <v>2.12</v>
      </c>
      <c r="J44">
        <v>15000</v>
      </c>
      <c r="K44">
        <v>0</v>
      </c>
    </row>
    <row r="45" spans="1:13" x14ac:dyDescent="0.25">
      <c r="A45" t="s">
        <v>21</v>
      </c>
      <c r="B45" t="s">
        <v>27</v>
      </c>
      <c r="C45">
        <v>1</v>
      </c>
      <c r="E45" t="s">
        <v>1338</v>
      </c>
      <c r="F45" t="s">
        <v>43</v>
      </c>
      <c r="G45" t="s">
        <v>44</v>
      </c>
      <c r="H45">
        <v>2.12</v>
      </c>
      <c r="I45">
        <v>2.12</v>
      </c>
      <c r="J45">
        <v>15000</v>
      </c>
      <c r="K45">
        <v>0</v>
      </c>
    </row>
    <row r="46" spans="1:13" x14ac:dyDescent="0.25">
      <c r="A46" t="s">
        <v>21</v>
      </c>
      <c r="B46" t="s">
        <v>27</v>
      </c>
      <c r="C46">
        <v>1</v>
      </c>
      <c r="E46" t="s">
        <v>1339</v>
      </c>
      <c r="F46" t="s">
        <v>43</v>
      </c>
      <c r="G46" t="s">
        <v>44</v>
      </c>
      <c r="H46">
        <v>2.12</v>
      </c>
      <c r="I46">
        <v>2.12</v>
      </c>
      <c r="J46">
        <v>15000</v>
      </c>
      <c r="K46">
        <v>0</v>
      </c>
    </row>
    <row r="47" spans="1:13" x14ac:dyDescent="0.25">
      <c r="A47" t="s">
        <v>21</v>
      </c>
      <c r="B47" t="s">
        <v>27</v>
      </c>
      <c r="C47">
        <v>1</v>
      </c>
      <c r="E47" t="s">
        <v>1340</v>
      </c>
      <c r="F47" t="s">
        <v>43</v>
      </c>
      <c r="G47" t="s">
        <v>44</v>
      </c>
      <c r="H47">
        <v>2.12</v>
      </c>
      <c r="I47">
        <v>2.12</v>
      </c>
      <c r="J47">
        <v>15000</v>
      </c>
      <c r="K47">
        <v>0</v>
      </c>
    </row>
    <row r="48" spans="1:13" x14ac:dyDescent="0.25">
      <c r="A48" t="s">
        <v>21</v>
      </c>
      <c r="B48" t="s">
        <v>27</v>
      </c>
      <c r="C48">
        <v>1</v>
      </c>
      <c r="E48" t="s">
        <v>1341</v>
      </c>
      <c r="F48" t="s">
        <v>43</v>
      </c>
      <c r="G48" t="s">
        <v>44</v>
      </c>
      <c r="H48">
        <v>2.12</v>
      </c>
      <c r="I48">
        <v>2.12</v>
      </c>
      <c r="J48">
        <v>15000</v>
      </c>
      <c r="K48">
        <v>0</v>
      </c>
    </row>
    <row r="49" spans="1:28" x14ac:dyDescent="0.25">
      <c r="A49" t="s">
        <v>21</v>
      </c>
      <c r="B49" t="s">
        <v>27</v>
      </c>
      <c r="C49">
        <v>1</v>
      </c>
      <c r="E49" t="s">
        <v>1342</v>
      </c>
      <c r="F49" t="s">
        <v>43</v>
      </c>
      <c r="G49" t="s">
        <v>44</v>
      </c>
      <c r="H49">
        <v>2.12</v>
      </c>
      <c r="I49">
        <v>2.12</v>
      </c>
      <c r="J49">
        <v>15000</v>
      </c>
      <c r="K49">
        <v>0</v>
      </c>
    </row>
    <row r="50" spans="1:28" x14ac:dyDescent="0.25">
      <c r="A50" t="s">
        <v>21</v>
      </c>
      <c r="B50" t="s">
        <v>27</v>
      </c>
      <c r="C50">
        <v>1</v>
      </c>
      <c r="E50" t="s">
        <v>1343</v>
      </c>
      <c r="F50" t="s">
        <v>43</v>
      </c>
      <c r="G50" t="s">
        <v>44</v>
      </c>
      <c r="H50">
        <v>2.12</v>
      </c>
      <c r="I50">
        <v>2.12</v>
      </c>
      <c r="J50">
        <v>15000</v>
      </c>
      <c r="K50">
        <v>0</v>
      </c>
    </row>
    <row r="51" spans="1:28" x14ac:dyDescent="0.25">
      <c r="A51" t="s">
        <v>21</v>
      </c>
      <c r="B51" t="s">
        <v>27</v>
      </c>
      <c r="C51">
        <v>1</v>
      </c>
      <c r="E51" t="s">
        <v>1344</v>
      </c>
      <c r="F51" t="s">
        <v>43</v>
      </c>
      <c r="G51" t="s">
        <v>44</v>
      </c>
      <c r="H51">
        <v>2.12</v>
      </c>
      <c r="I51">
        <v>2.12</v>
      </c>
      <c r="J51">
        <v>15000</v>
      </c>
      <c r="K51">
        <v>0</v>
      </c>
    </row>
    <row r="52" spans="1:28" s="4" customFormat="1" ht="15.75" thickBot="1" x14ac:dyDescent="0.3">
      <c r="A52" s="4" t="s">
        <v>21</v>
      </c>
      <c r="B52" s="4" t="s">
        <v>27</v>
      </c>
      <c r="C52" s="4">
        <v>1</v>
      </c>
      <c r="E52" s="4" t="s">
        <v>1345</v>
      </c>
      <c r="F52" s="4" t="s">
        <v>43</v>
      </c>
      <c r="G52" s="4" t="s">
        <v>44</v>
      </c>
      <c r="H52" s="4">
        <v>2.12</v>
      </c>
      <c r="I52" s="4">
        <v>2.12</v>
      </c>
      <c r="J52" s="4">
        <v>15000</v>
      </c>
      <c r="K52" s="4">
        <v>0</v>
      </c>
      <c r="L52" s="40"/>
      <c r="M52" s="40"/>
    </row>
    <row r="53" spans="1:28" x14ac:dyDescent="0.25">
      <c r="A53" t="s">
        <v>21</v>
      </c>
      <c r="B53" t="s">
        <v>47</v>
      </c>
      <c r="C53">
        <v>0.5</v>
      </c>
      <c r="E53" t="s">
        <v>1346</v>
      </c>
      <c r="F53" t="s">
        <v>48</v>
      </c>
      <c r="G53" t="s">
        <v>49</v>
      </c>
      <c r="H53">
        <v>11.33</v>
      </c>
      <c r="I53">
        <v>22.66</v>
      </c>
      <c r="J53">
        <v>16000</v>
      </c>
      <c r="K53">
        <v>0</v>
      </c>
      <c r="L53" s="3">
        <v>46181.729166666664</v>
      </c>
      <c r="M53" s="3">
        <v>46182.666666666664</v>
      </c>
      <c r="AA53" t="s">
        <v>25</v>
      </c>
      <c r="AB53" t="s">
        <v>25</v>
      </c>
    </row>
    <row r="54" spans="1:28" x14ac:dyDescent="0.25">
      <c r="A54" t="s">
        <v>21</v>
      </c>
      <c r="B54" t="s">
        <v>47</v>
      </c>
      <c r="C54">
        <v>0.5</v>
      </c>
      <c r="E54" t="s">
        <v>1347</v>
      </c>
      <c r="F54" t="s">
        <v>48</v>
      </c>
      <c r="G54" t="s">
        <v>49</v>
      </c>
      <c r="H54">
        <v>11.33</v>
      </c>
      <c r="I54">
        <v>22.66</v>
      </c>
      <c r="J54">
        <v>16000</v>
      </c>
      <c r="K54">
        <v>0</v>
      </c>
      <c r="L54" s="3">
        <v>46181.729166666664</v>
      </c>
      <c r="M54" s="3">
        <v>46182.666666666664</v>
      </c>
      <c r="AA54" t="s">
        <v>25</v>
      </c>
      <c r="AB54" t="s">
        <v>25</v>
      </c>
    </row>
    <row r="55" spans="1:28" x14ac:dyDescent="0.25">
      <c r="A55" t="s">
        <v>21</v>
      </c>
      <c r="B55" t="s">
        <v>47</v>
      </c>
      <c r="C55">
        <v>0.5</v>
      </c>
      <c r="E55" t="s">
        <v>1348</v>
      </c>
      <c r="F55" t="s">
        <v>48</v>
      </c>
      <c r="G55" t="s">
        <v>49</v>
      </c>
      <c r="H55">
        <v>11.33</v>
      </c>
      <c r="I55">
        <v>22.66</v>
      </c>
      <c r="J55">
        <v>16000</v>
      </c>
      <c r="K55">
        <v>0</v>
      </c>
      <c r="L55" s="3">
        <v>46181.729166666664</v>
      </c>
      <c r="M55" s="3">
        <v>46182.666666666664</v>
      </c>
      <c r="AA55" t="s">
        <v>25</v>
      </c>
      <c r="AB55" t="s">
        <v>25</v>
      </c>
    </row>
    <row r="56" spans="1:28" x14ac:dyDescent="0.25">
      <c r="A56" t="s">
        <v>21</v>
      </c>
      <c r="B56" t="s">
        <v>47</v>
      </c>
      <c r="C56">
        <v>0.5</v>
      </c>
      <c r="E56" t="s">
        <v>1349</v>
      </c>
      <c r="F56" t="s">
        <v>48</v>
      </c>
      <c r="G56" t="s">
        <v>49</v>
      </c>
      <c r="H56">
        <v>11.33</v>
      </c>
      <c r="I56">
        <v>22.66</v>
      </c>
      <c r="J56">
        <v>16000</v>
      </c>
      <c r="K56">
        <v>0</v>
      </c>
      <c r="L56" s="3">
        <v>46181.729166666664</v>
      </c>
      <c r="M56" s="3">
        <v>46182.666666666664</v>
      </c>
      <c r="AA56" t="s">
        <v>25</v>
      </c>
      <c r="AB56" t="s">
        <v>25</v>
      </c>
    </row>
    <row r="57" spans="1:28" x14ac:dyDescent="0.25">
      <c r="A57" t="s">
        <v>21</v>
      </c>
      <c r="B57" t="s">
        <v>47</v>
      </c>
      <c r="C57">
        <v>0.5</v>
      </c>
      <c r="E57" t="s">
        <v>1350</v>
      </c>
      <c r="F57" t="s">
        <v>48</v>
      </c>
      <c r="G57" t="s">
        <v>49</v>
      </c>
      <c r="H57">
        <v>11.33</v>
      </c>
      <c r="I57">
        <v>22.66</v>
      </c>
      <c r="J57">
        <v>16000</v>
      </c>
      <c r="K57">
        <v>0</v>
      </c>
      <c r="L57" s="3">
        <v>46181.729166666664</v>
      </c>
      <c r="M57" s="3">
        <v>46182.666666666664</v>
      </c>
      <c r="AA57" t="s">
        <v>25</v>
      </c>
      <c r="AB57" t="s">
        <v>25</v>
      </c>
    </row>
    <row r="58" spans="1:28" x14ac:dyDescent="0.25">
      <c r="A58" t="s">
        <v>21</v>
      </c>
      <c r="B58" t="s">
        <v>47</v>
      </c>
      <c r="C58">
        <v>0.5</v>
      </c>
      <c r="E58" t="s">
        <v>1351</v>
      </c>
      <c r="F58" t="s">
        <v>48</v>
      </c>
      <c r="G58" t="s">
        <v>49</v>
      </c>
      <c r="H58">
        <v>11.33</v>
      </c>
      <c r="I58">
        <v>22.66</v>
      </c>
      <c r="J58">
        <v>16000</v>
      </c>
      <c r="K58">
        <v>0</v>
      </c>
      <c r="L58" s="3">
        <v>46181.729166666664</v>
      </c>
      <c r="M58" s="3">
        <v>46182.666666666664</v>
      </c>
      <c r="AA58" t="s">
        <v>25</v>
      </c>
      <c r="AB58" t="s">
        <v>25</v>
      </c>
    </row>
    <row r="59" spans="1:28" x14ac:dyDescent="0.25">
      <c r="A59" t="s">
        <v>21</v>
      </c>
      <c r="B59" t="s">
        <v>47</v>
      </c>
      <c r="C59">
        <v>0.5</v>
      </c>
      <c r="E59" t="s">
        <v>1352</v>
      </c>
      <c r="F59" t="s">
        <v>48</v>
      </c>
      <c r="G59" t="s">
        <v>49</v>
      </c>
      <c r="H59">
        <v>11.33</v>
      </c>
      <c r="I59">
        <v>22.66</v>
      </c>
      <c r="J59">
        <v>16000</v>
      </c>
      <c r="K59">
        <v>0</v>
      </c>
      <c r="L59" s="3">
        <v>46181.729166666664</v>
      </c>
      <c r="M59" s="3">
        <v>46182.666666666664</v>
      </c>
      <c r="AA59" t="s">
        <v>25</v>
      </c>
      <c r="AB59" t="s">
        <v>25</v>
      </c>
    </row>
    <row r="60" spans="1:28" s="4" customFormat="1" ht="15.75" thickBot="1" x14ac:dyDescent="0.3">
      <c r="A60" s="4" t="s">
        <v>21</v>
      </c>
      <c r="B60" s="4" t="s">
        <v>47</v>
      </c>
      <c r="C60" s="4">
        <v>0.5</v>
      </c>
      <c r="E60" s="4" t="s">
        <v>1353</v>
      </c>
      <c r="F60" s="4" t="s">
        <v>48</v>
      </c>
      <c r="G60" s="4" t="s">
        <v>49</v>
      </c>
      <c r="H60" s="4">
        <v>11.33</v>
      </c>
      <c r="I60" s="4">
        <v>22.66</v>
      </c>
      <c r="J60" s="4">
        <v>16000</v>
      </c>
      <c r="K60" s="4">
        <v>0</v>
      </c>
      <c r="L60" s="40">
        <v>46181.729166666664</v>
      </c>
      <c r="M60" s="40">
        <v>46182.666666666664</v>
      </c>
      <c r="AA60" s="4" t="s">
        <v>25</v>
      </c>
      <c r="AB60" s="4" t="s">
        <v>25</v>
      </c>
    </row>
    <row r="61" spans="1:28" x14ac:dyDescent="0.25">
      <c r="A61" t="s">
        <v>21</v>
      </c>
      <c r="B61" t="s">
        <v>50</v>
      </c>
      <c r="C61">
        <v>0.5</v>
      </c>
      <c r="E61" t="s">
        <v>51</v>
      </c>
      <c r="F61" t="s">
        <v>52</v>
      </c>
      <c r="G61" t="s">
        <v>53</v>
      </c>
      <c r="H61">
        <v>12.984999999999999</v>
      </c>
      <c r="I61">
        <v>25.97</v>
      </c>
      <c r="J61">
        <v>12000</v>
      </c>
      <c r="K61">
        <v>0</v>
      </c>
      <c r="L61" s="3">
        <v>46171</v>
      </c>
      <c r="M61" s="3">
        <v>46174.076388888891</v>
      </c>
      <c r="AA61" t="s">
        <v>25</v>
      </c>
      <c r="AB61" t="s">
        <v>25</v>
      </c>
    </row>
    <row r="62" spans="1:28" x14ac:dyDescent="0.25">
      <c r="A62" t="s">
        <v>21</v>
      </c>
      <c r="B62" t="s">
        <v>50</v>
      </c>
      <c r="C62">
        <v>0.5</v>
      </c>
      <c r="E62" t="s">
        <v>54</v>
      </c>
      <c r="F62" t="s">
        <v>52</v>
      </c>
      <c r="G62" t="s">
        <v>53</v>
      </c>
      <c r="H62">
        <v>12.984999999999999</v>
      </c>
      <c r="I62">
        <v>25.97</v>
      </c>
      <c r="J62">
        <v>12000</v>
      </c>
      <c r="K62">
        <v>0</v>
      </c>
      <c r="L62" s="3">
        <v>46174.083333333336</v>
      </c>
      <c r="M62" s="3">
        <v>46175.159722222219</v>
      </c>
      <c r="AA62" t="s">
        <v>25</v>
      </c>
      <c r="AB62" t="s">
        <v>25</v>
      </c>
    </row>
    <row r="63" spans="1:28" s="4" customFormat="1" ht="15.75" thickBot="1" x14ac:dyDescent="0.3">
      <c r="A63" s="4" t="s">
        <v>21</v>
      </c>
      <c r="B63" s="4" t="s">
        <v>50</v>
      </c>
      <c r="C63" s="4">
        <v>0.5</v>
      </c>
      <c r="E63" s="4" t="s">
        <v>55</v>
      </c>
      <c r="F63" s="4" t="s">
        <v>52</v>
      </c>
      <c r="G63" s="4" t="s">
        <v>53</v>
      </c>
      <c r="H63" s="4">
        <v>12.984999999999999</v>
      </c>
      <c r="I63" s="4">
        <v>25.97</v>
      </c>
      <c r="J63" s="4">
        <v>12000</v>
      </c>
      <c r="K63" s="4">
        <v>0</v>
      </c>
      <c r="L63" s="40">
        <v>46175.166666666664</v>
      </c>
      <c r="M63" s="40">
        <v>46176.243055555555</v>
      </c>
      <c r="AA63" s="4" t="s">
        <v>25</v>
      </c>
      <c r="AB63" s="4" t="s">
        <v>25</v>
      </c>
    </row>
    <row r="64" spans="1:28" x14ac:dyDescent="0.25">
      <c r="A64" t="s">
        <v>21</v>
      </c>
      <c r="B64" t="s">
        <v>50</v>
      </c>
      <c r="C64">
        <v>0.5</v>
      </c>
      <c r="E64" t="s">
        <v>56</v>
      </c>
      <c r="F64" t="s">
        <v>57</v>
      </c>
      <c r="G64" t="s">
        <v>58</v>
      </c>
      <c r="H64">
        <v>5.6950000000000003</v>
      </c>
      <c r="I64">
        <v>11.39</v>
      </c>
      <c r="J64">
        <v>10000</v>
      </c>
      <c r="K64">
        <v>0</v>
      </c>
      <c r="L64" s="3">
        <v>46176.25</v>
      </c>
      <c r="M64" s="3">
        <v>46176.722222222219</v>
      </c>
      <c r="AA64" t="s">
        <v>25</v>
      </c>
      <c r="AB64" t="s">
        <v>25</v>
      </c>
    </row>
    <row r="65" spans="1:28" x14ac:dyDescent="0.25">
      <c r="A65" t="s">
        <v>21</v>
      </c>
      <c r="B65" t="s">
        <v>50</v>
      </c>
      <c r="C65">
        <v>0.5</v>
      </c>
      <c r="E65" t="s">
        <v>59</v>
      </c>
      <c r="F65" t="s">
        <v>57</v>
      </c>
      <c r="G65" t="s">
        <v>58</v>
      </c>
      <c r="H65">
        <v>5.6950000000000003</v>
      </c>
      <c r="I65">
        <v>11.39</v>
      </c>
      <c r="J65">
        <v>10000</v>
      </c>
      <c r="K65">
        <v>0</v>
      </c>
      <c r="L65" s="3">
        <v>46176.729166666664</v>
      </c>
      <c r="M65" s="3">
        <v>46177.201388888891</v>
      </c>
      <c r="AA65" t="s">
        <v>25</v>
      </c>
      <c r="AB65" t="s">
        <v>25</v>
      </c>
    </row>
    <row r="66" spans="1:28" x14ac:dyDescent="0.25">
      <c r="A66" t="s">
        <v>21</v>
      </c>
      <c r="B66" t="s">
        <v>50</v>
      </c>
      <c r="C66">
        <v>0.5</v>
      </c>
      <c r="E66" t="s">
        <v>60</v>
      </c>
      <c r="F66" t="s">
        <v>57</v>
      </c>
      <c r="G66" t="s">
        <v>58</v>
      </c>
      <c r="H66">
        <v>5.6950000000000003</v>
      </c>
      <c r="I66">
        <v>11.39</v>
      </c>
      <c r="J66">
        <v>10000</v>
      </c>
      <c r="K66">
        <v>0</v>
      </c>
      <c r="L66" s="3">
        <v>46177.208333333336</v>
      </c>
      <c r="M66" s="3">
        <v>46177.680555555555</v>
      </c>
      <c r="AA66" t="s">
        <v>25</v>
      </c>
      <c r="AB66" t="s">
        <v>25</v>
      </c>
    </row>
    <row r="67" spans="1:28" x14ac:dyDescent="0.25">
      <c r="A67" t="s">
        <v>21</v>
      </c>
      <c r="B67" t="s">
        <v>50</v>
      </c>
      <c r="C67">
        <v>0.5</v>
      </c>
      <c r="E67" t="s">
        <v>61</v>
      </c>
      <c r="F67" t="s">
        <v>57</v>
      </c>
      <c r="G67" t="s">
        <v>58</v>
      </c>
      <c r="H67">
        <v>5.6950000000000003</v>
      </c>
      <c r="I67">
        <v>11.39</v>
      </c>
      <c r="J67">
        <v>10000</v>
      </c>
      <c r="K67">
        <v>0</v>
      </c>
      <c r="L67" s="3">
        <v>46177.6875</v>
      </c>
      <c r="M67" s="3">
        <v>46178.159722222219</v>
      </c>
      <c r="AA67" t="s">
        <v>25</v>
      </c>
      <c r="AB67" t="s">
        <v>25</v>
      </c>
    </row>
    <row r="68" spans="1:28" x14ac:dyDescent="0.25">
      <c r="A68" t="s">
        <v>21</v>
      </c>
      <c r="B68" t="s">
        <v>50</v>
      </c>
      <c r="C68">
        <v>0.5</v>
      </c>
      <c r="E68" t="s">
        <v>62</v>
      </c>
      <c r="F68" t="s">
        <v>57</v>
      </c>
      <c r="G68" t="s">
        <v>58</v>
      </c>
      <c r="H68">
        <v>8.5399999999999991</v>
      </c>
      <c r="I68">
        <v>17.079999999999998</v>
      </c>
      <c r="J68">
        <v>15000</v>
      </c>
      <c r="K68">
        <v>0</v>
      </c>
      <c r="L68" s="3">
        <v>46178.166666666664</v>
      </c>
      <c r="M68" s="3">
        <v>46178.875</v>
      </c>
      <c r="AA68" t="s">
        <v>25</v>
      </c>
      <c r="AB68" t="s">
        <v>25</v>
      </c>
    </row>
    <row r="69" spans="1:28" x14ac:dyDescent="0.25">
      <c r="A69" t="s">
        <v>21</v>
      </c>
      <c r="B69" t="s">
        <v>50</v>
      </c>
      <c r="C69">
        <v>0.5</v>
      </c>
      <c r="E69" t="s">
        <v>1354</v>
      </c>
      <c r="F69" t="s">
        <v>57</v>
      </c>
      <c r="G69" t="s">
        <v>58</v>
      </c>
      <c r="H69">
        <v>5.6950000000000003</v>
      </c>
      <c r="I69">
        <v>11.39</v>
      </c>
      <c r="J69">
        <v>10000</v>
      </c>
      <c r="K69">
        <v>0</v>
      </c>
    </row>
    <row r="70" spans="1:28" x14ac:dyDescent="0.25">
      <c r="A70" t="s">
        <v>21</v>
      </c>
      <c r="B70" t="s">
        <v>50</v>
      </c>
      <c r="C70">
        <v>0.5</v>
      </c>
      <c r="E70" t="s">
        <v>1355</v>
      </c>
      <c r="F70" t="s">
        <v>57</v>
      </c>
      <c r="G70" t="s">
        <v>58</v>
      </c>
      <c r="H70">
        <v>5.6950000000000003</v>
      </c>
      <c r="I70">
        <v>11.39</v>
      </c>
      <c r="J70">
        <v>10000</v>
      </c>
      <c r="K70">
        <v>0</v>
      </c>
    </row>
    <row r="71" spans="1:28" x14ac:dyDescent="0.25">
      <c r="A71" t="s">
        <v>21</v>
      </c>
      <c r="B71" t="s">
        <v>50</v>
      </c>
      <c r="C71">
        <v>0.5</v>
      </c>
      <c r="E71" t="s">
        <v>1356</v>
      </c>
      <c r="F71" t="s">
        <v>57</v>
      </c>
      <c r="G71" t="s">
        <v>58</v>
      </c>
      <c r="H71">
        <v>8.5399999999999991</v>
      </c>
      <c r="I71">
        <v>17.079999999999998</v>
      </c>
      <c r="J71">
        <v>15000</v>
      </c>
      <c r="K71">
        <v>0</v>
      </c>
    </row>
    <row r="72" spans="1:28" x14ac:dyDescent="0.25">
      <c r="A72" t="s">
        <v>21</v>
      </c>
      <c r="B72" t="s">
        <v>50</v>
      </c>
      <c r="C72">
        <v>0.5</v>
      </c>
      <c r="E72" t="s">
        <v>1357</v>
      </c>
      <c r="F72" t="s">
        <v>57</v>
      </c>
      <c r="G72" t="s">
        <v>58</v>
      </c>
      <c r="H72">
        <v>5.6950000000000003</v>
      </c>
      <c r="I72">
        <v>11.39</v>
      </c>
      <c r="J72">
        <v>10000</v>
      </c>
      <c r="K72">
        <v>0</v>
      </c>
    </row>
    <row r="73" spans="1:28" x14ac:dyDescent="0.25">
      <c r="A73" t="s">
        <v>21</v>
      </c>
      <c r="B73" t="s">
        <v>50</v>
      </c>
      <c r="C73">
        <v>0.5</v>
      </c>
      <c r="E73" t="s">
        <v>1358</v>
      </c>
      <c r="F73" t="s">
        <v>57</v>
      </c>
      <c r="G73" t="s">
        <v>58</v>
      </c>
      <c r="H73">
        <v>5.6950000000000003</v>
      </c>
      <c r="I73">
        <v>11.39</v>
      </c>
      <c r="J73">
        <v>10000</v>
      </c>
      <c r="K73">
        <v>0</v>
      </c>
    </row>
    <row r="74" spans="1:28" x14ac:dyDescent="0.25">
      <c r="A74" t="s">
        <v>21</v>
      </c>
      <c r="B74" t="s">
        <v>50</v>
      </c>
      <c r="C74">
        <v>0.5</v>
      </c>
      <c r="E74" t="s">
        <v>1359</v>
      </c>
      <c r="F74" t="s">
        <v>57</v>
      </c>
      <c r="G74" t="s">
        <v>58</v>
      </c>
      <c r="H74">
        <v>5.6950000000000003</v>
      </c>
      <c r="I74">
        <v>11.39</v>
      </c>
      <c r="J74">
        <v>10000</v>
      </c>
      <c r="K74">
        <v>0</v>
      </c>
    </row>
    <row r="75" spans="1:28" s="4" customFormat="1" ht="15.75" thickBot="1" x14ac:dyDescent="0.3">
      <c r="A75" s="4" t="s">
        <v>21</v>
      </c>
      <c r="B75" s="4" t="s">
        <v>50</v>
      </c>
      <c r="C75" s="4">
        <v>0.5</v>
      </c>
      <c r="E75" s="4" t="s">
        <v>1360</v>
      </c>
      <c r="F75" s="4" t="s">
        <v>57</v>
      </c>
      <c r="G75" s="4" t="s">
        <v>58</v>
      </c>
      <c r="H75" s="4">
        <v>8.5399999999999991</v>
      </c>
      <c r="I75" s="4">
        <v>17.079999999999998</v>
      </c>
      <c r="J75" s="4">
        <v>15000</v>
      </c>
      <c r="K75" s="4">
        <v>0</v>
      </c>
      <c r="L75" s="40"/>
      <c r="M75" s="40"/>
    </row>
    <row r="76" spans="1:28" x14ac:dyDescent="0.25">
      <c r="A76" t="s">
        <v>21</v>
      </c>
      <c r="B76" t="s">
        <v>1548</v>
      </c>
      <c r="C76">
        <v>1</v>
      </c>
      <c r="E76" t="s">
        <v>1529</v>
      </c>
      <c r="F76" t="s">
        <v>1547</v>
      </c>
      <c r="G76" t="s">
        <v>1549</v>
      </c>
      <c r="J76">
        <v>18000</v>
      </c>
      <c r="K76">
        <v>0</v>
      </c>
    </row>
    <row r="77" spans="1:28" x14ac:dyDescent="0.25">
      <c r="A77" t="s">
        <v>21</v>
      </c>
      <c r="B77" t="s">
        <v>1548</v>
      </c>
      <c r="C77">
        <v>1</v>
      </c>
      <c r="E77" t="s">
        <v>1530</v>
      </c>
      <c r="F77" t="s">
        <v>1547</v>
      </c>
      <c r="G77" t="s">
        <v>1549</v>
      </c>
      <c r="J77">
        <v>18000</v>
      </c>
      <c r="K77">
        <v>0</v>
      </c>
    </row>
    <row r="78" spans="1:28" x14ac:dyDescent="0.25">
      <c r="A78" t="s">
        <v>21</v>
      </c>
      <c r="B78" t="s">
        <v>1548</v>
      </c>
      <c r="C78">
        <v>1</v>
      </c>
      <c r="E78" t="s">
        <v>1531</v>
      </c>
      <c r="F78" t="s">
        <v>1547</v>
      </c>
      <c r="G78" t="s">
        <v>1549</v>
      </c>
      <c r="J78">
        <v>18000</v>
      </c>
      <c r="K78">
        <v>0</v>
      </c>
    </row>
    <row r="79" spans="1:28" x14ac:dyDescent="0.25">
      <c r="A79" t="s">
        <v>21</v>
      </c>
      <c r="B79" t="s">
        <v>1548</v>
      </c>
      <c r="C79">
        <v>1</v>
      </c>
      <c r="E79" t="s">
        <v>1532</v>
      </c>
      <c r="F79" t="s">
        <v>1547</v>
      </c>
      <c r="G79" t="s">
        <v>1549</v>
      </c>
      <c r="J79">
        <v>18000</v>
      </c>
      <c r="K79">
        <v>0</v>
      </c>
    </row>
    <row r="80" spans="1:28" x14ac:dyDescent="0.25">
      <c r="A80" t="s">
        <v>21</v>
      </c>
      <c r="B80" t="s">
        <v>1548</v>
      </c>
      <c r="C80">
        <v>1</v>
      </c>
      <c r="E80" t="s">
        <v>1533</v>
      </c>
      <c r="F80" t="s">
        <v>1547</v>
      </c>
      <c r="G80" t="s">
        <v>1549</v>
      </c>
      <c r="J80">
        <v>18000</v>
      </c>
      <c r="K80">
        <v>0</v>
      </c>
    </row>
    <row r="81" spans="1:11" x14ac:dyDescent="0.25">
      <c r="A81" t="s">
        <v>21</v>
      </c>
      <c r="B81" t="s">
        <v>1548</v>
      </c>
      <c r="C81">
        <v>1</v>
      </c>
      <c r="E81" t="s">
        <v>1534</v>
      </c>
      <c r="F81" t="s">
        <v>1547</v>
      </c>
      <c r="G81" t="s">
        <v>1549</v>
      </c>
      <c r="J81">
        <v>18000</v>
      </c>
      <c r="K81">
        <v>0</v>
      </c>
    </row>
    <row r="82" spans="1:11" x14ac:dyDescent="0.25">
      <c r="A82" t="s">
        <v>21</v>
      </c>
      <c r="B82" t="s">
        <v>1548</v>
      </c>
      <c r="C82">
        <v>1</v>
      </c>
      <c r="E82" t="s">
        <v>1535</v>
      </c>
      <c r="F82" t="s">
        <v>1547</v>
      </c>
      <c r="G82" t="s">
        <v>1549</v>
      </c>
      <c r="J82">
        <v>18000</v>
      </c>
      <c r="K82">
        <v>0</v>
      </c>
    </row>
    <row r="83" spans="1:11" x14ac:dyDescent="0.25">
      <c r="A83" t="s">
        <v>21</v>
      </c>
      <c r="B83" t="s">
        <v>1548</v>
      </c>
      <c r="C83">
        <v>1</v>
      </c>
      <c r="E83" t="s">
        <v>1536</v>
      </c>
      <c r="F83" t="s">
        <v>1547</v>
      </c>
      <c r="G83" t="s">
        <v>1549</v>
      </c>
      <c r="J83">
        <v>18000</v>
      </c>
      <c r="K83">
        <v>0</v>
      </c>
    </row>
    <row r="84" spans="1:11" x14ac:dyDescent="0.25">
      <c r="A84" t="s">
        <v>21</v>
      </c>
      <c r="B84" t="s">
        <v>1548</v>
      </c>
      <c r="C84">
        <v>1</v>
      </c>
      <c r="E84" t="s">
        <v>1537</v>
      </c>
      <c r="F84" t="s">
        <v>1547</v>
      </c>
      <c r="G84" t="s">
        <v>1549</v>
      </c>
      <c r="J84">
        <v>18000</v>
      </c>
      <c r="K84">
        <v>0</v>
      </c>
    </row>
    <row r="85" spans="1:11" x14ac:dyDescent="0.25">
      <c r="A85" t="s">
        <v>21</v>
      </c>
      <c r="B85" t="s">
        <v>1548</v>
      </c>
      <c r="C85">
        <v>1</v>
      </c>
      <c r="E85" t="s">
        <v>1538</v>
      </c>
      <c r="F85" t="s">
        <v>1547</v>
      </c>
      <c r="G85" t="s">
        <v>1549</v>
      </c>
      <c r="J85">
        <v>18000</v>
      </c>
      <c r="K85">
        <v>0</v>
      </c>
    </row>
    <row r="86" spans="1:11" x14ac:dyDescent="0.25">
      <c r="A86" t="s">
        <v>21</v>
      </c>
      <c r="B86" t="s">
        <v>1548</v>
      </c>
      <c r="C86">
        <v>1</v>
      </c>
      <c r="E86" t="s">
        <v>1539</v>
      </c>
      <c r="F86" t="s">
        <v>1547</v>
      </c>
      <c r="G86" t="s">
        <v>1549</v>
      </c>
      <c r="J86">
        <v>18000</v>
      </c>
      <c r="K86">
        <v>0</v>
      </c>
    </row>
    <row r="87" spans="1:11" x14ac:dyDescent="0.25">
      <c r="A87" t="s">
        <v>21</v>
      </c>
      <c r="B87" t="s">
        <v>1548</v>
      </c>
      <c r="C87">
        <v>1</v>
      </c>
      <c r="E87" t="s">
        <v>1540</v>
      </c>
      <c r="F87" t="s">
        <v>1547</v>
      </c>
      <c r="G87" t="s">
        <v>1549</v>
      </c>
      <c r="J87">
        <v>18000</v>
      </c>
      <c r="K87">
        <v>0</v>
      </c>
    </row>
    <row r="88" spans="1:11" x14ac:dyDescent="0.25">
      <c r="A88" t="s">
        <v>21</v>
      </c>
      <c r="B88" t="s">
        <v>1548</v>
      </c>
      <c r="C88">
        <v>1</v>
      </c>
      <c r="E88" t="s">
        <v>1541</v>
      </c>
      <c r="F88" t="s">
        <v>1547</v>
      </c>
      <c r="G88" t="s">
        <v>1549</v>
      </c>
      <c r="J88">
        <v>18000</v>
      </c>
      <c r="K88">
        <v>0</v>
      </c>
    </row>
    <row r="89" spans="1:11" x14ac:dyDescent="0.25">
      <c r="A89" t="s">
        <v>21</v>
      </c>
      <c r="B89" t="s">
        <v>1548</v>
      </c>
      <c r="C89">
        <v>1</v>
      </c>
      <c r="E89" t="s">
        <v>1542</v>
      </c>
      <c r="F89" t="s">
        <v>1547</v>
      </c>
      <c r="G89" t="s">
        <v>1549</v>
      </c>
      <c r="J89">
        <v>18000</v>
      </c>
      <c r="K89">
        <v>0</v>
      </c>
    </row>
    <row r="90" spans="1:11" x14ac:dyDescent="0.25">
      <c r="A90" t="s">
        <v>21</v>
      </c>
      <c r="B90" t="s">
        <v>1548</v>
      </c>
      <c r="C90">
        <v>1</v>
      </c>
      <c r="E90" t="s">
        <v>1543</v>
      </c>
      <c r="F90" t="s">
        <v>1547</v>
      </c>
      <c r="G90" t="s">
        <v>1549</v>
      </c>
      <c r="J90">
        <v>18000</v>
      </c>
      <c r="K90">
        <v>0</v>
      </c>
    </row>
    <row r="91" spans="1:11" x14ac:dyDescent="0.25">
      <c r="A91" t="s">
        <v>21</v>
      </c>
      <c r="B91" t="s">
        <v>1548</v>
      </c>
      <c r="C91">
        <v>1</v>
      </c>
      <c r="E91" t="s">
        <v>1544</v>
      </c>
      <c r="F91" t="s">
        <v>1547</v>
      </c>
      <c r="G91" t="s">
        <v>1549</v>
      </c>
      <c r="J91">
        <v>18000</v>
      </c>
      <c r="K91">
        <v>0</v>
      </c>
    </row>
    <row r="92" spans="1:11" x14ac:dyDescent="0.25">
      <c r="A92" t="s">
        <v>21</v>
      </c>
      <c r="B92" t="s">
        <v>1548</v>
      </c>
      <c r="C92">
        <v>1</v>
      </c>
      <c r="E92" t="s">
        <v>1545</v>
      </c>
      <c r="F92" t="s">
        <v>1547</v>
      </c>
      <c r="G92" t="s">
        <v>1549</v>
      </c>
      <c r="J92">
        <v>18000</v>
      </c>
      <c r="K92">
        <v>0</v>
      </c>
    </row>
    <row r="93" spans="1:11" x14ac:dyDescent="0.25">
      <c r="A93" t="s">
        <v>21</v>
      </c>
      <c r="B93" t="s">
        <v>1548</v>
      </c>
      <c r="C93">
        <v>1</v>
      </c>
      <c r="E93" t="s">
        <v>1546</v>
      </c>
      <c r="F93" t="s">
        <v>1547</v>
      </c>
      <c r="G93" t="s">
        <v>1549</v>
      </c>
      <c r="J93">
        <v>18000</v>
      </c>
      <c r="K93">
        <v>0</v>
      </c>
    </row>
    <row r="94" spans="1:11" x14ac:dyDescent="0.25">
      <c r="A94" t="s">
        <v>21</v>
      </c>
      <c r="B94" t="s">
        <v>1548</v>
      </c>
      <c r="C94">
        <v>1</v>
      </c>
      <c r="E94" t="s">
        <v>1570</v>
      </c>
      <c r="F94" t="s">
        <v>1581</v>
      </c>
      <c r="G94" t="s">
        <v>1582</v>
      </c>
      <c r="J94">
        <v>18000</v>
      </c>
      <c r="K94">
        <v>0</v>
      </c>
    </row>
    <row r="95" spans="1:11" x14ac:dyDescent="0.25">
      <c r="A95" t="s">
        <v>21</v>
      </c>
      <c r="B95" t="s">
        <v>1548</v>
      </c>
      <c r="C95">
        <v>1</v>
      </c>
      <c r="E95" t="s">
        <v>1571</v>
      </c>
      <c r="F95" t="s">
        <v>1581</v>
      </c>
      <c r="G95" t="s">
        <v>1582</v>
      </c>
      <c r="J95">
        <v>18000</v>
      </c>
      <c r="K95">
        <v>0</v>
      </c>
    </row>
    <row r="96" spans="1:11" x14ac:dyDescent="0.25">
      <c r="A96" t="s">
        <v>21</v>
      </c>
      <c r="B96" t="s">
        <v>1548</v>
      </c>
      <c r="C96">
        <v>1</v>
      </c>
      <c r="E96" t="s">
        <v>1572</v>
      </c>
      <c r="F96" t="s">
        <v>1581</v>
      </c>
      <c r="G96" t="s">
        <v>1582</v>
      </c>
      <c r="J96">
        <v>18000</v>
      </c>
      <c r="K96">
        <v>0</v>
      </c>
    </row>
    <row r="97" spans="1:28" x14ac:dyDescent="0.25">
      <c r="A97" t="s">
        <v>21</v>
      </c>
      <c r="B97" t="s">
        <v>1548</v>
      </c>
      <c r="C97">
        <v>1</v>
      </c>
      <c r="E97" t="s">
        <v>1573</v>
      </c>
      <c r="F97" t="s">
        <v>1581</v>
      </c>
      <c r="G97" t="s">
        <v>1582</v>
      </c>
      <c r="J97">
        <v>18000</v>
      </c>
      <c r="K97">
        <v>0</v>
      </c>
    </row>
    <row r="98" spans="1:28" x14ac:dyDescent="0.25">
      <c r="A98" t="s">
        <v>21</v>
      </c>
      <c r="B98" t="s">
        <v>1548</v>
      </c>
      <c r="C98">
        <v>1</v>
      </c>
      <c r="E98" t="s">
        <v>1574</v>
      </c>
      <c r="F98" t="s">
        <v>1581</v>
      </c>
      <c r="G98" t="s">
        <v>1582</v>
      </c>
      <c r="J98">
        <v>18000</v>
      </c>
      <c r="K98">
        <v>0</v>
      </c>
    </row>
    <row r="99" spans="1:28" x14ac:dyDescent="0.25">
      <c r="A99" t="s">
        <v>21</v>
      </c>
      <c r="B99" t="s">
        <v>1548</v>
      </c>
      <c r="C99">
        <v>1</v>
      </c>
      <c r="E99" t="s">
        <v>1575</v>
      </c>
      <c r="F99" t="s">
        <v>1581</v>
      </c>
      <c r="G99" t="s">
        <v>1582</v>
      </c>
      <c r="J99">
        <v>18000</v>
      </c>
      <c r="K99">
        <v>0</v>
      </c>
    </row>
    <row r="100" spans="1:28" x14ac:dyDescent="0.25">
      <c r="A100" t="s">
        <v>21</v>
      </c>
      <c r="B100" t="s">
        <v>1548</v>
      </c>
      <c r="C100">
        <v>1</v>
      </c>
      <c r="E100" t="s">
        <v>1576</v>
      </c>
      <c r="F100" t="s">
        <v>1581</v>
      </c>
      <c r="G100" t="s">
        <v>1582</v>
      </c>
      <c r="J100">
        <v>18000</v>
      </c>
      <c r="K100">
        <v>0</v>
      </c>
    </row>
    <row r="101" spans="1:28" x14ac:dyDescent="0.25">
      <c r="A101" t="s">
        <v>21</v>
      </c>
      <c r="B101" t="s">
        <v>1548</v>
      </c>
      <c r="C101">
        <v>1</v>
      </c>
      <c r="E101" t="s">
        <v>1577</v>
      </c>
      <c r="F101" t="s">
        <v>1581</v>
      </c>
      <c r="G101" t="s">
        <v>1582</v>
      </c>
      <c r="J101">
        <v>18000</v>
      </c>
      <c r="K101">
        <v>0</v>
      </c>
    </row>
    <row r="102" spans="1:28" x14ac:dyDescent="0.25">
      <c r="A102" t="s">
        <v>21</v>
      </c>
      <c r="B102" t="s">
        <v>1548</v>
      </c>
      <c r="C102">
        <v>1</v>
      </c>
      <c r="E102" t="s">
        <v>1578</v>
      </c>
      <c r="F102" t="s">
        <v>1581</v>
      </c>
      <c r="G102" t="s">
        <v>1582</v>
      </c>
      <c r="J102">
        <v>18000</v>
      </c>
      <c r="K102">
        <v>0</v>
      </c>
    </row>
    <row r="103" spans="1:28" x14ac:dyDescent="0.25">
      <c r="A103" t="s">
        <v>21</v>
      </c>
      <c r="B103" t="s">
        <v>1548</v>
      </c>
      <c r="C103">
        <v>1</v>
      </c>
      <c r="E103" t="s">
        <v>1579</v>
      </c>
      <c r="F103" t="s">
        <v>1581</v>
      </c>
      <c r="G103" t="s">
        <v>1582</v>
      </c>
      <c r="J103">
        <v>18000</v>
      </c>
      <c r="K103">
        <v>0</v>
      </c>
    </row>
    <row r="104" spans="1:28" x14ac:dyDescent="0.25">
      <c r="A104" t="s">
        <v>21</v>
      </c>
      <c r="B104" t="s">
        <v>1548</v>
      </c>
      <c r="C104">
        <v>1</v>
      </c>
      <c r="E104" t="s">
        <v>1580</v>
      </c>
      <c r="F104" t="s">
        <v>1581</v>
      </c>
      <c r="G104" t="s">
        <v>1582</v>
      </c>
      <c r="J104">
        <v>18000</v>
      </c>
      <c r="K104">
        <v>0</v>
      </c>
    </row>
    <row r="105" spans="1:28" x14ac:dyDescent="0.25">
      <c r="A105" t="s">
        <v>21</v>
      </c>
      <c r="B105" t="s">
        <v>65</v>
      </c>
      <c r="C105">
        <v>1</v>
      </c>
      <c r="E105" t="s">
        <v>66</v>
      </c>
      <c r="F105" t="s">
        <v>67</v>
      </c>
      <c r="G105" t="s">
        <v>68</v>
      </c>
      <c r="H105">
        <v>1</v>
      </c>
      <c r="I105">
        <v>1</v>
      </c>
      <c r="J105">
        <v>10</v>
      </c>
      <c r="K105">
        <v>0</v>
      </c>
      <c r="L105" s="3">
        <v>46209.291666666664</v>
      </c>
      <c r="M105" s="3">
        <v>46209.347222222219</v>
      </c>
      <c r="AA105" t="s">
        <v>25</v>
      </c>
      <c r="AB105" t="s">
        <v>26</v>
      </c>
    </row>
    <row r="106" spans="1:28" x14ac:dyDescent="0.25">
      <c r="A106" t="s">
        <v>21</v>
      </c>
      <c r="B106" t="s">
        <v>65</v>
      </c>
      <c r="C106">
        <v>2</v>
      </c>
      <c r="E106" t="s">
        <v>69</v>
      </c>
      <c r="F106" t="s">
        <v>70</v>
      </c>
      <c r="G106" t="s">
        <v>71</v>
      </c>
      <c r="H106">
        <v>10</v>
      </c>
      <c r="I106">
        <v>5</v>
      </c>
      <c r="J106">
        <v>100</v>
      </c>
      <c r="K106">
        <v>0</v>
      </c>
      <c r="L106" s="3">
        <v>46209.354166666664</v>
      </c>
      <c r="M106" s="3">
        <v>46209.576388888891</v>
      </c>
      <c r="AA106" t="s">
        <v>25</v>
      </c>
      <c r="AB106" t="s">
        <v>26</v>
      </c>
    </row>
    <row r="107" spans="1:28" x14ac:dyDescent="0.25">
      <c r="A107" t="s">
        <v>21</v>
      </c>
      <c r="B107" t="s">
        <v>65</v>
      </c>
      <c r="C107">
        <v>1</v>
      </c>
      <c r="E107" t="s">
        <v>72</v>
      </c>
      <c r="F107" t="s">
        <v>73</v>
      </c>
      <c r="G107" t="s">
        <v>74</v>
      </c>
      <c r="H107">
        <v>1.75</v>
      </c>
      <c r="I107">
        <v>1.75</v>
      </c>
      <c r="J107">
        <v>35</v>
      </c>
      <c r="K107">
        <v>0</v>
      </c>
      <c r="L107" s="3">
        <v>46209.583333333336</v>
      </c>
      <c r="M107" s="3">
        <v>46210.340277777781</v>
      </c>
      <c r="AA107" t="s">
        <v>25</v>
      </c>
      <c r="AB107" t="s">
        <v>26</v>
      </c>
    </row>
    <row r="108" spans="1:28" x14ac:dyDescent="0.25">
      <c r="A108" t="s">
        <v>21</v>
      </c>
      <c r="B108" t="s">
        <v>65</v>
      </c>
      <c r="C108">
        <v>1</v>
      </c>
      <c r="E108" s="5" t="s">
        <v>75</v>
      </c>
      <c r="F108" t="s">
        <v>76</v>
      </c>
      <c r="G108" t="s">
        <v>77</v>
      </c>
      <c r="H108">
        <v>2.5</v>
      </c>
      <c r="I108">
        <v>0.01</v>
      </c>
      <c r="J108">
        <v>200</v>
      </c>
      <c r="K108">
        <v>199</v>
      </c>
      <c r="L108" s="3">
        <v>46210.347222222219</v>
      </c>
      <c r="M108" s="3">
        <v>46210.347222222219</v>
      </c>
      <c r="N108" s="5"/>
      <c r="O108" s="5" t="s">
        <v>78</v>
      </c>
      <c r="P108" s="5"/>
      <c r="Q108" s="5"/>
      <c r="R108" s="5"/>
      <c r="S108" s="5"/>
      <c r="AA108" t="s">
        <v>25</v>
      </c>
      <c r="AB108" t="s">
        <v>26</v>
      </c>
    </row>
    <row r="109" spans="1:28" x14ac:dyDescent="0.25">
      <c r="A109" t="s">
        <v>21</v>
      </c>
      <c r="B109" t="s">
        <v>65</v>
      </c>
      <c r="C109">
        <v>1</v>
      </c>
      <c r="E109" t="s">
        <v>79</v>
      </c>
      <c r="F109" t="s">
        <v>80</v>
      </c>
      <c r="G109" t="s">
        <v>81</v>
      </c>
      <c r="H109">
        <v>2.5</v>
      </c>
      <c r="I109">
        <v>2.5</v>
      </c>
      <c r="J109">
        <v>150</v>
      </c>
      <c r="K109">
        <v>0</v>
      </c>
      <c r="L109" s="3">
        <v>46210.354166666664</v>
      </c>
      <c r="M109" s="3">
        <v>46210.472222222219</v>
      </c>
      <c r="O109" t="s">
        <v>87</v>
      </c>
      <c r="AA109" t="s">
        <v>25</v>
      </c>
      <c r="AB109" t="s">
        <v>26</v>
      </c>
    </row>
    <row r="110" spans="1:28" x14ac:dyDescent="0.25">
      <c r="A110" t="s">
        <v>21</v>
      </c>
      <c r="B110" t="s">
        <v>65</v>
      </c>
      <c r="C110">
        <v>1</v>
      </c>
      <c r="E110" t="s">
        <v>1597</v>
      </c>
      <c r="F110" t="s">
        <v>80</v>
      </c>
      <c r="G110" t="s">
        <v>81</v>
      </c>
      <c r="H110">
        <v>2.5</v>
      </c>
      <c r="I110">
        <v>2.5</v>
      </c>
      <c r="J110">
        <v>300</v>
      </c>
      <c r="K110">
        <v>0</v>
      </c>
      <c r="L110" s="3">
        <v>46210.354166666664</v>
      </c>
      <c r="M110" s="3">
        <v>46210.472222222219</v>
      </c>
      <c r="AA110" t="s">
        <v>25</v>
      </c>
      <c r="AB110" t="s">
        <v>26</v>
      </c>
    </row>
    <row r="111" spans="1:28" s="4" customFormat="1" ht="15.75" thickBot="1" x14ac:dyDescent="0.3">
      <c r="A111" s="4" t="s">
        <v>21</v>
      </c>
      <c r="B111" s="4" t="s">
        <v>82</v>
      </c>
      <c r="C111" s="4">
        <v>2</v>
      </c>
      <c r="E111" s="48" t="s">
        <v>83</v>
      </c>
      <c r="F111" s="4" t="s">
        <v>84</v>
      </c>
      <c r="G111" s="4" t="s">
        <v>85</v>
      </c>
      <c r="H111" s="4">
        <v>20</v>
      </c>
      <c r="I111" s="4">
        <v>6.11</v>
      </c>
      <c r="J111" s="4">
        <v>180</v>
      </c>
      <c r="K111" s="4">
        <v>70</v>
      </c>
      <c r="L111" s="40">
        <v>46209.291666666664</v>
      </c>
      <c r="M111" s="40">
        <v>46209.541666666664</v>
      </c>
      <c r="N111" s="48" t="s">
        <v>86</v>
      </c>
      <c r="O111" s="48" t="s">
        <v>87</v>
      </c>
      <c r="P111" s="48"/>
      <c r="Q111" s="48"/>
      <c r="R111" s="48"/>
      <c r="S111" s="48"/>
      <c r="AA111" s="4" t="s">
        <v>25</v>
      </c>
      <c r="AB111" s="4" t="s">
        <v>26</v>
      </c>
    </row>
    <row r="112" spans="1:28" s="10" customFormat="1" x14ac:dyDescent="0.25">
      <c r="A112" s="10" t="s">
        <v>21</v>
      </c>
      <c r="B112" s="10" t="s">
        <v>63</v>
      </c>
      <c r="C112" s="10">
        <v>2</v>
      </c>
      <c r="E112" s="10" t="s">
        <v>22</v>
      </c>
      <c r="F112" s="10" t="s">
        <v>23</v>
      </c>
      <c r="G112" s="10" t="s">
        <v>24</v>
      </c>
      <c r="J112" s="10">
        <v>30</v>
      </c>
      <c r="K112" s="10">
        <v>0</v>
      </c>
      <c r="L112" s="37"/>
      <c r="M112" s="37"/>
      <c r="O112" s="10" t="s">
        <v>87</v>
      </c>
    </row>
    <row r="113" spans="1:28" s="4" customFormat="1" ht="15.75" thickBot="1" x14ac:dyDescent="0.3">
      <c r="A113" s="4" t="s">
        <v>21</v>
      </c>
      <c r="B113" s="4" t="s">
        <v>63</v>
      </c>
      <c r="C113" s="4">
        <v>2</v>
      </c>
      <c r="E113" s="4" t="s">
        <v>1295</v>
      </c>
      <c r="F113" s="4" t="s">
        <v>23</v>
      </c>
      <c r="G113" s="4" t="s">
        <v>24</v>
      </c>
      <c r="J113" s="4">
        <v>30</v>
      </c>
      <c r="K113" s="4">
        <v>0</v>
      </c>
      <c r="L113" s="40"/>
      <c r="M113" s="40"/>
    </row>
    <row r="114" spans="1:28" s="10" customFormat="1" x14ac:dyDescent="0.25">
      <c r="A114" s="10" t="s">
        <v>21</v>
      </c>
      <c r="B114" s="10" t="s">
        <v>88</v>
      </c>
      <c r="C114" s="10">
        <v>1</v>
      </c>
      <c r="E114" s="10" t="s">
        <v>89</v>
      </c>
      <c r="F114" s="10" t="s">
        <v>90</v>
      </c>
      <c r="G114" s="10" t="s">
        <v>91</v>
      </c>
      <c r="H114" s="10">
        <v>20</v>
      </c>
      <c r="I114" s="10">
        <v>20</v>
      </c>
      <c r="J114" s="10">
        <v>5</v>
      </c>
      <c r="K114" s="10">
        <v>0</v>
      </c>
      <c r="L114" s="37">
        <v>46219.458333333336</v>
      </c>
      <c r="M114" s="37">
        <v>46224.298611111109</v>
      </c>
      <c r="AA114" s="10" t="s">
        <v>25</v>
      </c>
      <c r="AB114" s="10" t="s">
        <v>26</v>
      </c>
    </row>
    <row r="115" spans="1:28" x14ac:dyDescent="0.25">
      <c r="A115" t="s">
        <v>21</v>
      </c>
      <c r="B115" t="s">
        <v>88</v>
      </c>
      <c r="C115">
        <v>1</v>
      </c>
      <c r="E115" t="s">
        <v>92</v>
      </c>
      <c r="F115" t="s">
        <v>93</v>
      </c>
      <c r="G115" t="s">
        <v>94</v>
      </c>
      <c r="H115">
        <v>20</v>
      </c>
      <c r="I115">
        <v>20</v>
      </c>
      <c r="J115">
        <v>5</v>
      </c>
      <c r="K115">
        <v>0</v>
      </c>
      <c r="L115" s="3">
        <v>46224.305555555555</v>
      </c>
      <c r="M115" s="3">
        <v>46226.479166666664</v>
      </c>
      <c r="AA115" t="s">
        <v>25</v>
      </c>
      <c r="AB115" t="s">
        <v>26</v>
      </c>
    </row>
    <row r="116" spans="1:28" s="4" customFormat="1" ht="15.75" thickBot="1" x14ac:dyDescent="0.3">
      <c r="A116" s="4" t="s">
        <v>21</v>
      </c>
      <c r="B116" s="4" t="s">
        <v>88</v>
      </c>
      <c r="C116" s="4">
        <v>1</v>
      </c>
      <c r="E116" s="4" t="s">
        <v>95</v>
      </c>
      <c r="F116" s="4" t="s">
        <v>96</v>
      </c>
      <c r="G116" s="4" t="s">
        <v>97</v>
      </c>
      <c r="H116" s="4">
        <v>19.2</v>
      </c>
      <c r="I116" s="4">
        <v>19.2</v>
      </c>
      <c r="J116" s="4">
        <v>2400</v>
      </c>
      <c r="K116" s="4">
        <v>0</v>
      </c>
      <c r="L116" s="40">
        <v>46226.486111111109</v>
      </c>
      <c r="M116" s="40">
        <v>46231.305555555555</v>
      </c>
      <c r="AA116" s="4" t="s">
        <v>25</v>
      </c>
      <c r="AB116" s="4" t="s">
        <v>64</v>
      </c>
    </row>
    <row r="117" spans="1:28" s="10" customFormat="1" ht="15.75" thickBot="1" x14ac:dyDescent="0.3">
      <c r="A117" s="10" t="s">
        <v>21</v>
      </c>
      <c r="B117" s="10" t="s">
        <v>98</v>
      </c>
      <c r="C117" s="10">
        <v>1</v>
      </c>
      <c r="E117" s="7" t="s">
        <v>99</v>
      </c>
      <c r="F117" s="10" t="s">
        <v>100</v>
      </c>
      <c r="G117" s="10" t="s">
        <v>101</v>
      </c>
      <c r="H117" s="10">
        <v>34.64</v>
      </c>
      <c r="I117" s="10">
        <v>34.64</v>
      </c>
      <c r="J117" s="10">
        <v>15240</v>
      </c>
      <c r="K117" s="10">
        <v>0</v>
      </c>
      <c r="L117" s="37">
        <v>46209.291666666664</v>
      </c>
      <c r="M117" s="37">
        <v>46213.5625</v>
      </c>
      <c r="N117" s="7"/>
      <c r="O117" s="7"/>
      <c r="P117" s="7"/>
      <c r="Q117" s="7"/>
      <c r="R117" s="7"/>
      <c r="S117" s="7"/>
      <c r="AA117" s="10" t="s">
        <v>25</v>
      </c>
      <c r="AB117" s="10" t="s">
        <v>25</v>
      </c>
    </row>
    <row r="118" spans="1:28" x14ac:dyDescent="0.25">
      <c r="A118" t="s">
        <v>21</v>
      </c>
      <c r="B118" t="s">
        <v>98</v>
      </c>
      <c r="C118">
        <v>1</v>
      </c>
      <c r="E118" t="s">
        <v>102</v>
      </c>
      <c r="F118" t="s">
        <v>103</v>
      </c>
      <c r="G118" t="s">
        <v>104</v>
      </c>
      <c r="H118">
        <v>11.36</v>
      </c>
      <c r="I118">
        <v>11.36</v>
      </c>
      <c r="J118">
        <v>5000</v>
      </c>
      <c r="K118">
        <v>0</v>
      </c>
      <c r="L118" s="3">
        <v>46213.569444444445</v>
      </c>
      <c r="M118" s="3">
        <v>46217.458333333336</v>
      </c>
      <c r="AA118" t="s">
        <v>25</v>
      </c>
      <c r="AB118" t="s">
        <v>105</v>
      </c>
    </row>
    <row r="119" spans="1:28" x14ac:dyDescent="0.25">
      <c r="A119" t="s">
        <v>21</v>
      </c>
      <c r="B119" t="s">
        <v>98</v>
      </c>
      <c r="C119">
        <v>1</v>
      </c>
      <c r="E119" t="s">
        <v>1297</v>
      </c>
      <c r="F119" t="s">
        <v>1514</v>
      </c>
      <c r="G119" t="s">
        <v>1296</v>
      </c>
      <c r="H119">
        <v>34.090000000000003</v>
      </c>
      <c r="I119">
        <v>34.090000000000003</v>
      </c>
      <c r="J119">
        <v>15000</v>
      </c>
      <c r="K119">
        <v>0</v>
      </c>
      <c r="L119" s="3">
        <v>46217.465277777781</v>
      </c>
      <c r="M119" s="3">
        <v>46224.423611111109</v>
      </c>
      <c r="AA119" t="s">
        <v>25</v>
      </c>
      <c r="AB119" t="s">
        <v>105</v>
      </c>
    </row>
    <row r="120" spans="1:28" s="4" customFormat="1" ht="15.75" thickBot="1" x14ac:dyDescent="0.3">
      <c r="A120" s="4" t="s">
        <v>21</v>
      </c>
      <c r="B120" s="4" t="s">
        <v>98</v>
      </c>
      <c r="C120" s="4">
        <v>1</v>
      </c>
      <c r="E120" s="4" t="s">
        <v>106</v>
      </c>
      <c r="F120" s="4" t="s">
        <v>107</v>
      </c>
      <c r="G120" s="4" t="s">
        <v>108</v>
      </c>
      <c r="H120" s="4">
        <v>34.64</v>
      </c>
      <c r="I120" s="4">
        <v>34.64</v>
      </c>
      <c r="J120" s="4">
        <v>15240</v>
      </c>
      <c r="K120" s="4">
        <v>0</v>
      </c>
      <c r="L120" s="40">
        <v>46224.430555555555</v>
      </c>
      <c r="M120" s="40">
        <v>46231.409722222219</v>
      </c>
      <c r="AA120" s="4" t="s">
        <v>25</v>
      </c>
      <c r="AB120" s="4" t="s">
        <v>25</v>
      </c>
    </row>
    <row r="121" spans="1:28" s="49" customFormat="1" ht="15.75" thickBot="1" x14ac:dyDescent="0.3">
      <c r="A121" s="49" t="s">
        <v>21</v>
      </c>
      <c r="B121" s="49" t="s">
        <v>111</v>
      </c>
      <c r="C121" s="49">
        <v>2</v>
      </c>
      <c r="E121" s="49" t="s">
        <v>112</v>
      </c>
      <c r="F121" s="49" t="s">
        <v>109</v>
      </c>
      <c r="G121" s="49" t="s">
        <v>110</v>
      </c>
      <c r="H121" s="49">
        <v>8</v>
      </c>
      <c r="I121" s="49">
        <v>4</v>
      </c>
      <c r="J121" s="49">
        <v>20</v>
      </c>
      <c r="K121" s="49">
        <v>0</v>
      </c>
      <c r="L121" s="50">
        <v>46223.520833333336</v>
      </c>
      <c r="M121" s="50">
        <v>46224.368055555555</v>
      </c>
      <c r="AA121" s="49" t="s">
        <v>25</v>
      </c>
      <c r="AB121" s="49" t="s">
        <v>26</v>
      </c>
    </row>
    <row r="122" spans="1:28" s="10" customFormat="1" x14ac:dyDescent="0.25">
      <c r="A122" s="10" t="s">
        <v>21</v>
      </c>
      <c r="B122" s="10" t="s">
        <v>113</v>
      </c>
      <c r="C122" s="10">
        <v>3</v>
      </c>
      <c r="E122" s="10" t="s">
        <v>114</v>
      </c>
      <c r="F122" s="10" t="s">
        <v>115</v>
      </c>
      <c r="G122" s="10" t="s">
        <v>116</v>
      </c>
      <c r="H122" s="10">
        <v>75.48</v>
      </c>
      <c r="I122" s="10">
        <v>25.16</v>
      </c>
      <c r="J122" s="10">
        <v>40</v>
      </c>
      <c r="K122" s="10">
        <v>0</v>
      </c>
      <c r="L122" s="37">
        <v>46209.506944444445</v>
      </c>
      <c r="M122" s="37">
        <v>46212.569444444445</v>
      </c>
      <c r="AA122" s="10" t="s">
        <v>25</v>
      </c>
      <c r="AB122" s="10" t="s">
        <v>26</v>
      </c>
    </row>
    <row r="123" spans="1:28" x14ac:dyDescent="0.25">
      <c r="A123" t="s">
        <v>21</v>
      </c>
      <c r="B123" t="s">
        <v>1298</v>
      </c>
      <c r="C123">
        <v>3</v>
      </c>
      <c r="E123" t="s">
        <v>1301</v>
      </c>
      <c r="F123" t="s">
        <v>1299</v>
      </c>
      <c r="G123" t="s">
        <v>1300</v>
      </c>
    </row>
    <row r="124" spans="1:28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9"/>
      <c r="M124" s="9"/>
      <c r="N124" s="8"/>
      <c r="O124" s="8"/>
      <c r="P124" s="8"/>
      <c r="Q124" s="8"/>
      <c r="R124" s="8"/>
      <c r="S124" s="8"/>
    </row>
    <row r="125" spans="1:28" s="57" customFormat="1" x14ac:dyDescent="0.25">
      <c r="A125" s="57" t="s">
        <v>117</v>
      </c>
      <c r="B125" s="57" t="s">
        <v>118</v>
      </c>
      <c r="C125" s="57">
        <v>5</v>
      </c>
      <c r="E125" s="57" t="s">
        <v>121</v>
      </c>
      <c r="F125" s="57" t="s">
        <v>119</v>
      </c>
      <c r="G125" s="57" t="s">
        <v>120</v>
      </c>
      <c r="H125" s="57">
        <v>315</v>
      </c>
      <c r="I125" s="57">
        <v>63</v>
      </c>
      <c r="J125" s="57">
        <v>252</v>
      </c>
      <c r="K125" s="57">
        <v>186</v>
      </c>
      <c r="L125" s="68">
        <v>46209.284722222219</v>
      </c>
      <c r="M125" s="68">
        <v>46218.256944444445</v>
      </c>
      <c r="O125" s="57" t="s">
        <v>87</v>
      </c>
      <c r="Q125" s="69"/>
      <c r="AA125" s="57" t="s">
        <v>25</v>
      </c>
      <c r="AB125" s="57" t="s">
        <v>26</v>
      </c>
    </row>
    <row r="126" spans="1:28" x14ac:dyDescent="0.25">
      <c r="A126" t="s">
        <v>117</v>
      </c>
      <c r="B126" t="s">
        <v>118</v>
      </c>
      <c r="C126">
        <v>5</v>
      </c>
      <c r="E126" t="s">
        <v>1241</v>
      </c>
      <c r="F126" t="s">
        <v>1242</v>
      </c>
      <c r="G126" t="s">
        <v>1243</v>
      </c>
      <c r="H126">
        <v>315</v>
      </c>
      <c r="I126">
        <v>63</v>
      </c>
      <c r="J126">
        <v>252</v>
      </c>
      <c r="K126">
        <v>0</v>
      </c>
      <c r="L126" s="3">
        <v>46218.263888888891</v>
      </c>
      <c r="M126" s="3">
        <v>46227.236111111109</v>
      </c>
      <c r="O126" t="s">
        <v>87</v>
      </c>
      <c r="AA126" t="s">
        <v>25</v>
      </c>
      <c r="AB126" t="s">
        <v>26</v>
      </c>
    </row>
    <row r="127" spans="1:28" x14ac:dyDescent="0.25">
      <c r="A127" t="s">
        <v>117</v>
      </c>
      <c r="B127" t="s">
        <v>118</v>
      </c>
      <c r="C127">
        <v>5</v>
      </c>
      <c r="E127" t="s">
        <v>122</v>
      </c>
      <c r="F127" t="s">
        <v>123</v>
      </c>
      <c r="G127" t="s">
        <v>124</v>
      </c>
      <c r="H127">
        <v>315</v>
      </c>
      <c r="I127">
        <v>63</v>
      </c>
      <c r="J127">
        <v>252</v>
      </c>
      <c r="K127">
        <v>0</v>
      </c>
      <c r="L127" s="3">
        <v>46218.263888888891</v>
      </c>
      <c r="M127" s="3">
        <v>46227.236111111109</v>
      </c>
      <c r="AA127" t="s">
        <v>25</v>
      </c>
      <c r="AB127" t="s">
        <v>26</v>
      </c>
    </row>
    <row r="128" spans="1:28" s="12" customFormat="1" x14ac:dyDescent="0.25">
      <c r="A128" s="12" t="s">
        <v>117</v>
      </c>
      <c r="B128" s="12" t="s">
        <v>118</v>
      </c>
      <c r="C128" s="12">
        <v>5</v>
      </c>
      <c r="E128" s="12" t="s">
        <v>125</v>
      </c>
      <c r="F128" s="12" t="s">
        <v>119</v>
      </c>
      <c r="G128" s="12" t="s">
        <v>120</v>
      </c>
      <c r="H128" s="12">
        <v>315</v>
      </c>
      <c r="I128" s="12">
        <v>63</v>
      </c>
      <c r="J128" s="12">
        <v>252</v>
      </c>
      <c r="K128" s="12">
        <v>0</v>
      </c>
      <c r="L128" s="32">
        <v>46227.243055555555</v>
      </c>
      <c r="M128" s="32">
        <v>46238.215277777781</v>
      </c>
      <c r="AA128" s="12" t="s">
        <v>25</v>
      </c>
      <c r="AB128" s="12" t="s">
        <v>26</v>
      </c>
    </row>
    <row r="129" spans="1:28" x14ac:dyDescent="0.25">
      <c r="A129" t="s">
        <v>117</v>
      </c>
      <c r="B129" t="s">
        <v>126</v>
      </c>
      <c r="C129">
        <v>1</v>
      </c>
      <c r="E129" t="s">
        <v>127</v>
      </c>
      <c r="F129" t="s">
        <v>128</v>
      </c>
      <c r="G129" t="s">
        <v>129</v>
      </c>
      <c r="H129">
        <v>100</v>
      </c>
      <c r="I129">
        <v>26.2</v>
      </c>
      <c r="J129">
        <v>100000</v>
      </c>
      <c r="K129">
        <v>73800</v>
      </c>
      <c r="L129" s="3">
        <v>46208.958333333336</v>
      </c>
      <c r="M129" s="3">
        <v>46210.048611111109</v>
      </c>
      <c r="O129" t="s">
        <v>87</v>
      </c>
      <c r="AA129" t="s">
        <v>25</v>
      </c>
      <c r="AB129" t="s">
        <v>26</v>
      </c>
    </row>
    <row r="130" spans="1:28" x14ac:dyDescent="0.25">
      <c r="A130" t="s">
        <v>117</v>
      </c>
      <c r="B130" t="s">
        <v>126</v>
      </c>
      <c r="C130">
        <v>1</v>
      </c>
      <c r="E130" t="s">
        <v>130</v>
      </c>
      <c r="F130" t="s">
        <v>128</v>
      </c>
      <c r="G130" t="s">
        <v>129</v>
      </c>
      <c r="H130">
        <v>100</v>
      </c>
      <c r="I130">
        <v>100</v>
      </c>
      <c r="J130">
        <v>100000</v>
      </c>
      <c r="K130">
        <v>0</v>
      </c>
      <c r="L130" s="3">
        <v>46210.055555555555</v>
      </c>
      <c r="M130" s="3">
        <v>46214.215277777781</v>
      </c>
      <c r="O130" t="s">
        <v>87</v>
      </c>
      <c r="AA130" t="s">
        <v>25</v>
      </c>
      <c r="AB130" t="s">
        <v>26</v>
      </c>
    </row>
    <row r="131" spans="1:28" x14ac:dyDescent="0.25">
      <c r="A131" t="s">
        <v>117</v>
      </c>
      <c r="B131" t="s">
        <v>126</v>
      </c>
      <c r="C131">
        <v>1</v>
      </c>
      <c r="E131" t="s">
        <v>131</v>
      </c>
      <c r="F131" t="s">
        <v>128</v>
      </c>
      <c r="G131" t="s">
        <v>129</v>
      </c>
      <c r="H131">
        <v>100</v>
      </c>
      <c r="I131">
        <v>100</v>
      </c>
      <c r="J131">
        <v>100000</v>
      </c>
      <c r="K131">
        <v>0</v>
      </c>
      <c r="L131" s="3">
        <v>46214.222222222219</v>
      </c>
      <c r="M131" s="3">
        <v>46218.381944444445</v>
      </c>
      <c r="AA131" t="s">
        <v>25</v>
      </c>
      <c r="AB131" t="s">
        <v>26</v>
      </c>
    </row>
    <row r="132" spans="1:28" x14ac:dyDescent="0.25">
      <c r="A132" t="s">
        <v>117</v>
      </c>
      <c r="B132" t="s">
        <v>126</v>
      </c>
      <c r="C132">
        <v>1</v>
      </c>
      <c r="E132" t="s">
        <v>132</v>
      </c>
      <c r="F132" t="s">
        <v>128</v>
      </c>
      <c r="G132" t="s">
        <v>129</v>
      </c>
      <c r="H132">
        <v>100</v>
      </c>
      <c r="I132">
        <v>100</v>
      </c>
      <c r="J132">
        <v>100000</v>
      </c>
      <c r="K132">
        <v>0</v>
      </c>
      <c r="L132" s="3">
        <v>46218.388888888891</v>
      </c>
      <c r="M132" s="3">
        <v>46222.548611111109</v>
      </c>
      <c r="AA132" t="s">
        <v>25</v>
      </c>
      <c r="AB132" t="s">
        <v>26</v>
      </c>
    </row>
    <row r="133" spans="1:28" x14ac:dyDescent="0.25">
      <c r="A133" t="s">
        <v>117</v>
      </c>
      <c r="B133" t="s">
        <v>126</v>
      </c>
      <c r="C133">
        <v>1</v>
      </c>
      <c r="E133" t="s">
        <v>133</v>
      </c>
      <c r="F133" t="s">
        <v>128</v>
      </c>
      <c r="G133" t="s">
        <v>129</v>
      </c>
      <c r="H133">
        <v>100</v>
      </c>
      <c r="I133">
        <v>100</v>
      </c>
      <c r="J133">
        <v>100000</v>
      </c>
      <c r="K133">
        <v>0</v>
      </c>
      <c r="L133" s="3">
        <v>46222.555555555555</v>
      </c>
      <c r="M133" s="3">
        <v>46226.715277777781</v>
      </c>
      <c r="AA133" t="s">
        <v>25</v>
      </c>
      <c r="AB133" t="s">
        <v>26</v>
      </c>
    </row>
    <row r="134" spans="1:28" x14ac:dyDescent="0.25">
      <c r="A134" t="s">
        <v>117</v>
      </c>
      <c r="B134" t="s">
        <v>126</v>
      </c>
      <c r="C134">
        <v>1</v>
      </c>
      <c r="E134" t="s">
        <v>134</v>
      </c>
      <c r="F134" t="s">
        <v>128</v>
      </c>
      <c r="G134" t="s">
        <v>129</v>
      </c>
      <c r="H134">
        <v>100</v>
      </c>
      <c r="I134">
        <v>100</v>
      </c>
      <c r="J134">
        <v>100000</v>
      </c>
      <c r="K134">
        <v>0</v>
      </c>
      <c r="L134" s="3">
        <v>46226.722222222219</v>
      </c>
      <c r="M134" s="3">
        <v>46230.881944444445</v>
      </c>
      <c r="AA134" t="s">
        <v>25</v>
      </c>
      <c r="AB134" t="s">
        <v>26</v>
      </c>
    </row>
    <row r="135" spans="1:28" s="12" customFormat="1" x14ac:dyDescent="0.25">
      <c r="A135" s="12" t="s">
        <v>117</v>
      </c>
      <c r="B135" s="12" t="s">
        <v>126</v>
      </c>
      <c r="C135" s="12">
        <v>1</v>
      </c>
      <c r="E135" s="12" t="s">
        <v>135</v>
      </c>
      <c r="F135" s="12" t="s">
        <v>128</v>
      </c>
      <c r="G135" s="12" t="s">
        <v>129</v>
      </c>
      <c r="H135" s="12">
        <v>100</v>
      </c>
      <c r="I135" s="12">
        <v>100</v>
      </c>
      <c r="J135" s="12">
        <v>100000</v>
      </c>
      <c r="K135" s="12">
        <v>0</v>
      </c>
      <c r="L135" s="32">
        <v>46230.888888888891</v>
      </c>
      <c r="M135" s="32">
        <v>46235.048611111109</v>
      </c>
      <c r="AA135" s="12" t="s">
        <v>25</v>
      </c>
      <c r="AB135" s="12" t="s">
        <v>26</v>
      </c>
    </row>
    <row r="136" spans="1:28" s="5" customFormat="1" x14ac:dyDescent="0.25">
      <c r="A136" s="5" t="s">
        <v>117</v>
      </c>
      <c r="B136" s="5" t="s">
        <v>136</v>
      </c>
      <c r="C136" s="5">
        <v>5</v>
      </c>
      <c r="E136" s="5" t="s">
        <v>140</v>
      </c>
      <c r="F136" s="5" t="s">
        <v>138</v>
      </c>
      <c r="G136" s="5" t="s">
        <v>139</v>
      </c>
      <c r="H136" s="5">
        <v>41.65</v>
      </c>
      <c r="I136" s="5">
        <v>8.33</v>
      </c>
      <c r="J136" s="5">
        <v>50</v>
      </c>
      <c r="K136" s="5">
        <v>50</v>
      </c>
      <c r="L136" s="61">
        <v>46226.222222222219</v>
      </c>
      <c r="M136" s="61">
        <v>46227.243055555555</v>
      </c>
      <c r="AA136" s="5" t="s">
        <v>25</v>
      </c>
      <c r="AB136" s="5" t="s">
        <v>26</v>
      </c>
    </row>
    <row r="137" spans="1:28" s="44" customFormat="1" x14ac:dyDescent="0.25">
      <c r="A137" s="44" t="s">
        <v>117</v>
      </c>
      <c r="B137" s="44" t="s">
        <v>136</v>
      </c>
      <c r="C137" s="44">
        <v>5</v>
      </c>
      <c r="E137" s="44" t="s">
        <v>137</v>
      </c>
      <c r="F137" s="44" t="s">
        <v>138</v>
      </c>
      <c r="G137" s="44" t="s">
        <v>139</v>
      </c>
      <c r="H137" s="44">
        <v>125</v>
      </c>
      <c r="I137" s="44">
        <v>25</v>
      </c>
      <c r="J137" s="44">
        <v>150</v>
      </c>
      <c r="K137" s="44">
        <v>0</v>
      </c>
      <c r="L137" s="84">
        <v>46218.097222222219</v>
      </c>
      <c r="M137" s="84">
        <v>46221.145833333336</v>
      </c>
      <c r="AA137" s="44" t="s">
        <v>25</v>
      </c>
      <c r="AB137" s="44" t="s">
        <v>26</v>
      </c>
    </row>
    <row r="138" spans="1:28" s="57" customFormat="1" x14ac:dyDescent="0.25">
      <c r="A138" s="57" t="s">
        <v>117</v>
      </c>
      <c r="B138" s="57" t="s">
        <v>141</v>
      </c>
      <c r="C138" s="57">
        <v>7</v>
      </c>
      <c r="E138" s="57" t="s">
        <v>142</v>
      </c>
      <c r="F138" s="57" t="s">
        <v>143</v>
      </c>
      <c r="G138" s="57" t="s">
        <v>144</v>
      </c>
      <c r="H138" s="57">
        <v>588</v>
      </c>
      <c r="I138" s="57">
        <v>84</v>
      </c>
      <c r="J138" s="57">
        <v>504</v>
      </c>
      <c r="K138" s="57">
        <v>37</v>
      </c>
      <c r="L138" s="68">
        <v>46208.958333333336</v>
      </c>
      <c r="M138" s="68">
        <v>46220.138888888891</v>
      </c>
      <c r="O138" s="57" t="s">
        <v>87</v>
      </c>
      <c r="AA138" s="57" t="s">
        <v>25</v>
      </c>
      <c r="AB138" s="57" t="s">
        <v>26</v>
      </c>
    </row>
    <row r="139" spans="1:28" x14ac:dyDescent="0.25">
      <c r="A139" t="s">
        <v>117</v>
      </c>
      <c r="B139" t="s">
        <v>141</v>
      </c>
      <c r="C139">
        <v>8</v>
      </c>
      <c r="E139" t="s">
        <v>145</v>
      </c>
      <c r="F139" t="s">
        <v>146</v>
      </c>
      <c r="G139" t="s">
        <v>147</v>
      </c>
      <c r="H139">
        <v>252</v>
      </c>
      <c r="I139">
        <v>31.5</v>
      </c>
      <c r="J139">
        <v>252</v>
      </c>
      <c r="K139">
        <v>0</v>
      </c>
      <c r="L139" s="3">
        <v>46220.145833333336</v>
      </c>
      <c r="M139" s="3">
        <v>46225.138888888891</v>
      </c>
      <c r="R139" s="12"/>
      <c r="S139" s="12"/>
      <c r="AA139" t="s">
        <v>25</v>
      </c>
      <c r="AB139" t="s">
        <v>26</v>
      </c>
    </row>
    <row r="140" spans="1:28" x14ac:dyDescent="0.25">
      <c r="A140" t="s">
        <v>117</v>
      </c>
      <c r="B140" t="s">
        <v>141</v>
      </c>
      <c r="C140">
        <v>8</v>
      </c>
      <c r="E140" t="s">
        <v>1208</v>
      </c>
      <c r="F140" t="s">
        <v>1209</v>
      </c>
      <c r="G140" t="s">
        <v>1210</v>
      </c>
      <c r="H140">
        <f>8*21</f>
        <v>168</v>
      </c>
      <c r="I140">
        <v>21</v>
      </c>
      <c r="J140">
        <v>250</v>
      </c>
      <c r="K140">
        <v>0</v>
      </c>
      <c r="L140" s="3">
        <f>+M139</f>
        <v>46225.138888888891</v>
      </c>
      <c r="M140" s="3">
        <f>+L140+I140/24</f>
        <v>46226.013888888891</v>
      </c>
    </row>
    <row r="141" spans="1:28" x14ac:dyDescent="0.25">
      <c r="A141" t="s">
        <v>117</v>
      </c>
      <c r="B141" t="s">
        <v>141</v>
      </c>
      <c r="C141">
        <v>8</v>
      </c>
      <c r="E141" t="s">
        <v>148</v>
      </c>
      <c r="F141" t="s">
        <v>149</v>
      </c>
      <c r="G141" t="s">
        <v>150</v>
      </c>
      <c r="H141">
        <v>198</v>
      </c>
      <c r="I141">
        <v>24.75</v>
      </c>
      <c r="J141">
        <v>198</v>
      </c>
      <c r="K141">
        <v>0</v>
      </c>
      <c r="L141" s="3">
        <v>46226</v>
      </c>
      <c r="M141" s="3">
        <v>46227.569444444445</v>
      </c>
      <c r="AA141" t="s">
        <v>25</v>
      </c>
      <c r="AB141" t="s">
        <v>26</v>
      </c>
    </row>
    <row r="142" spans="1:28" s="12" customFormat="1" x14ac:dyDescent="0.25">
      <c r="A142" s="12" t="s">
        <v>117</v>
      </c>
      <c r="B142" s="12" t="s">
        <v>141</v>
      </c>
      <c r="C142" s="12">
        <v>6</v>
      </c>
      <c r="E142" s="12" t="s">
        <v>151</v>
      </c>
      <c r="F142" s="12" t="s">
        <v>152</v>
      </c>
      <c r="G142" s="12" t="s">
        <v>153</v>
      </c>
      <c r="H142" s="12">
        <v>95.22</v>
      </c>
      <c r="I142" s="12">
        <v>15.87</v>
      </c>
      <c r="J142" s="12">
        <v>50</v>
      </c>
      <c r="K142" s="12">
        <v>0</v>
      </c>
      <c r="L142" s="32">
        <v>46227.576388888891</v>
      </c>
      <c r="M142" s="32">
        <v>46231.215277777781</v>
      </c>
      <c r="AA142" s="12" t="s">
        <v>25</v>
      </c>
      <c r="AB142" s="12" t="s">
        <v>26</v>
      </c>
    </row>
    <row r="143" spans="1:28" s="59" customFormat="1" x14ac:dyDescent="0.25">
      <c r="A143" s="5" t="s">
        <v>117</v>
      </c>
      <c r="B143" s="5" t="s">
        <v>154</v>
      </c>
      <c r="C143" s="5">
        <v>8</v>
      </c>
      <c r="D143" s="5"/>
      <c r="E143" s="5" t="s">
        <v>155</v>
      </c>
      <c r="F143" s="5" t="s">
        <v>156</v>
      </c>
      <c r="G143" s="5" t="s">
        <v>157</v>
      </c>
      <c r="H143" s="5">
        <v>224</v>
      </c>
      <c r="I143" s="5">
        <v>28</v>
      </c>
      <c r="J143" s="5">
        <v>252</v>
      </c>
      <c r="K143" s="5">
        <v>252</v>
      </c>
      <c r="L143" s="61">
        <v>46209.291666666664</v>
      </c>
      <c r="M143" s="61">
        <v>46210.805555555555</v>
      </c>
      <c r="N143" s="5"/>
      <c r="O143" s="5" t="s">
        <v>87</v>
      </c>
      <c r="P143" s="5"/>
      <c r="Q143" s="5"/>
      <c r="AA143" s="59" t="s">
        <v>25</v>
      </c>
      <c r="AB143" s="59" t="s">
        <v>26</v>
      </c>
    </row>
    <row r="144" spans="1:28" x14ac:dyDescent="0.25">
      <c r="A144" s="70" t="s">
        <v>117</v>
      </c>
      <c r="B144" s="70" t="s">
        <v>154</v>
      </c>
      <c r="C144" s="70">
        <v>8</v>
      </c>
      <c r="D144" s="70"/>
      <c r="E144" s="70" t="s">
        <v>158</v>
      </c>
      <c r="F144" s="70" t="s">
        <v>156</v>
      </c>
      <c r="G144" s="70" t="s">
        <v>157</v>
      </c>
      <c r="H144" s="70">
        <v>224</v>
      </c>
      <c r="I144" s="70">
        <v>28</v>
      </c>
      <c r="J144" s="70">
        <v>252</v>
      </c>
      <c r="K144" s="70">
        <v>128</v>
      </c>
      <c r="L144" s="71">
        <v>46210.8125</v>
      </c>
      <c r="M144" s="71">
        <v>46212.659722222219</v>
      </c>
      <c r="N144" s="70"/>
      <c r="O144" s="70" t="s">
        <v>87</v>
      </c>
      <c r="P144" s="70"/>
      <c r="Q144" s="70"/>
      <c r="R144" s="12"/>
      <c r="S144" s="12"/>
      <c r="AA144" t="s">
        <v>25</v>
      </c>
      <c r="AB144" t="s">
        <v>26</v>
      </c>
    </row>
    <row r="145" spans="1:28" x14ac:dyDescent="0.25">
      <c r="A145" t="s">
        <v>117</v>
      </c>
      <c r="B145" t="s">
        <v>154</v>
      </c>
      <c r="C145">
        <v>8</v>
      </c>
      <c r="E145" t="s">
        <v>159</v>
      </c>
      <c r="F145" t="s">
        <v>160</v>
      </c>
      <c r="G145" t="s">
        <v>161</v>
      </c>
      <c r="H145">
        <v>268.8</v>
      </c>
      <c r="I145">
        <v>33.6</v>
      </c>
      <c r="J145">
        <v>504</v>
      </c>
      <c r="K145">
        <v>0</v>
      </c>
      <c r="L145" s="3">
        <v>46212.666666666664</v>
      </c>
      <c r="M145" s="3">
        <v>46216.75</v>
      </c>
      <c r="O145" t="s">
        <v>87</v>
      </c>
      <c r="AA145" t="s">
        <v>25</v>
      </c>
      <c r="AB145" t="s">
        <v>26</v>
      </c>
    </row>
    <row r="146" spans="1:28" x14ac:dyDescent="0.25">
      <c r="A146" t="s">
        <v>117</v>
      </c>
      <c r="B146" t="s">
        <v>154</v>
      </c>
      <c r="C146">
        <v>8</v>
      </c>
      <c r="E146" t="s">
        <v>162</v>
      </c>
      <c r="F146" t="s">
        <v>163</v>
      </c>
      <c r="G146" t="s">
        <v>164</v>
      </c>
      <c r="H146">
        <v>134.4</v>
      </c>
      <c r="I146">
        <v>16.8</v>
      </c>
      <c r="J146">
        <v>252</v>
      </c>
      <c r="K146">
        <v>0</v>
      </c>
      <c r="L146" s="3">
        <v>46216.756944444445</v>
      </c>
      <c r="M146" s="3">
        <v>46217.805555555555</v>
      </c>
      <c r="O146" t="s">
        <v>87</v>
      </c>
      <c r="AA146" t="s">
        <v>25</v>
      </c>
      <c r="AB146" t="s">
        <v>26</v>
      </c>
    </row>
    <row r="147" spans="1:28" x14ac:dyDescent="0.25">
      <c r="A147" t="s">
        <v>117</v>
      </c>
      <c r="B147" t="s">
        <v>154</v>
      </c>
      <c r="C147">
        <v>8</v>
      </c>
      <c r="E147" t="s">
        <v>1223</v>
      </c>
      <c r="F147" t="s">
        <v>160</v>
      </c>
      <c r="G147" t="s">
        <v>161</v>
      </c>
      <c r="H147">
        <v>268.8</v>
      </c>
      <c r="I147">
        <v>33.6</v>
      </c>
      <c r="J147">
        <v>504</v>
      </c>
      <c r="K147">
        <v>0</v>
      </c>
      <c r="L147" s="3">
        <v>46212.666666666664</v>
      </c>
      <c r="M147" s="3">
        <v>46216.75</v>
      </c>
      <c r="AA147" t="s">
        <v>25</v>
      </c>
      <c r="AB147" t="s">
        <v>26</v>
      </c>
    </row>
    <row r="148" spans="1:28" x14ac:dyDescent="0.25">
      <c r="A148" t="s">
        <v>117</v>
      </c>
      <c r="B148" t="s">
        <v>154</v>
      </c>
      <c r="C148">
        <v>8</v>
      </c>
      <c r="E148" t="s">
        <v>1224</v>
      </c>
      <c r="F148" t="s">
        <v>160</v>
      </c>
      <c r="G148" t="s">
        <v>161</v>
      </c>
      <c r="H148">
        <v>268.8</v>
      </c>
      <c r="I148">
        <v>33.6</v>
      </c>
      <c r="J148">
        <v>504</v>
      </c>
      <c r="K148">
        <v>0</v>
      </c>
      <c r="L148" s="3">
        <v>46212.666666666664</v>
      </c>
      <c r="M148" s="3">
        <v>46216.75</v>
      </c>
      <c r="AA148" t="s">
        <v>25</v>
      </c>
      <c r="AB148" t="s">
        <v>26</v>
      </c>
    </row>
    <row r="149" spans="1:28" x14ac:dyDescent="0.25">
      <c r="A149" t="s">
        <v>117</v>
      </c>
      <c r="B149" t="s">
        <v>154</v>
      </c>
      <c r="C149">
        <v>8</v>
      </c>
      <c r="E149" t="s">
        <v>165</v>
      </c>
      <c r="F149" t="s">
        <v>166</v>
      </c>
      <c r="G149" t="s">
        <v>167</v>
      </c>
      <c r="H149">
        <v>224</v>
      </c>
      <c r="I149">
        <v>28</v>
      </c>
      <c r="J149">
        <v>252</v>
      </c>
      <c r="K149">
        <v>0</v>
      </c>
      <c r="L149" s="3">
        <v>46217.8125</v>
      </c>
      <c r="M149" s="3">
        <v>46219.659722222219</v>
      </c>
      <c r="AA149" t="s">
        <v>25</v>
      </c>
      <c r="AB149" t="s">
        <v>26</v>
      </c>
    </row>
    <row r="150" spans="1:28" x14ac:dyDescent="0.25">
      <c r="A150" t="s">
        <v>117</v>
      </c>
      <c r="B150" t="s">
        <v>154</v>
      </c>
      <c r="C150">
        <v>8</v>
      </c>
      <c r="E150" t="s">
        <v>168</v>
      </c>
      <c r="F150" t="s">
        <v>169</v>
      </c>
      <c r="G150" t="s">
        <v>170</v>
      </c>
      <c r="H150">
        <v>448</v>
      </c>
      <c r="I150">
        <v>56</v>
      </c>
      <c r="J150">
        <v>504</v>
      </c>
      <c r="K150">
        <v>0</v>
      </c>
      <c r="L150" s="3">
        <v>46219.666666666664</v>
      </c>
      <c r="M150" s="3">
        <v>46225.347222222219</v>
      </c>
      <c r="AA150" t="s">
        <v>25</v>
      </c>
      <c r="AB150" t="s">
        <v>26</v>
      </c>
    </row>
    <row r="151" spans="1:28" x14ac:dyDescent="0.25">
      <c r="A151" t="s">
        <v>117</v>
      </c>
      <c r="B151" t="s">
        <v>154</v>
      </c>
      <c r="C151">
        <v>8</v>
      </c>
      <c r="E151" t="s">
        <v>171</v>
      </c>
      <c r="F151" t="s">
        <v>169</v>
      </c>
      <c r="G151" t="s">
        <v>170</v>
      </c>
      <c r="H151">
        <v>448</v>
      </c>
      <c r="I151">
        <v>56</v>
      </c>
      <c r="J151">
        <v>504</v>
      </c>
      <c r="K151">
        <v>0</v>
      </c>
      <c r="L151" s="3">
        <v>46225.354166666664</v>
      </c>
      <c r="M151" s="3">
        <v>46230.701388888891</v>
      </c>
      <c r="AA151" t="s">
        <v>25</v>
      </c>
      <c r="AB151" t="s">
        <v>26</v>
      </c>
    </row>
    <row r="152" spans="1:28" s="12" customFormat="1" x14ac:dyDescent="0.25">
      <c r="A152" s="12" t="s">
        <v>117</v>
      </c>
      <c r="B152" s="12" t="s">
        <v>154</v>
      </c>
      <c r="C152" s="12">
        <v>8</v>
      </c>
      <c r="E152" s="12" t="s">
        <v>172</v>
      </c>
      <c r="F152" s="12" t="s">
        <v>173</v>
      </c>
      <c r="G152" s="12" t="s">
        <v>174</v>
      </c>
      <c r="H152" s="12">
        <v>448</v>
      </c>
      <c r="I152" s="12">
        <v>56</v>
      </c>
      <c r="J152" s="12">
        <v>504</v>
      </c>
      <c r="K152" s="12">
        <v>0</v>
      </c>
      <c r="L152" s="32">
        <v>46230.708333333336</v>
      </c>
      <c r="M152" s="32">
        <v>46234.388888888891</v>
      </c>
      <c r="AA152" s="12" t="s">
        <v>25</v>
      </c>
      <c r="AB152" s="12" t="s">
        <v>26</v>
      </c>
    </row>
    <row r="153" spans="1:28" s="57" customFormat="1" x14ac:dyDescent="0.25">
      <c r="A153" s="57" t="s">
        <v>117</v>
      </c>
      <c r="B153" s="57" t="s">
        <v>175</v>
      </c>
      <c r="C153" s="57">
        <v>8</v>
      </c>
      <c r="E153" s="57" t="s">
        <v>178</v>
      </c>
      <c r="F153" s="57" t="s">
        <v>176</v>
      </c>
      <c r="G153" s="57" t="s">
        <v>177</v>
      </c>
      <c r="H153" s="57">
        <v>576</v>
      </c>
      <c r="I153" s="57">
        <v>72</v>
      </c>
      <c r="J153" s="57">
        <v>504</v>
      </c>
      <c r="K153" s="57">
        <v>284</v>
      </c>
      <c r="L153" s="68">
        <v>46210.416666666664</v>
      </c>
      <c r="M153" s="68">
        <v>46216.430555555555</v>
      </c>
      <c r="O153" s="57" t="s">
        <v>87</v>
      </c>
      <c r="AA153" s="57" t="s">
        <v>25</v>
      </c>
      <c r="AB153" s="57" t="s">
        <v>26</v>
      </c>
    </row>
    <row r="154" spans="1:28" s="77" customFormat="1" ht="15.75" thickBot="1" x14ac:dyDescent="0.3">
      <c r="F154" s="77" t="s">
        <v>1568</v>
      </c>
      <c r="L154" s="78"/>
      <c r="M154" s="78"/>
    </row>
    <row r="155" spans="1:28" s="79" customFormat="1" ht="15.75" thickTop="1" x14ac:dyDescent="0.25">
      <c r="A155" s="79" t="s">
        <v>117</v>
      </c>
      <c r="B155" s="79" t="s">
        <v>175</v>
      </c>
      <c r="C155" s="79">
        <v>8</v>
      </c>
      <c r="E155" s="79" t="s">
        <v>179</v>
      </c>
      <c r="F155" s="79" t="s">
        <v>176</v>
      </c>
      <c r="G155" s="79" t="s">
        <v>177</v>
      </c>
      <c r="H155" s="79">
        <v>576</v>
      </c>
      <c r="I155" s="79">
        <v>72</v>
      </c>
      <c r="J155" s="79">
        <v>504</v>
      </c>
      <c r="K155" s="79">
        <v>0</v>
      </c>
      <c r="L155" s="80">
        <v>46216.4375</v>
      </c>
      <c r="M155" s="80">
        <v>46220.493055555555</v>
      </c>
      <c r="R155" s="81"/>
      <c r="S155" s="81"/>
      <c r="AA155" s="79" t="s">
        <v>25</v>
      </c>
      <c r="AB155" s="79" t="s">
        <v>26</v>
      </c>
    </row>
    <row r="156" spans="1:28" x14ac:dyDescent="0.25">
      <c r="A156" t="s">
        <v>117</v>
      </c>
      <c r="B156" t="s">
        <v>175</v>
      </c>
      <c r="C156">
        <v>8</v>
      </c>
      <c r="E156" t="s">
        <v>1221</v>
      </c>
      <c r="F156" t="s">
        <v>176</v>
      </c>
      <c r="G156" t="s">
        <v>177</v>
      </c>
      <c r="H156">
        <v>576</v>
      </c>
      <c r="I156">
        <v>72</v>
      </c>
      <c r="J156">
        <v>504</v>
      </c>
      <c r="K156">
        <v>0</v>
      </c>
      <c r="L156" s="3">
        <v>46216.4375</v>
      </c>
      <c r="M156" s="3">
        <v>46220.493055555555</v>
      </c>
      <c r="AA156" t="s">
        <v>25</v>
      </c>
      <c r="AB156" t="s">
        <v>26</v>
      </c>
    </row>
    <row r="157" spans="1:28" x14ac:dyDescent="0.25">
      <c r="A157" t="s">
        <v>117</v>
      </c>
      <c r="B157" t="s">
        <v>175</v>
      </c>
      <c r="C157">
        <v>8</v>
      </c>
      <c r="E157" t="s">
        <v>1222</v>
      </c>
      <c r="F157" t="s">
        <v>176</v>
      </c>
      <c r="G157" t="s">
        <v>177</v>
      </c>
      <c r="H157">
        <v>576</v>
      </c>
      <c r="I157">
        <v>72</v>
      </c>
      <c r="J157">
        <v>504</v>
      </c>
      <c r="K157">
        <v>0</v>
      </c>
      <c r="L157" s="3">
        <v>46216.4375</v>
      </c>
      <c r="M157" s="3">
        <v>46220.493055555555</v>
      </c>
      <c r="AA157" t="s">
        <v>25</v>
      </c>
      <c r="AB157" t="s">
        <v>26</v>
      </c>
    </row>
    <row r="158" spans="1:28" s="12" customFormat="1" x14ac:dyDescent="0.25">
      <c r="A158" s="12" t="s">
        <v>117</v>
      </c>
      <c r="B158" s="12" t="s">
        <v>180</v>
      </c>
      <c r="C158" s="12">
        <v>1</v>
      </c>
      <c r="E158" s="12" t="s">
        <v>181</v>
      </c>
      <c r="F158" s="12" t="s">
        <v>182</v>
      </c>
      <c r="G158" s="12" t="s">
        <v>183</v>
      </c>
      <c r="H158" s="12">
        <v>16.670000000000002</v>
      </c>
      <c r="I158" s="12">
        <v>16.670000000000002</v>
      </c>
      <c r="J158" s="12">
        <v>2500</v>
      </c>
      <c r="K158" s="12">
        <v>0</v>
      </c>
      <c r="L158" s="32">
        <v>46209.291666666664</v>
      </c>
      <c r="M158" s="32">
        <v>46211.333333333336</v>
      </c>
      <c r="AA158" s="12" t="s">
        <v>25</v>
      </c>
      <c r="AB158" s="12" t="s">
        <v>26</v>
      </c>
    </row>
    <row r="159" spans="1:28" x14ac:dyDescent="0.25">
      <c r="A159" t="s">
        <v>117</v>
      </c>
      <c r="B159" t="s">
        <v>184</v>
      </c>
      <c r="C159">
        <v>1</v>
      </c>
      <c r="E159" t="s">
        <v>185</v>
      </c>
      <c r="F159" t="s">
        <v>186</v>
      </c>
      <c r="G159" t="s">
        <v>187</v>
      </c>
      <c r="H159">
        <v>20</v>
      </c>
      <c r="I159">
        <v>20</v>
      </c>
      <c r="J159">
        <v>50</v>
      </c>
      <c r="K159">
        <v>0</v>
      </c>
      <c r="L159" s="3">
        <v>46209.583333333336</v>
      </c>
      <c r="M159" s="3">
        <v>46212.423611111109</v>
      </c>
      <c r="AA159" t="s">
        <v>25</v>
      </c>
      <c r="AB159" t="s">
        <v>26</v>
      </c>
    </row>
    <row r="160" spans="1:28" s="12" customFormat="1" x14ac:dyDescent="0.25">
      <c r="A160" s="12" t="s">
        <v>117</v>
      </c>
      <c r="B160" s="12" t="s">
        <v>184</v>
      </c>
      <c r="C160" s="12">
        <v>1</v>
      </c>
      <c r="E160" s="12" t="s">
        <v>188</v>
      </c>
      <c r="F160" s="12" t="s">
        <v>189</v>
      </c>
      <c r="G160" s="12" t="s">
        <v>190</v>
      </c>
      <c r="H160" s="12">
        <v>40</v>
      </c>
      <c r="I160" s="12">
        <v>5.2</v>
      </c>
      <c r="J160" s="12">
        <v>100</v>
      </c>
      <c r="K160" s="12">
        <v>87</v>
      </c>
      <c r="L160" s="32">
        <v>46212.430555555555</v>
      </c>
      <c r="M160" s="32">
        <v>46213.3125</v>
      </c>
      <c r="AA160" s="12" t="s">
        <v>25</v>
      </c>
      <c r="AB160" s="12" t="s">
        <v>26</v>
      </c>
    </row>
    <row r="161" spans="1:28" x14ac:dyDescent="0.25">
      <c r="A161" t="s">
        <v>117</v>
      </c>
      <c r="B161" t="s">
        <v>191</v>
      </c>
      <c r="C161">
        <v>1</v>
      </c>
      <c r="E161" t="s">
        <v>192</v>
      </c>
      <c r="F161" t="s">
        <v>193</v>
      </c>
      <c r="G161" t="s">
        <v>194</v>
      </c>
      <c r="H161">
        <v>0.03</v>
      </c>
      <c r="I161">
        <v>0.03</v>
      </c>
      <c r="J161">
        <v>5654</v>
      </c>
      <c r="K161">
        <v>0</v>
      </c>
      <c r="L161" s="3">
        <v>46209.291666666664</v>
      </c>
      <c r="M161" s="3">
        <v>46209.3125</v>
      </c>
      <c r="N161" t="s">
        <v>86</v>
      </c>
      <c r="AA161" t="s">
        <v>25</v>
      </c>
      <c r="AB161" t="s">
        <v>26</v>
      </c>
    </row>
    <row r="162" spans="1:28" s="12" customFormat="1" x14ac:dyDescent="0.25">
      <c r="A162" s="12" t="s">
        <v>117</v>
      </c>
      <c r="B162" s="12" t="s">
        <v>191</v>
      </c>
      <c r="C162" s="12">
        <v>1</v>
      </c>
      <c r="E162" s="12" t="s">
        <v>195</v>
      </c>
      <c r="F162" s="12" t="s">
        <v>196</v>
      </c>
      <c r="G162" s="12" t="s">
        <v>197</v>
      </c>
      <c r="H162" s="12">
        <v>13.33</v>
      </c>
      <c r="I162" s="12">
        <v>13.33</v>
      </c>
      <c r="J162" s="12">
        <v>400</v>
      </c>
      <c r="K162" s="12">
        <v>0</v>
      </c>
      <c r="L162" s="32">
        <v>46209.319444444445</v>
      </c>
      <c r="M162" s="32">
        <v>46210.555555555555</v>
      </c>
      <c r="AA162" s="12" t="s">
        <v>25</v>
      </c>
      <c r="AB162" s="12" t="s">
        <v>26</v>
      </c>
    </row>
    <row r="163" spans="1:28" s="59" customFormat="1" x14ac:dyDescent="0.25">
      <c r="A163" s="5" t="s">
        <v>117</v>
      </c>
      <c r="B163" s="5" t="s">
        <v>198</v>
      </c>
      <c r="C163" s="5">
        <v>7</v>
      </c>
      <c r="D163" s="5" t="s">
        <v>64</v>
      </c>
      <c r="E163" s="5" t="s">
        <v>199</v>
      </c>
      <c r="F163" s="5" t="s">
        <v>200</v>
      </c>
      <c r="G163" s="5" t="s">
        <v>201</v>
      </c>
      <c r="H163" s="5">
        <v>336</v>
      </c>
      <c r="I163" s="5">
        <v>48</v>
      </c>
      <c r="J163" s="5">
        <v>1344</v>
      </c>
      <c r="K163" s="5">
        <v>650</v>
      </c>
      <c r="L163" s="61">
        <v>46208.958333333336</v>
      </c>
      <c r="M163" s="61">
        <v>46211.972222222219</v>
      </c>
      <c r="N163" s="5"/>
      <c r="O163" s="5" t="s">
        <v>87</v>
      </c>
      <c r="P163" s="5"/>
      <c r="Q163" s="5"/>
      <c r="AA163" s="59" t="s">
        <v>25</v>
      </c>
      <c r="AB163" s="59" t="s">
        <v>26</v>
      </c>
    </row>
    <row r="164" spans="1:28" s="70" customFormat="1" x14ac:dyDescent="0.25">
      <c r="A164" s="70" t="s">
        <v>1557</v>
      </c>
      <c r="B164" s="70" t="s">
        <v>198</v>
      </c>
      <c r="C164" s="70">
        <v>7</v>
      </c>
      <c r="D164" s="70" t="s">
        <v>64</v>
      </c>
      <c r="E164" s="70" t="s">
        <v>202</v>
      </c>
      <c r="F164" s="70" t="s">
        <v>200</v>
      </c>
      <c r="G164" s="70" t="s">
        <v>201</v>
      </c>
      <c r="H164" s="70">
        <v>336</v>
      </c>
      <c r="I164" s="70">
        <v>48</v>
      </c>
      <c r="J164" s="70">
        <v>1344</v>
      </c>
      <c r="K164" s="70">
        <v>675</v>
      </c>
      <c r="L164" s="71">
        <v>46211.979166666664</v>
      </c>
      <c r="M164" s="71">
        <v>46216.993055555555</v>
      </c>
      <c r="O164" s="70" t="s">
        <v>87</v>
      </c>
      <c r="AA164" s="70" t="s">
        <v>25</v>
      </c>
      <c r="AB164" s="70" t="s">
        <v>26</v>
      </c>
    </row>
    <row r="165" spans="1:28" x14ac:dyDescent="0.25">
      <c r="A165" t="s">
        <v>117</v>
      </c>
      <c r="B165" t="s">
        <v>198</v>
      </c>
      <c r="C165">
        <v>7</v>
      </c>
      <c r="D165" t="s">
        <v>64</v>
      </c>
      <c r="E165" t="s">
        <v>203</v>
      </c>
      <c r="F165" t="s">
        <v>200</v>
      </c>
      <c r="G165" t="s">
        <v>201</v>
      </c>
      <c r="H165">
        <v>336</v>
      </c>
      <c r="I165">
        <v>48</v>
      </c>
      <c r="J165">
        <v>1344</v>
      </c>
      <c r="K165">
        <v>0</v>
      </c>
      <c r="L165" s="3">
        <v>46217</v>
      </c>
      <c r="M165" s="3">
        <v>46220.013888888891</v>
      </c>
      <c r="O165" t="s">
        <v>87</v>
      </c>
      <c r="Q165" s="82">
        <v>46211</v>
      </c>
      <c r="AA165" t="s">
        <v>25</v>
      </c>
      <c r="AB165" t="s">
        <v>26</v>
      </c>
    </row>
    <row r="166" spans="1:28" x14ac:dyDescent="0.25">
      <c r="A166" t="s">
        <v>117</v>
      </c>
      <c r="B166" t="s">
        <v>198</v>
      </c>
      <c r="C166">
        <v>7</v>
      </c>
      <c r="D166" t="s">
        <v>64</v>
      </c>
      <c r="E166" t="s">
        <v>204</v>
      </c>
      <c r="F166" t="s">
        <v>200</v>
      </c>
      <c r="G166" t="s">
        <v>201</v>
      </c>
      <c r="H166">
        <v>336</v>
      </c>
      <c r="I166">
        <v>48</v>
      </c>
      <c r="J166">
        <v>1344</v>
      </c>
      <c r="K166">
        <v>0</v>
      </c>
      <c r="L166" s="3">
        <v>46220.020833333336</v>
      </c>
      <c r="M166" s="3">
        <v>46225.034722222219</v>
      </c>
      <c r="AA166" t="s">
        <v>25</v>
      </c>
      <c r="AB166" t="s">
        <v>26</v>
      </c>
    </row>
    <row r="167" spans="1:28" x14ac:dyDescent="0.25">
      <c r="A167" t="s">
        <v>117</v>
      </c>
      <c r="B167" t="s">
        <v>198</v>
      </c>
      <c r="C167">
        <v>7</v>
      </c>
      <c r="E167" t="s">
        <v>1515</v>
      </c>
      <c r="F167" t="s">
        <v>1516</v>
      </c>
      <c r="G167" t="s">
        <v>1517</v>
      </c>
      <c r="H167">
        <f>9*7</f>
        <v>63</v>
      </c>
      <c r="I167">
        <v>9</v>
      </c>
      <c r="J167">
        <v>252</v>
      </c>
      <c r="K167">
        <v>0</v>
      </c>
      <c r="L167" s="3">
        <v>46225</v>
      </c>
      <c r="M167" s="3">
        <v>46225</v>
      </c>
      <c r="Q167" s="70" t="s">
        <v>1558</v>
      </c>
    </row>
    <row r="168" spans="1:28" x14ac:dyDescent="0.25">
      <c r="A168" t="s">
        <v>117</v>
      </c>
      <c r="B168" t="s">
        <v>198</v>
      </c>
      <c r="C168">
        <v>7</v>
      </c>
      <c r="E168" t="s">
        <v>205</v>
      </c>
      <c r="F168" t="s">
        <v>206</v>
      </c>
      <c r="G168" t="s">
        <v>207</v>
      </c>
      <c r="H168">
        <v>252</v>
      </c>
      <c r="I168">
        <v>36</v>
      </c>
      <c r="J168">
        <v>1008</v>
      </c>
      <c r="K168">
        <v>0</v>
      </c>
      <c r="L168" s="3">
        <v>46225.041666666664</v>
      </c>
      <c r="M168" s="3">
        <v>46227.222222222219</v>
      </c>
      <c r="AA168" t="s">
        <v>25</v>
      </c>
      <c r="AB168" t="s">
        <v>26</v>
      </c>
    </row>
    <row r="169" spans="1:28" x14ac:dyDescent="0.25">
      <c r="A169" t="s">
        <v>117</v>
      </c>
      <c r="B169" t="s">
        <v>198</v>
      </c>
      <c r="C169">
        <v>7</v>
      </c>
      <c r="E169" t="s">
        <v>1518</v>
      </c>
      <c r="F169" t="s">
        <v>1519</v>
      </c>
      <c r="G169" t="s">
        <v>1520</v>
      </c>
      <c r="H169">
        <f>27*7</f>
        <v>189</v>
      </c>
      <c r="I169">
        <v>27</v>
      </c>
      <c r="J169">
        <v>756</v>
      </c>
      <c r="K169">
        <v>0</v>
      </c>
      <c r="L169" s="3">
        <v>46230</v>
      </c>
      <c r="M169" s="3">
        <v>46228</v>
      </c>
    </row>
    <row r="170" spans="1:28" x14ac:dyDescent="0.25">
      <c r="A170" t="s">
        <v>117</v>
      </c>
      <c r="B170" t="s">
        <v>198</v>
      </c>
      <c r="C170">
        <v>7</v>
      </c>
      <c r="E170" t="s">
        <v>1521</v>
      </c>
      <c r="F170" t="s">
        <v>1522</v>
      </c>
      <c r="G170" t="s">
        <v>1523</v>
      </c>
      <c r="H170">
        <f>18*7</f>
        <v>126</v>
      </c>
      <c r="I170">
        <v>18</v>
      </c>
      <c r="J170">
        <v>504</v>
      </c>
      <c r="K170">
        <v>0</v>
      </c>
      <c r="L170" s="3">
        <v>46228</v>
      </c>
      <c r="M170" s="3">
        <v>46229</v>
      </c>
    </row>
    <row r="171" spans="1:28" s="12" customFormat="1" x14ac:dyDescent="0.25">
      <c r="A171" s="12" t="s">
        <v>117</v>
      </c>
      <c r="B171" s="12" t="s">
        <v>198</v>
      </c>
      <c r="C171" s="12">
        <v>7</v>
      </c>
      <c r="D171" s="12" t="s">
        <v>64</v>
      </c>
      <c r="E171" s="12" t="s">
        <v>208</v>
      </c>
      <c r="F171" s="12" t="s">
        <v>200</v>
      </c>
      <c r="G171" s="12" t="s">
        <v>201</v>
      </c>
      <c r="H171" s="12">
        <v>336</v>
      </c>
      <c r="I171" s="12">
        <v>48</v>
      </c>
      <c r="J171" s="12">
        <v>1344</v>
      </c>
      <c r="K171" s="12">
        <v>0</v>
      </c>
      <c r="L171" s="32">
        <v>46227.229166666664</v>
      </c>
      <c r="M171" s="32">
        <v>46232.243055555555</v>
      </c>
      <c r="AA171" s="12" t="s">
        <v>25</v>
      </c>
      <c r="AB171" s="12" t="s">
        <v>26</v>
      </c>
    </row>
    <row r="172" spans="1:28" s="5" customFormat="1" x14ac:dyDescent="0.25">
      <c r="A172" s="5" t="s">
        <v>117</v>
      </c>
      <c r="B172" s="5" t="s">
        <v>209</v>
      </c>
      <c r="C172" s="5">
        <v>2</v>
      </c>
      <c r="E172" s="5" t="s">
        <v>210</v>
      </c>
      <c r="F172" s="5" t="s">
        <v>211</v>
      </c>
      <c r="G172" s="5" t="s">
        <v>212</v>
      </c>
      <c r="H172" s="5">
        <v>63</v>
      </c>
      <c r="I172" s="5">
        <v>31.5</v>
      </c>
      <c r="J172" s="5">
        <v>6300</v>
      </c>
      <c r="K172" s="5">
        <v>6300</v>
      </c>
      <c r="L172" s="61">
        <v>46208.958333333336</v>
      </c>
      <c r="M172" s="61">
        <v>46210.284722222219</v>
      </c>
      <c r="O172" s="5" t="s">
        <v>87</v>
      </c>
      <c r="AA172" s="5" t="s">
        <v>25</v>
      </c>
      <c r="AB172" s="5" t="s">
        <v>26</v>
      </c>
    </row>
    <row r="173" spans="1:28" s="70" customFormat="1" x14ac:dyDescent="0.25">
      <c r="A173" s="70" t="s">
        <v>117</v>
      </c>
      <c r="B173" s="70" t="s">
        <v>209</v>
      </c>
      <c r="C173" s="70">
        <v>2</v>
      </c>
      <c r="E173" s="70" t="s">
        <v>242</v>
      </c>
      <c r="F173" s="70" t="s">
        <v>211</v>
      </c>
      <c r="G173" s="70" t="s">
        <v>212</v>
      </c>
      <c r="H173" s="70">
        <v>63</v>
      </c>
      <c r="I173" s="70">
        <v>31.5</v>
      </c>
      <c r="J173" s="70">
        <v>6300</v>
      </c>
      <c r="K173" s="70">
        <v>3000</v>
      </c>
      <c r="L173" s="71">
        <v>46227.451388888891</v>
      </c>
      <c r="M173" s="71">
        <v>46230.777777777781</v>
      </c>
      <c r="O173" s="70" t="s">
        <v>87</v>
      </c>
      <c r="AA173" s="70" t="s">
        <v>25</v>
      </c>
      <c r="AB173" s="70" t="s">
        <v>26</v>
      </c>
    </row>
    <row r="174" spans="1:28" x14ac:dyDescent="0.25">
      <c r="A174" t="s">
        <v>117</v>
      </c>
      <c r="B174" t="s">
        <v>209</v>
      </c>
      <c r="C174">
        <v>2</v>
      </c>
      <c r="E174" t="s">
        <v>1225</v>
      </c>
      <c r="F174" t="s">
        <v>211</v>
      </c>
      <c r="G174" t="s">
        <v>212</v>
      </c>
      <c r="H174">
        <v>63</v>
      </c>
      <c r="I174">
        <v>31.5</v>
      </c>
      <c r="J174">
        <v>6300</v>
      </c>
      <c r="K174">
        <v>0</v>
      </c>
      <c r="L174" s="3">
        <v>46227.451388888891</v>
      </c>
      <c r="M174" s="3">
        <v>46230.777777777781</v>
      </c>
      <c r="AA174" t="s">
        <v>25</v>
      </c>
      <c r="AB174" t="s">
        <v>26</v>
      </c>
    </row>
    <row r="175" spans="1:28" x14ac:dyDescent="0.25">
      <c r="A175" t="s">
        <v>117</v>
      </c>
      <c r="B175" t="s">
        <v>209</v>
      </c>
      <c r="C175">
        <v>1</v>
      </c>
      <c r="E175" t="s">
        <v>1227</v>
      </c>
      <c r="F175" t="s">
        <v>1226</v>
      </c>
      <c r="G175" t="s">
        <v>1228</v>
      </c>
      <c r="H175">
        <v>63</v>
      </c>
      <c r="I175">
        <v>63</v>
      </c>
      <c r="J175">
        <v>6300</v>
      </c>
      <c r="K175">
        <v>0</v>
      </c>
      <c r="L175" s="3">
        <v>46211.625</v>
      </c>
      <c r="M175" s="3">
        <v>46216.263888888891</v>
      </c>
      <c r="AA175" t="s">
        <v>25</v>
      </c>
      <c r="AB175" t="s">
        <v>26</v>
      </c>
    </row>
    <row r="176" spans="1:28" x14ac:dyDescent="0.25">
      <c r="A176" t="s">
        <v>117</v>
      </c>
      <c r="B176" t="s">
        <v>209</v>
      </c>
      <c r="C176">
        <v>2</v>
      </c>
      <c r="E176" t="s">
        <v>213</v>
      </c>
      <c r="F176" t="s">
        <v>214</v>
      </c>
      <c r="G176" t="s">
        <v>215</v>
      </c>
      <c r="H176">
        <v>63</v>
      </c>
      <c r="I176">
        <v>31.5</v>
      </c>
      <c r="J176">
        <v>6300</v>
      </c>
      <c r="K176">
        <v>0</v>
      </c>
      <c r="L176" s="3">
        <v>46210.291666666664</v>
      </c>
      <c r="M176" s="3">
        <v>46211.618055555555</v>
      </c>
      <c r="AA176" t="s">
        <v>25</v>
      </c>
      <c r="AB176" t="s">
        <v>26</v>
      </c>
    </row>
    <row r="177" spans="1:28" s="33" customFormat="1" x14ac:dyDescent="0.25">
      <c r="A177" s="33" t="s">
        <v>117</v>
      </c>
      <c r="B177" s="33" t="s">
        <v>209</v>
      </c>
      <c r="C177" s="33">
        <v>2</v>
      </c>
      <c r="E177" s="33" t="s">
        <v>224</v>
      </c>
      <c r="F177" s="33" t="s">
        <v>225</v>
      </c>
      <c r="G177" s="33" t="s">
        <v>226</v>
      </c>
      <c r="H177" s="33">
        <v>20</v>
      </c>
      <c r="I177" s="33">
        <v>10</v>
      </c>
      <c r="J177" s="33">
        <v>2000</v>
      </c>
      <c r="K177" s="33">
        <v>0</v>
      </c>
      <c r="L177" s="34">
        <v>46223.069444444445</v>
      </c>
      <c r="M177" s="34">
        <v>46223.5</v>
      </c>
      <c r="AA177" s="33" t="s">
        <v>227</v>
      </c>
      <c r="AB177" s="33" t="s">
        <v>26</v>
      </c>
    </row>
    <row r="178" spans="1:28" s="33" customFormat="1" x14ac:dyDescent="0.25">
      <c r="A178" s="33" t="s">
        <v>117</v>
      </c>
      <c r="B178" s="33" t="s">
        <v>209</v>
      </c>
      <c r="C178" s="33">
        <v>2</v>
      </c>
      <c r="E178" s="33" t="s">
        <v>228</v>
      </c>
      <c r="F178" s="33" t="s">
        <v>229</v>
      </c>
      <c r="G178" s="33" t="s">
        <v>230</v>
      </c>
      <c r="H178" s="33">
        <v>25</v>
      </c>
      <c r="I178" s="33">
        <v>12.5</v>
      </c>
      <c r="J178" s="33">
        <v>2500</v>
      </c>
      <c r="K178" s="33">
        <v>0</v>
      </c>
      <c r="L178" s="34">
        <v>46223.506944444445</v>
      </c>
      <c r="M178" s="34">
        <v>46224.041666666664</v>
      </c>
      <c r="AA178" s="33" t="s">
        <v>227</v>
      </c>
      <c r="AB178" s="33" t="s">
        <v>26</v>
      </c>
    </row>
    <row r="179" spans="1:28" s="33" customFormat="1" x14ac:dyDescent="0.25">
      <c r="A179" s="33" t="s">
        <v>117</v>
      </c>
      <c r="B179" s="33" t="s">
        <v>209</v>
      </c>
      <c r="C179" s="33">
        <v>2</v>
      </c>
      <c r="E179" s="33" t="s">
        <v>231</v>
      </c>
      <c r="F179" s="33" t="s">
        <v>232</v>
      </c>
      <c r="G179" s="33" t="s">
        <v>233</v>
      </c>
      <c r="H179" s="33">
        <v>5</v>
      </c>
      <c r="I179" s="33">
        <v>2.5</v>
      </c>
      <c r="J179" s="33">
        <v>500</v>
      </c>
      <c r="K179" s="33">
        <v>0</v>
      </c>
      <c r="L179" s="34">
        <v>46224.048611111109</v>
      </c>
      <c r="M179" s="34">
        <v>46224.166666666664</v>
      </c>
      <c r="AA179" s="33" t="s">
        <v>227</v>
      </c>
      <c r="AB179" s="33" t="s">
        <v>26</v>
      </c>
    </row>
    <row r="180" spans="1:28" s="33" customFormat="1" x14ac:dyDescent="0.25">
      <c r="A180" s="33" t="s">
        <v>117</v>
      </c>
      <c r="B180" s="33" t="s">
        <v>209</v>
      </c>
      <c r="C180" s="33">
        <v>2</v>
      </c>
      <c r="E180" s="33" t="s">
        <v>234</v>
      </c>
      <c r="F180" s="33" t="s">
        <v>214</v>
      </c>
      <c r="G180" s="33" t="s">
        <v>215</v>
      </c>
      <c r="H180" s="33">
        <v>5</v>
      </c>
      <c r="I180" s="33">
        <v>2.5</v>
      </c>
      <c r="J180" s="33">
        <v>500</v>
      </c>
      <c r="K180" s="33">
        <v>0</v>
      </c>
      <c r="L180" s="34">
        <v>46224.173611111109</v>
      </c>
      <c r="M180" s="34">
        <v>46224.291666666664</v>
      </c>
      <c r="AA180" s="33" t="s">
        <v>227</v>
      </c>
      <c r="AB180" s="33" t="s">
        <v>26</v>
      </c>
    </row>
    <row r="181" spans="1:28" s="33" customFormat="1" x14ac:dyDescent="0.25">
      <c r="A181" s="33" t="s">
        <v>117</v>
      </c>
      <c r="B181" s="33" t="s">
        <v>209</v>
      </c>
      <c r="C181" s="33">
        <v>2</v>
      </c>
      <c r="E181" s="33" t="s">
        <v>235</v>
      </c>
      <c r="F181" s="33" t="s">
        <v>236</v>
      </c>
      <c r="G181" s="33" t="s">
        <v>237</v>
      </c>
      <c r="H181" s="33">
        <v>5</v>
      </c>
      <c r="I181" s="33">
        <v>2.5</v>
      </c>
      <c r="J181" s="33">
        <v>500</v>
      </c>
      <c r="K181" s="33">
        <v>0</v>
      </c>
      <c r="L181" s="34">
        <v>46224.298611111109</v>
      </c>
      <c r="M181" s="34">
        <v>46224.416666666664</v>
      </c>
      <c r="AA181" s="33" t="s">
        <v>227</v>
      </c>
      <c r="AB181" s="33" t="s">
        <v>26</v>
      </c>
    </row>
    <row r="182" spans="1:28" s="33" customFormat="1" x14ac:dyDescent="0.25">
      <c r="A182" s="33" t="s">
        <v>117</v>
      </c>
      <c r="B182" s="33" t="s">
        <v>209</v>
      </c>
      <c r="C182" s="33">
        <v>2</v>
      </c>
      <c r="E182" s="33" t="s">
        <v>238</v>
      </c>
      <c r="F182" s="33" t="s">
        <v>217</v>
      </c>
      <c r="G182" s="33" t="s">
        <v>218</v>
      </c>
      <c r="H182" s="33">
        <v>2.5</v>
      </c>
      <c r="I182" s="33">
        <v>1.25</v>
      </c>
      <c r="J182" s="33">
        <v>250</v>
      </c>
      <c r="K182" s="33">
        <v>0</v>
      </c>
      <c r="L182" s="34">
        <v>46224.423611111109</v>
      </c>
      <c r="M182" s="34">
        <v>46224.493055555555</v>
      </c>
      <c r="AA182" s="33" t="s">
        <v>227</v>
      </c>
      <c r="AB182" s="33" t="s">
        <v>26</v>
      </c>
    </row>
    <row r="183" spans="1:28" s="33" customFormat="1" x14ac:dyDescent="0.25">
      <c r="A183" s="33" t="s">
        <v>117</v>
      </c>
      <c r="B183" s="33" t="s">
        <v>209</v>
      </c>
      <c r="C183" s="33">
        <v>2</v>
      </c>
      <c r="E183" s="33" t="s">
        <v>239</v>
      </c>
      <c r="F183" s="33" t="s">
        <v>211</v>
      </c>
      <c r="G183" s="33" t="s">
        <v>212</v>
      </c>
      <c r="H183" s="33">
        <v>12.5</v>
      </c>
      <c r="I183" s="33">
        <v>6.25</v>
      </c>
      <c r="J183" s="33">
        <v>1250</v>
      </c>
      <c r="K183" s="33">
        <v>0</v>
      </c>
      <c r="L183" s="34">
        <v>46224.5</v>
      </c>
      <c r="M183" s="34">
        <v>46224.777777777781</v>
      </c>
      <c r="AA183" s="33" t="s">
        <v>227</v>
      </c>
      <c r="AB183" s="33" t="s">
        <v>26</v>
      </c>
    </row>
    <row r="184" spans="1:28" x14ac:dyDescent="0.25">
      <c r="A184" t="s">
        <v>117</v>
      </c>
      <c r="B184" t="s">
        <v>209</v>
      </c>
      <c r="C184">
        <v>1</v>
      </c>
      <c r="E184" t="s">
        <v>1232</v>
      </c>
      <c r="F184" t="s">
        <v>1226</v>
      </c>
      <c r="G184" t="s">
        <v>1228</v>
      </c>
      <c r="H184">
        <v>63</v>
      </c>
      <c r="I184">
        <v>63</v>
      </c>
      <c r="J184">
        <v>6300</v>
      </c>
      <c r="K184">
        <v>0</v>
      </c>
      <c r="L184" s="3">
        <v>46211.625</v>
      </c>
      <c r="M184" s="3">
        <v>46216.263888888891</v>
      </c>
      <c r="AA184" t="s">
        <v>25</v>
      </c>
      <c r="AB184" t="s">
        <v>26</v>
      </c>
    </row>
    <row r="185" spans="1:28" x14ac:dyDescent="0.25">
      <c r="A185" t="s">
        <v>117</v>
      </c>
      <c r="B185" t="s">
        <v>209</v>
      </c>
      <c r="C185">
        <v>2</v>
      </c>
      <c r="E185" t="s">
        <v>216</v>
      </c>
      <c r="F185" t="s">
        <v>217</v>
      </c>
      <c r="G185" t="s">
        <v>218</v>
      </c>
      <c r="H185">
        <v>63</v>
      </c>
      <c r="I185">
        <v>31.5</v>
      </c>
      <c r="J185">
        <v>6300</v>
      </c>
      <c r="K185">
        <v>0</v>
      </c>
      <c r="L185" s="3">
        <v>46216.270833333336</v>
      </c>
      <c r="M185" s="3">
        <v>46217.597222222219</v>
      </c>
      <c r="AA185" t="s">
        <v>25</v>
      </c>
      <c r="AB185" t="s">
        <v>26</v>
      </c>
    </row>
    <row r="186" spans="1:28" x14ac:dyDescent="0.25">
      <c r="A186" t="s">
        <v>117</v>
      </c>
      <c r="B186" t="s">
        <v>209</v>
      </c>
      <c r="C186">
        <v>2</v>
      </c>
      <c r="E186" t="s">
        <v>243</v>
      </c>
      <c r="F186" t="s">
        <v>229</v>
      </c>
      <c r="G186" t="s">
        <v>230</v>
      </c>
      <c r="H186">
        <v>63</v>
      </c>
      <c r="I186">
        <v>31.5</v>
      </c>
      <c r="J186">
        <v>6300</v>
      </c>
      <c r="K186">
        <v>0</v>
      </c>
      <c r="L186" s="3">
        <v>46230.784722222219</v>
      </c>
      <c r="M186" s="3">
        <v>46232.111111111109</v>
      </c>
      <c r="AA186" t="s">
        <v>25</v>
      </c>
      <c r="AB186" t="s">
        <v>26</v>
      </c>
    </row>
    <row r="187" spans="1:28" x14ac:dyDescent="0.25">
      <c r="A187" t="s">
        <v>117</v>
      </c>
      <c r="B187" t="s">
        <v>209</v>
      </c>
      <c r="C187">
        <v>2</v>
      </c>
      <c r="E187" t="s">
        <v>1229</v>
      </c>
      <c r="F187" t="s">
        <v>229</v>
      </c>
      <c r="G187" t="s">
        <v>230</v>
      </c>
      <c r="H187">
        <v>63</v>
      </c>
      <c r="I187">
        <v>31.5</v>
      </c>
      <c r="J187">
        <v>6300</v>
      </c>
      <c r="K187">
        <v>0</v>
      </c>
      <c r="L187" s="3">
        <v>46230.784722222219</v>
      </c>
      <c r="M187" s="3">
        <v>46232.111111111109</v>
      </c>
      <c r="AA187" t="s">
        <v>25</v>
      </c>
      <c r="AB187" t="s">
        <v>26</v>
      </c>
    </row>
    <row r="188" spans="1:28" x14ac:dyDescent="0.25">
      <c r="A188" t="s">
        <v>117</v>
      </c>
      <c r="B188" t="s">
        <v>209</v>
      </c>
      <c r="C188">
        <v>2</v>
      </c>
      <c r="E188" t="s">
        <v>1230</v>
      </c>
      <c r="F188" t="s">
        <v>229</v>
      </c>
      <c r="G188" t="s">
        <v>230</v>
      </c>
      <c r="H188">
        <v>63</v>
      </c>
      <c r="I188">
        <v>31.5</v>
      </c>
      <c r="J188">
        <v>6300</v>
      </c>
      <c r="K188">
        <v>0</v>
      </c>
      <c r="L188" s="3">
        <v>46230.784722222219</v>
      </c>
      <c r="M188" s="3">
        <v>46232.111111111109</v>
      </c>
      <c r="AA188" t="s">
        <v>25</v>
      </c>
      <c r="AB188" t="s">
        <v>26</v>
      </c>
    </row>
    <row r="189" spans="1:28" x14ac:dyDescent="0.25">
      <c r="A189" t="s">
        <v>117</v>
      </c>
      <c r="B189" t="s">
        <v>209</v>
      </c>
      <c r="C189">
        <v>2</v>
      </c>
      <c r="E189" t="s">
        <v>1231</v>
      </c>
      <c r="F189" t="s">
        <v>229</v>
      </c>
      <c r="G189" t="s">
        <v>230</v>
      </c>
      <c r="H189">
        <v>63</v>
      </c>
      <c r="I189">
        <v>31.5</v>
      </c>
      <c r="J189">
        <v>6300</v>
      </c>
      <c r="K189">
        <v>0</v>
      </c>
      <c r="L189" s="3">
        <v>46230.784722222219</v>
      </c>
      <c r="M189" s="3">
        <v>46232.111111111109</v>
      </c>
      <c r="AA189" t="s">
        <v>25</v>
      </c>
      <c r="AB189" t="s">
        <v>26</v>
      </c>
    </row>
    <row r="191" spans="1:28" x14ac:dyDescent="0.25">
      <c r="A191" t="s">
        <v>117</v>
      </c>
      <c r="B191" t="s">
        <v>209</v>
      </c>
      <c r="C191">
        <v>2</v>
      </c>
      <c r="E191" t="s">
        <v>221</v>
      </c>
      <c r="F191" t="s">
        <v>219</v>
      </c>
      <c r="G191" t="s">
        <v>220</v>
      </c>
      <c r="H191">
        <v>43.5</v>
      </c>
      <c r="I191">
        <v>21.75</v>
      </c>
      <c r="J191">
        <v>4350</v>
      </c>
      <c r="K191">
        <v>0</v>
      </c>
      <c r="L191" s="3">
        <v>46217.875</v>
      </c>
      <c r="M191" s="3">
        <v>46218.798611111109</v>
      </c>
      <c r="AA191" t="s">
        <v>25</v>
      </c>
      <c r="AB191" t="s">
        <v>26</v>
      </c>
    </row>
    <row r="192" spans="1:28" x14ac:dyDescent="0.25">
      <c r="A192" t="s">
        <v>117</v>
      </c>
      <c r="B192" t="s">
        <v>209</v>
      </c>
      <c r="C192">
        <v>2</v>
      </c>
      <c r="E192" t="s">
        <v>222</v>
      </c>
      <c r="F192" t="s">
        <v>214</v>
      </c>
      <c r="G192" t="s">
        <v>215</v>
      </c>
      <c r="H192">
        <v>63</v>
      </c>
      <c r="I192">
        <v>31.5</v>
      </c>
      <c r="J192">
        <v>6300</v>
      </c>
      <c r="K192">
        <v>0</v>
      </c>
      <c r="L192" s="3">
        <v>46218.805555555555</v>
      </c>
      <c r="M192" s="3">
        <v>46220.131944444445</v>
      </c>
      <c r="AA192" t="s">
        <v>25</v>
      </c>
      <c r="AB192" t="s">
        <v>26</v>
      </c>
    </row>
    <row r="193" spans="1:28" x14ac:dyDescent="0.25">
      <c r="A193" t="s">
        <v>117</v>
      </c>
      <c r="B193" t="s">
        <v>209</v>
      </c>
      <c r="C193">
        <v>2</v>
      </c>
      <c r="E193" t="s">
        <v>223</v>
      </c>
      <c r="F193" t="s">
        <v>219</v>
      </c>
      <c r="G193" t="s">
        <v>220</v>
      </c>
      <c r="H193">
        <v>43.5</v>
      </c>
      <c r="I193">
        <v>21.75</v>
      </c>
      <c r="J193">
        <v>4350</v>
      </c>
      <c r="K193">
        <v>0</v>
      </c>
      <c r="L193" s="3">
        <v>46220.138888888891</v>
      </c>
      <c r="M193" s="3">
        <v>46223.0625</v>
      </c>
      <c r="AA193" t="s">
        <v>25</v>
      </c>
      <c r="AB193" t="s">
        <v>26</v>
      </c>
    </row>
    <row r="194" spans="1:28" x14ac:dyDescent="0.25">
      <c r="A194" t="s">
        <v>117</v>
      </c>
      <c r="B194" t="s">
        <v>209</v>
      </c>
      <c r="C194">
        <v>2</v>
      </c>
      <c r="E194" t="s">
        <v>240</v>
      </c>
      <c r="F194" t="s">
        <v>214</v>
      </c>
      <c r="G194" t="s">
        <v>215</v>
      </c>
      <c r="H194">
        <v>63</v>
      </c>
      <c r="I194">
        <v>31.5</v>
      </c>
      <c r="J194">
        <v>6300</v>
      </c>
      <c r="K194">
        <v>0</v>
      </c>
      <c r="L194" s="3">
        <v>46224.784722222219</v>
      </c>
      <c r="M194" s="3">
        <v>46226.111111111109</v>
      </c>
      <c r="AA194" t="s">
        <v>25</v>
      </c>
      <c r="AB194" t="s">
        <v>26</v>
      </c>
    </row>
    <row r="195" spans="1:28" x14ac:dyDescent="0.25">
      <c r="A195" t="s">
        <v>117</v>
      </c>
      <c r="B195" t="s">
        <v>209</v>
      </c>
      <c r="C195">
        <v>2</v>
      </c>
      <c r="E195" t="s">
        <v>241</v>
      </c>
      <c r="F195" t="s">
        <v>214</v>
      </c>
      <c r="G195" t="s">
        <v>215</v>
      </c>
      <c r="H195">
        <v>63</v>
      </c>
      <c r="I195">
        <v>31.5</v>
      </c>
      <c r="J195">
        <v>6300</v>
      </c>
      <c r="K195">
        <v>0</v>
      </c>
      <c r="L195" s="3">
        <v>46226.118055555555</v>
      </c>
      <c r="M195" s="3">
        <v>46227.444444444445</v>
      </c>
      <c r="AA195" t="s">
        <v>25</v>
      </c>
      <c r="AB195" t="s">
        <v>26</v>
      </c>
    </row>
    <row r="197" spans="1:28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9"/>
      <c r="M197" s="9"/>
      <c r="N197" s="8"/>
      <c r="O197" s="8"/>
      <c r="P197" s="8"/>
      <c r="Q197" s="8"/>
      <c r="R197" s="8"/>
      <c r="S197" s="8"/>
    </row>
    <row r="198" spans="1:28" x14ac:dyDescent="0.25">
      <c r="A198" t="s">
        <v>244</v>
      </c>
      <c r="B198" t="s">
        <v>245</v>
      </c>
      <c r="C198">
        <v>1</v>
      </c>
      <c r="E198" t="s">
        <v>246</v>
      </c>
      <c r="F198" t="s">
        <v>247</v>
      </c>
      <c r="G198" t="s">
        <v>248</v>
      </c>
      <c r="H198">
        <v>25</v>
      </c>
      <c r="I198">
        <v>25</v>
      </c>
      <c r="J198">
        <v>3000</v>
      </c>
      <c r="K198">
        <v>0</v>
      </c>
      <c r="L198" s="3">
        <v>46208.958333333336</v>
      </c>
      <c r="M198" s="3">
        <v>46210.006944444445</v>
      </c>
      <c r="AA198" t="s">
        <v>25</v>
      </c>
      <c r="AB198" t="s">
        <v>26</v>
      </c>
    </row>
    <row r="199" spans="1:28" ht="15.75" thickBot="1" x14ac:dyDescent="0.3">
      <c r="A199" t="s">
        <v>244</v>
      </c>
      <c r="B199" t="s">
        <v>245</v>
      </c>
      <c r="C199">
        <v>1</v>
      </c>
      <c r="E199" s="4" t="s">
        <v>249</v>
      </c>
      <c r="F199" t="s">
        <v>247</v>
      </c>
      <c r="G199" t="s">
        <v>248</v>
      </c>
      <c r="H199">
        <v>25</v>
      </c>
      <c r="I199">
        <v>25</v>
      </c>
      <c r="J199">
        <v>3000</v>
      </c>
      <c r="K199">
        <v>0</v>
      </c>
      <c r="L199" s="3">
        <v>46210.013888888891</v>
      </c>
      <c r="M199" s="3">
        <v>46211.0625</v>
      </c>
      <c r="N199" s="4"/>
      <c r="O199" s="4"/>
      <c r="P199" s="4"/>
      <c r="Q199" s="4"/>
      <c r="R199" s="4"/>
      <c r="S199" s="4"/>
      <c r="AA199" t="s">
        <v>25</v>
      </c>
      <c r="AB199" t="s">
        <v>26</v>
      </c>
    </row>
    <row r="200" spans="1:28" x14ac:dyDescent="0.25">
      <c r="A200" t="s">
        <v>244</v>
      </c>
      <c r="B200" t="s">
        <v>245</v>
      </c>
      <c r="C200">
        <v>1</v>
      </c>
      <c r="E200" t="s">
        <v>250</v>
      </c>
      <c r="F200" t="s">
        <v>251</v>
      </c>
      <c r="G200" t="s">
        <v>252</v>
      </c>
      <c r="H200">
        <v>34.29</v>
      </c>
      <c r="I200">
        <v>34.29</v>
      </c>
      <c r="J200">
        <v>6000</v>
      </c>
      <c r="K200">
        <v>0</v>
      </c>
      <c r="L200" s="3">
        <v>46211.069444444445</v>
      </c>
      <c r="M200" s="3">
        <v>46212.506944444445</v>
      </c>
      <c r="AA200" t="s">
        <v>25</v>
      </c>
      <c r="AB200" t="s">
        <v>26</v>
      </c>
    </row>
    <row r="201" spans="1:28" x14ac:dyDescent="0.25">
      <c r="A201" t="s">
        <v>244</v>
      </c>
      <c r="B201" t="s">
        <v>245</v>
      </c>
      <c r="C201">
        <v>1</v>
      </c>
      <c r="E201" t="s">
        <v>253</v>
      </c>
      <c r="F201" t="s">
        <v>251</v>
      </c>
      <c r="G201" t="s">
        <v>252</v>
      </c>
      <c r="H201">
        <v>34.29</v>
      </c>
      <c r="I201">
        <v>34.29</v>
      </c>
      <c r="J201">
        <v>6000</v>
      </c>
      <c r="K201">
        <v>0</v>
      </c>
      <c r="L201" s="3">
        <v>46212.513888888891</v>
      </c>
      <c r="M201" s="3">
        <v>46213.951388888891</v>
      </c>
      <c r="AA201" t="s">
        <v>25</v>
      </c>
      <c r="AB201" t="s">
        <v>26</v>
      </c>
    </row>
    <row r="202" spans="1:28" x14ac:dyDescent="0.25">
      <c r="A202" t="s">
        <v>244</v>
      </c>
      <c r="B202" t="s">
        <v>245</v>
      </c>
      <c r="C202">
        <v>1</v>
      </c>
      <c r="E202" t="s">
        <v>254</v>
      </c>
      <c r="F202" t="s">
        <v>251</v>
      </c>
      <c r="G202" t="s">
        <v>252</v>
      </c>
      <c r="H202">
        <v>34.29</v>
      </c>
      <c r="I202">
        <v>34.29</v>
      </c>
      <c r="J202">
        <v>6000</v>
      </c>
      <c r="K202">
        <v>0</v>
      </c>
      <c r="L202" s="3">
        <v>46215.958333333336</v>
      </c>
      <c r="M202" s="3">
        <v>46217.395833333336</v>
      </c>
      <c r="AA202" t="s">
        <v>25</v>
      </c>
      <c r="AB202" t="s">
        <v>26</v>
      </c>
    </row>
    <row r="203" spans="1:28" x14ac:dyDescent="0.25">
      <c r="A203" t="s">
        <v>244</v>
      </c>
      <c r="B203" t="s">
        <v>245</v>
      </c>
      <c r="C203">
        <v>1</v>
      </c>
      <c r="E203" t="s">
        <v>255</v>
      </c>
      <c r="F203" t="s">
        <v>251</v>
      </c>
      <c r="G203" t="s">
        <v>252</v>
      </c>
      <c r="H203">
        <v>34.29</v>
      </c>
      <c r="I203">
        <v>34.29</v>
      </c>
      <c r="J203">
        <v>6000</v>
      </c>
      <c r="K203">
        <v>0</v>
      </c>
      <c r="L203" s="3">
        <v>46217.402777777781</v>
      </c>
      <c r="M203" s="3">
        <v>46218.840277777781</v>
      </c>
      <c r="AA203" t="s">
        <v>25</v>
      </c>
      <c r="AB203" t="s">
        <v>26</v>
      </c>
    </row>
    <row r="204" spans="1:28" x14ac:dyDescent="0.25">
      <c r="A204" t="s">
        <v>244</v>
      </c>
      <c r="B204" t="s">
        <v>245</v>
      </c>
      <c r="C204">
        <v>1</v>
      </c>
      <c r="E204" t="s">
        <v>256</v>
      </c>
      <c r="F204" t="s">
        <v>251</v>
      </c>
      <c r="G204" t="s">
        <v>252</v>
      </c>
      <c r="H204">
        <v>34.29</v>
      </c>
      <c r="I204">
        <v>34.29</v>
      </c>
      <c r="J204">
        <v>6000</v>
      </c>
      <c r="K204">
        <v>0</v>
      </c>
      <c r="L204" s="3">
        <v>46218.847222222219</v>
      </c>
      <c r="M204" s="3">
        <v>46220.284722222219</v>
      </c>
      <c r="AA204" t="s">
        <v>25</v>
      </c>
      <c r="AB204" t="s">
        <v>26</v>
      </c>
    </row>
    <row r="205" spans="1:28" x14ac:dyDescent="0.25">
      <c r="A205" t="s">
        <v>244</v>
      </c>
      <c r="B205" t="s">
        <v>245</v>
      </c>
      <c r="C205">
        <v>1</v>
      </c>
      <c r="E205" t="s">
        <v>257</v>
      </c>
      <c r="F205" t="s">
        <v>251</v>
      </c>
      <c r="G205" t="s">
        <v>252</v>
      </c>
      <c r="H205">
        <v>34.29</v>
      </c>
      <c r="I205">
        <v>34.29</v>
      </c>
      <c r="J205">
        <v>6000</v>
      </c>
      <c r="K205">
        <v>0</v>
      </c>
      <c r="L205" s="3">
        <v>46220.291666666664</v>
      </c>
      <c r="M205" s="3">
        <v>46223.729166666664</v>
      </c>
      <c r="AA205" t="s">
        <v>25</v>
      </c>
      <c r="AB205" t="s">
        <v>26</v>
      </c>
    </row>
    <row r="206" spans="1:28" x14ac:dyDescent="0.25">
      <c r="A206" t="s">
        <v>244</v>
      </c>
      <c r="B206" t="s">
        <v>245</v>
      </c>
      <c r="C206">
        <v>1</v>
      </c>
      <c r="E206" t="s">
        <v>258</v>
      </c>
      <c r="F206" t="s">
        <v>251</v>
      </c>
      <c r="G206" t="s">
        <v>252</v>
      </c>
      <c r="H206">
        <v>34.29</v>
      </c>
      <c r="I206">
        <v>34.29</v>
      </c>
      <c r="J206">
        <v>6000</v>
      </c>
      <c r="K206">
        <v>0</v>
      </c>
      <c r="L206" s="3">
        <v>46223.736111111109</v>
      </c>
      <c r="M206" s="3">
        <v>46225.173611111109</v>
      </c>
      <c r="AA206" t="s">
        <v>25</v>
      </c>
      <c r="AB206" t="s">
        <v>26</v>
      </c>
    </row>
    <row r="207" spans="1:28" x14ac:dyDescent="0.25">
      <c r="A207" t="s">
        <v>244</v>
      </c>
      <c r="B207" t="s">
        <v>245</v>
      </c>
      <c r="C207">
        <v>1</v>
      </c>
      <c r="E207" t="s">
        <v>259</v>
      </c>
      <c r="F207" t="s">
        <v>251</v>
      </c>
      <c r="G207" t="s">
        <v>252</v>
      </c>
      <c r="H207">
        <v>34.29</v>
      </c>
      <c r="I207">
        <v>34.29</v>
      </c>
      <c r="J207">
        <v>6000</v>
      </c>
      <c r="K207">
        <v>0</v>
      </c>
      <c r="L207" s="3">
        <v>46225.180555555555</v>
      </c>
      <c r="M207" s="3">
        <v>46226.618055555555</v>
      </c>
      <c r="AA207" t="s">
        <v>25</v>
      </c>
      <c r="AB207" t="s">
        <v>26</v>
      </c>
    </row>
    <row r="208" spans="1:28" x14ac:dyDescent="0.25">
      <c r="A208" t="s">
        <v>244</v>
      </c>
      <c r="B208" t="s">
        <v>245</v>
      </c>
      <c r="C208">
        <v>1</v>
      </c>
      <c r="E208" t="s">
        <v>260</v>
      </c>
      <c r="F208" t="s">
        <v>251</v>
      </c>
      <c r="G208" t="s">
        <v>252</v>
      </c>
      <c r="H208">
        <v>34.29</v>
      </c>
      <c r="I208">
        <v>34.29</v>
      </c>
      <c r="J208">
        <v>6000</v>
      </c>
      <c r="K208">
        <v>0</v>
      </c>
      <c r="L208" s="3">
        <v>46226.625</v>
      </c>
      <c r="M208" s="3">
        <v>46230.0625</v>
      </c>
      <c r="AA208" t="s">
        <v>25</v>
      </c>
      <c r="AB208" t="s">
        <v>26</v>
      </c>
    </row>
    <row r="209" spans="1:28" x14ac:dyDescent="0.25">
      <c r="A209" t="s">
        <v>244</v>
      </c>
      <c r="B209" t="s">
        <v>245</v>
      </c>
      <c r="C209">
        <v>1</v>
      </c>
      <c r="E209" t="s">
        <v>261</v>
      </c>
      <c r="F209" t="s">
        <v>251</v>
      </c>
      <c r="G209" t="s">
        <v>252</v>
      </c>
      <c r="H209">
        <v>34.29</v>
      </c>
      <c r="I209">
        <v>34.29</v>
      </c>
      <c r="J209">
        <v>6000</v>
      </c>
      <c r="K209">
        <v>0</v>
      </c>
      <c r="L209" s="3">
        <v>46230.069444444445</v>
      </c>
      <c r="M209" s="3">
        <v>46231.506944444445</v>
      </c>
      <c r="AA209" t="s">
        <v>25</v>
      </c>
      <c r="AB209" t="s">
        <v>26</v>
      </c>
    </row>
    <row r="210" spans="1:28" x14ac:dyDescent="0.25">
      <c r="A210" t="s">
        <v>244</v>
      </c>
      <c r="B210" t="s">
        <v>262</v>
      </c>
      <c r="C210">
        <v>3</v>
      </c>
      <c r="D210" t="s">
        <v>263</v>
      </c>
      <c r="E210" t="s">
        <v>264</v>
      </c>
      <c r="F210" t="s">
        <v>265</v>
      </c>
      <c r="G210" t="s">
        <v>266</v>
      </c>
      <c r="H210">
        <v>37.5</v>
      </c>
      <c r="I210">
        <v>12.5</v>
      </c>
      <c r="J210">
        <v>125</v>
      </c>
      <c r="K210">
        <v>0</v>
      </c>
      <c r="L210" s="3">
        <v>46209.291666666664</v>
      </c>
      <c r="M210" s="3">
        <v>46210.486111111109</v>
      </c>
      <c r="AA210" t="s">
        <v>25</v>
      </c>
      <c r="AB210" t="s">
        <v>26</v>
      </c>
    </row>
    <row r="211" spans="1:28" x14ac:dyDescent="0.25">
      <c r="A211" t="s">
        <v>244</v>
      </c>
      <c r="B211" t="s">
        <v>262</v>
      </c>
      <c r="C211">
        <v>3</v>
      </c>
      <c r="D211" t="s">
        <v>263</v>
      </c>
      <c r="E211" s="12" t="s">
        <v>267</v>
      </c>
      <c r="F211" t="s">
        <v>265</v>
      </c>
      <c r="G211" t="s">
        <v>266</v>
      </c>
      <c r="H211">
        <v>37.5</v>
      </c>
      <c r="I211">
        <v>12.5</v>
      </c>
      <c r="J211">
        <v>125</v>
      </c>
      <c r="K211">
        <v>0</v>
      </c>
      <c r="L211" s="3">
        <v>46210.493055555555</v>
      </c>
      <c r="M211" s="3">
        <v>46212.354166666664</v>
      </c>
      <c r="N211" s="12"/>
      <c r="O211" s="12"/>
      <c r="P211" s="12"/>
      <c r="Q211" s="12"/>
      <c r="R211" s="12"/>
      <c r="S211" s="12"/>
      <c r="AA211" t="s">
        <v>25</v>
      </c>
      <c r="AB211" t="s">
        <v>26</v>
      </c>
    </row>
    <row r="212" spans="1:28" x14ac:dyDescent="0.25">
      <c r="A212" t="s">
        <v>244</v>
      </c>
      <c r="B212" t="s">
        <v>262</v>
      </c>
      <c r="C212">
        <v>1</v>
      </c>
      <c r="D212" t="s">
        <v>263</v>
      </c>
      <c r="E212" t="s">
        <v>268</v>
      </c>
      <c r="F212" t="s">
        <v>269</v>
      </c>
      <c r="G212" t="s">
        <v>270</v>
      </c>
      <c r="H212">
        <v>3.64</v>
      </c>
      <c r="I212">
        <v>3.64</v>
      </c>
      <c r="J212">
        <v>40</v>
      </c>
      <c r="K212">
        <v>0</v>
      </c>
      <c r="L212" s="3">
        <v>46212.361111111109</v>
      </c>
      <c r="M212" s="3">
        <v>46212.520833333336</v>
      </c>
      <c r="AA212" t="s">
        <v>25</v>
      </c>
      <c r="AB212" t="s">
        <v>26</v>
      </c>
    </row>
    <row r="213" spans="1:28" x14ac:dyDescent="0.25">
      <c r="A213" t="s">
        <v>244</v>
      </c>
      <c r="B213" t="s">
        <v>262</v>
      </c>
      <c r="C213">
        <v>3</v>
      </c>
      <c r="D213" t="s">
        <v>263</v>
      </c>
      <c r="E213" t="s">
        <v>271</v>
      </c>
      <c r="F213" t="s">
        <v>265</v>
      </c>
      <c r="G213" t="s">
        <v>266</v>
      </c>
      <c r="H213">
        <v>75</v>
      </c>
      <c r="I213">
        <v>25</v>
      </c>
      <c r="J213">
        <v>250</v>
      </c>
      <c r="K213">
        <v>0</v>
      </c>
      <c r="L213" s="3">
        <v>46212.527777777781</v>
      </c>
      <c r="M213" s="3">
        <v>46217.576388888891</v>
      </c>
      <c r="AA213" t="s">
        <v>25</v>
      </c>
      <c r="AB213" t="s">
        <v>26</v>
      </c>
    </row>
    <row r="214" spans="1:28" x14ac:dyDescent="0.25">
      <c r="A214" t="s">
        <v>244</v>
      </c>
      <c r="B214" t="s">
        <v>262</v>
      </c>
      <c r="C214">
        <v>3</v>
      </c>
      <c r="D214" t="s">
        <v>263</v>
      </c>
      <c r="E214" t="s">
        <v>272</v>
      </c>
      <c r="F214" t="s">
        <v>265</v>
      </c>
      <c r="G214" t="s">
        <v>266</v>
      </c>
      <c r="H214">
        <v>37.5</v>
      </c>
      <c r="I214">
        <v>12.5</v>
      </c>
      <c r="J214">
        <v>125</v>
      </c>
      <c r="K214">
        <v>0</v>
      </c>
      <c r="L214" s="3">
        <v>46217.583333333336</v>
      </c>
      <c r="M214" s="3">
        <v>46219.444444444445</v>
      </c>
      <c r="AA214" t="s">
        <v>25</v>
      </c>
      <c r="AB214" t="s">
        <v>26</v>
      </c>
    </row>
    <row r="215" spans="1:28" x14ac:dyDescent="0.25">
      <c r="A215" t="s">
        <v>244</v>
      </c>
      <c r="B215" t="s">
        <v>262</v>
      </c>
      <c r="C215">
        <v>3</v>
      </c>
      <c r="D215" t="s">
        <v>263</v>
      </c>
      <c r="E215" t="s">
        <v>273</v>
      </c>
      <c r="F215" t="s">
        <v>265</v>
      </c>
      <c r="G215" t="s">
        <v>266</v>
      </c>
      <c r="H215">
        <v>120</v>
      </c>
      <c r="I215">
        <v>40</v>
      </c>
      <c r="J215">
        <v>400</v>
      </c>
      <c r="K215">
        <v>0</v>
      </c>
      <c r="L215" s="3">
        <v>46219.451388888891</v>
      </c>
      <c r="M215" s="3">
        <v>46226.458333333336</v>
      </c>
      <c r="AA215" t="s">
        <v>25</v>
      </c>
      <c r="AB215" t="s">
        <v>26</v>
      </c>
    </row>
    <row r="216" spans="1:28" x14ac:dyDescent="0.25">
      <c r="A216" t="s">
        <v>244</v>
      </c>
      <c r="B216" t="s">
        <v>262</v>
      </c>
      <c r="C216">
        <v>1</v>
      </c>
      <c r="D216" t="s">
        <v>263</v>
      </c>
      <c r="E216" t="s">
        <v>274</v>
      </c>
      <c r="F216" t="s">
        <v>269</v>
      </c>
      <c r="G216" t="s">
        <v>270</v>
      </c>
      <c r="H216">
        <v>4.55</v>
      </c>
      <c r="I216">
        <v>4.55</v>
      </c>
      <c r="J216">
        <v>50</v>
      </c>
      <c r="K216">
        <v>0</v>
      </c>
      <c r="L216" s="3">
        <v>46226.465277777781</v>
      </c>
      <c r="M216" s="3">
        <v>46227.333333333336</v>
      </c>
      <c r="AA216" t="s">
        <v>25</v>
      </c>
      <c r="AB216" t="s">
        <v>26</v>
      </c>
    </row>
    <row r="217" spans="1:28" x14ac:dyDescent="0.25">
      <c r="A217" t="s">
        <v>244</v>
      </c>
      <c r="B217" t="s">
        <v>262</v>
      </c>
      <c r="C217">
        <v>4</v>
      </c>
      <c r="D217" t="s">
        <v>263</v>
      </c>
      <c r="E217" t="s">
        <v>275</v>
      </c>
      <c r="F217" t="s">
        <v>276</v>
      </c>
      <c r="G217" t="s">
        <v>277</v>
      </c>
      <c r="H217">
        <v>12</v>
      </c>
      <c r="I217">
        <v>3</v>
      </c>
      <c r="J217">
        <v>30</v>
      </c>
      <c r="K217">
        <v>0</v>
      </c>
      <c r="L217" s="3">
        <v>46227.340277777781</v>
      </c>
      <c r="M217" s="3">
        <v>46227.472222222219</v>
      </c>
      <c r="AA217" t="s">
        <v>25</v>
      </c>
      <c r="AB217" t="s">
        <v>26</v>
      </c>
    </row>
    <row r="218" spans="1:28" s="4" customFormat="1" ht="15.75" thickBot="1" x14ac:dyDescent="0.3">
      <c r="A218" s="4" t="s">
        <v>244</v>
      </c>
      <c r="B218" s="4" t="s">
        <v>262</v>
      </c>
      <c r="C218" s="4">
        <v>3</v>
      </c>
      <c r="D218" s="4" t="s">
        <v>263</v>
      </c>
      <c r="E218" s="4" t="s">
        <v>278</v>
      </c>
      <c r="F218" s="4" t="s">
        <v>265</v>
      </c>
      <c r="G218" s="4" t="s">
        <v>266</v>
      </c>
      <c r="H218" s="4">
        <v>120</v>
      </c>
      <c r="I218" s="4">
        <v>40</v>
      </c>
      <c r="J218" s="4">
        <v>400</v>
      </c>
      <c r="K218" s="4">
        <v>0</v>
      </c>
      <c r="L218" s="40">
        <v>46227.479166666664</v>
      </c>
      <c r="M218" s="40">
        <v>46234.486111111109</v>
      </c>
      <c r="AA218" s="4" t="s">
        <v>25</v>
      </c>
      <c r="AB218" s="4" t="s">
        <v>26</v>
      </c>
    </row>
    <row r="219" spans="1:28" s="6" customFormat="1" x14ac:dyDescent="0.25">
      <c r="A219" s="6" t="s">
        <v>244</v>
      </c>
      <c r="B219" s="6" t="s">
        <v>279</v>
      </c>
      <c r="C219" s="6">
        <v>1</v>
      </c>
      <c r="E219" s="6" t="s">
        <v>280</v>
      </c>
      <c r="F219" s="6" t="s">
        <v>281</v>
      </c>
      <c r="G219" s="6" t="s">
        <v>282</v>
      </c>
      <c r="H219" s="6">
        <v>46.26</v>
      </c>
      <c r="I219" s="6">
        <v>35.15</v>
      </c>
      <c r="J219" s="6">
        <v>8326</v>
      </c>
      <c r="K219" s="6">
        <v>6500</v>
      </c>
      <c r="L219" s="45">
        <v>46208.958333333336</v>
      </c>
      <c r="M219" s="45">
        <v>46210.416666666664</v>
      </c>
      <c r="AA219" s="6" t="s">
        <v>25</v>
      </c>
      <c r="AB219" s="6" t="s">
        <v>26</v>
      </c>
    </row>
    <row r="220" spans="1:28" s="4" customFormat="1" ht="15.75" thickBot="1" x14ac:dyDescent="0.3">
      <c r="A220" s="4" t="s">
        <v>244</v>
      </c>
      <c r="B220" s="4" t="s">
        <v>279</v>
      </c>
      <c r="C220" s="4">
        <v>1</v>
      </c>
      <c r="E220" s="4" t="s">
        <v>283</v>
      </c>
      <c r="F220" s="4" t="s">
        <v>284</v>
      </c>
      <c r="G220" s="4" t="s">
        <v>285</v>
      </c>
      <c r="H220" s="4">
        <v>55.56</v>
      </c>
      <c r="I220" s="4">
        <v>55.56</v>
      </c>
      <c r="J220" s="4">
        <v>10001</v>
      </c>
      <c r="K220" s="4">
        <v>0</v>
      </c>
      <c r="L220" s="40">
        <v>46210.423611111109</v>
      </c>
      <c r="M220" s="40">
        <v>46212.75</v>
      </c>
      <c r="AA220" s="4" t="s">
        <v>25</v>
      </c>
      <c r="AB220" s="4" t="s">
        <v>26</v>
      </c>
    </row>
    <row r="221" spans="1:28" s="10" customFormat="1" x14ac:dyDescent="0.25">
      <c r="A221" s="10" t="s">
        <v>244</v>
      </c>
      <c r="B221" s="10" t="s">
        <v>286</v>
      </c>
      <c r="C221" s="10">
        <v>8</v>
      </c>
      <c r="E221" s="10" t="s">
        <v>287</v>
      </c>
      <c r="F221" s="10" t="s">
        <v>288</v>
      </c>
      <c r="G221" s="10" t="s">
        <v>289</v>
      </c>
      <c r="H221" s="10">
        <v>31.04</v>
      </c>
      <c r="I221" s="10">
        <v>3.88</v>
      </c>
      <c r="J221" s="10">
        <v>2616</v>
      </c>
      <c r="K221" s="10">
        <v>0</v>
      </c>
      <c r="L221" s="37">
        <v>46208.958333333336</v>
      </c>
      <c r="M221" s="37">
        <v>46209.243055555555</v>
      </c>
      <c r="O221" s="10" t="s">
        <v>1507</v>
      </c>
      <c r="P221" s="10" t="s">
        <v>290</v>
      </c>
      <c r="AA221" s="10" t="s">
        <v>25</v>
      </c>
      <c r="AB221" s="10" t="s">
        <v>26</v>
      </c>
    </row>
    <row r="222" spans="1:28" x14ac:dyDescent="0.25">
      <c r="A222" t="s">
        <v>244</v>
      </c>
      <c r="B222" t="s">
        <v>286</v>
      </c>
      <c r="C222">
        <v>8</v>
      </c>
      <c r="E222" t="s">
        <v>291</v>
      </c>
      <c r="F222" t="s">
        <v>292</v>
      </c>
      <c r="G222" t="s">
        <v>289</v>
      </c>
      <c r="H222">
        <v>107.92</v>
      </c>
      <c r="I222">
        <v>13.49</v>
      </c>
      <c r="J222">
        <v>9716</v>
      </c>
      <c r="K222">
        <v>0</v>
      </c>
      <c r="L222" s="3">
        <v>46209.25</v>
      </c>
      <c r="M222" s="3">
        <v>46211.263888888891</v>
      </c>
      <c r="O222" t="s">
        <v>1506</v>
      </c>
      <c r="P222" s="5" t="s">
        <v>293</v>
      </c>
      <c r="AA222" t="s">
        <v>25</v>
      </c>
      <c r="AB222" t="s">
        <v>26</v>
      </c>
    </row>
    <row r="223" spans="1:28" x14ac:dyDescent="0.25">
      <c r="A223" t="s">
        <v>244</v>
      </c>
      <c r="B223" t="s">
        <v>286</v>
      </c>
      <c r="C223">
        <v>8</v>
      </c>
      <c r="E223" t="s">
        <v>294</v>
      </c>
      <c r="F223" t="s">
        <v>292</v>
      </c>
      <c r="G223" t="s">
        <v>289</v>
      </c>
      <c r="H223">
        <v>100.16</v>
      </c>
      <c r="I223">
        <v>12.52</v>
      </c>
      <c r="J223">
        <v>9016</v>
      </c>
      <c r="K223">
        <v>0</v>
      </c>
      <c r="L223" s="3">
        <v>46211.270833333336</v>
      </c>
      <c r="M223" s="3">
        <v>46213.25</v>
      </c>
      <c r="O223" t="s">
        <v>1528</v>
      </c>
      <c r="P223" t="s">
        <v>1508</v>
      </c>
      <c r="AA223" t="s">
        <v>25</v>
      </c>
      <c r="AB223" t="s">
        <v>26</v>
      </c>
    </row>
    <row r="224" spans="1:28" x14ac:dyDescent="0.25">
      <c r="A224" t="s">
        <v>244</v>
      </c>
      <c r="B224" t="s">
        <v>286</v>
      </c>
      <c r="C224">
        <v>7</v>
      </c>
      <c r="E224" t="s">
        <v>295</v>
      </c>
      <c r="F224" t="s">
        <v>296</v>
      </c>
      <c r="G224" t="s">
        <v>289</v>
      </c>
      <c r="H224">
        <v>37.520000000000003</v>
      </c>
      <c r="I224">
        <v>5.36</v>
      </c>
      <c r="J224">
        <v>3616</v>
      </c>
      <c r="K224">
        <v>0</v>
      </c>
      <c r="L224" s="3">
        <v>46213.256944444445</v>
      </c>
      <c r="M224" s="3">
        <v>46216.270833333336</v>
      </c>
      <c r="P224" t="s">
        <v>1509</v>
      </c>
      <c r="AA224" t="s">
        <v>25</v>
      </c>
      <c r="AB224" t="s">
        <v>26</v>
      </c>
    </row>
    <row r="225" spans="1:28" x14ac:dyDescent="0.25">
      <c r="A225" t="s">
        <v>244</v>
      </c>
      <c r="B225" t="s">
        <v>286</v>
      </c>
      <c r="C225">
        <v>7</v>
      </c>
      <c r="E225" t="s">
        <v>297</v>
      </c>
      <c r="F225" t="s">
        <v>298</v>
      </c>
      <c r="G225" t="s">
        <v>299</v>
      </c>
      <c r="H225">
        <v>32.340000000000003</v>
      </c>
      <c r="I225">
        <v>4.62</v>
      </c>
      <c r="J225">
        <v>3116</v>
      </c>
      <c r="K225">
        <v>0</v>
      </c>
      <c r="L225" s="3">
        <v>46216.277777777781</v>
      </c>
      <c r="M225" s="3">
        <v>46217.256944444445</v>
      </c>
      <c r="AA225" t="s">
        <v>25</v>
      </c>
      <c r="AB225" t="s">
        <v>26</v>
      </c>
    </row>
    <row r="226" spans="1:28" s="4" customFormat="1" ht="15.75" thickBot="1" x14ac:dyDescent="0.3">
      <c r="A226" s="4" t="s">
        <v>244</v>
      </c>
      <c r="B226" s="4" t="s">
        <v>286</v>
      </c>
      <c r="C226" s="4">
        <v>8</v>
      </c>
      <c r="E226" s="4" t="s">
        <v>300</v>
      </c>
      <c r="F226" s="4" t="s">
        <v>301</v>
      </c>
      <c r="G226" s="4" t="s">
        <v>302</v>
      </c>
      <c r="H226" s="4">
        <v>25.04</v>
      </c>
      <c r="I226" s="4">
        <v>3.13</v>
      </c>
      <c r="J226" s="4">
        <v>2116</v>
      </c>
      <c r="K226" s="4">
        <v>0</v>
      </c>
      <c r="L226" s="40">
        <v>46217.263888888891</v>
      </c>
      <c r="M226" s="40">
        <v>46218.180555555555</v>
      </c>
      <c r="AA226" s="4" t="s">
        <v>25</v>
      </c>
      <c r="AB226" s="4" t="s">
        <v>26</v>
      </c>
    </row>
    <row r="227" spans="1:28" s="5" customFormat="1" x14ac:dyDescent="0.25">
      <c r="A227" s="5" t="s">
        <v>244</v>
      </c>
      <c r="B227" s="5" t="s">
        <v>303</v>
      </c>
      <c r="C227" s="5">
        <v>8</v>
      </c>
      <c r="E227" s="5" t="s">
        <v>304</v>
      </c>
      <c r="F227" s="5" t="s">
        <v>305</v>
      </c>
      <c r="G227" s="5" t="s">
        <v>302</v>
      </c>
      <c r="H227" s="5">
        <v>60.64</v>
      </c>
      <c r="I227" s="5">
        <v>7.58</v>
      </c>
      <c r="J227" s="5">
        <v>5116</v>
      </c>
      <c r="K227" s="5">
        <v>5116</v>
      </c>
      <c r="L227" s="61">
        <v>46208.958333333336</v>
      </c>
      <c r="M227" s="61">
        <v>46210.270833333336</v>
      </c>
      <c r="O227" s="5" t="s">
        <v>306</v>
      </c>
      <c r="P227" s="5" t="s">
        <v>307</v>
      </c>
      <c r="AA227" s="5" t="s">
        <v>25</v>
      </c>
      <c r="AB227" s="5" t="s">
        <v>26</v>
      </c>
    </row>
    <row r="228" spans="1:28" s="5" customFormat="1" x14ac:dyDescent="0.25">
      <c r="A228" s="5" t="s">
        <v>244</v>
      </c>
      <c r="B228" s="5" t="s">
        <v>303</v>
      </c>
      <c r="C228" s="5">
        <v>8</v>
      </c>
      <c r="E228" s="5" t="s">
        <v>308</v>
      </c>
      <c r="F228" s="5" t="s">
        <v>305</v>
      </c>
      <c r="G228" s="5" t="s">
        <v>302</v>
      </c>
      <c r="H228" s="5">
        <v>60.64</v>
      </c>
      <c r="J228" s="5">
        <v>5116</v>
      </c>
      <c r="K228" s="5">
        <v>5116</v>
      </c>
      <c r="L228" s="61">
        <v>46210.277777777781</v>
      </c>
      <c r="M228" s="61">
        <v>46212.256944444445</v>
      </c>
      <c r="O228" s="5" t="s">
        <v>309</v>
      </c>
      <c r="P228" s="5" t="s">
        <v>310</v>
      </c>
      <c r="Q228" s="5" t="s">
        <v>311</v>
      </c>
      <c r="AA228" s="5" t="s">
        <v>25</v>
      </c>
      <c r="AB228" s="5" t="s">
        <v>26</v>
      </c>
    </row>
    <row r="229" spans="1:28" s="5" customFormat="1" x14ac:dyDescent="0.25">
      <c r="A229" s="5" t="s">
        <v>244</v>
      </c>
      <c r="B229" s="5" t="s">
        <v>303</v>
      </c>
      <c r="C229" s="5">
        <v>8</v>
      </c>
      <c r="E229" s="5" t="s">
        <v>312</v>
      </c>
      <c r="F229" s="5" t="s">
        <v>305</v>
      </c>
      <c r="G229" s="5" t="s">
        <v>302</v>
      </c>
      <c r="H229" s="5">
        <v>60.64</v>
      </c>
      <c r="I229" s="5">
        <v>7.58</v>
      </c>
      <c r="J229" s="5">
        <v>5116</v>
      </c>
      <c r="K229" s="5">
        <v>5116</v>
      </c>
      <c r="L229" s="61">
        <v>46212.263888888891</v>
      </c>
      <c r="M229" s="61">
        <v>46216.243055555555</v>
      </c>
      <c r="O229" s="5" t="s">
        <v>313</v>
      </c>
      <c r="P229" s="5" t="s">
        <v>314</v>
      </c>
      <c r="Q229" s="5" t="s">
        <v>315</v>
      </c>
      <c r="AA229" s="5" t="s">
        <v>25</v>
      </c>
      <c r="AB229" s="5" t="s">
        <v>26</v>
      </c>
    </row>
    <row r="230" spans="1:28" s="6" customFormat="1" x14ac:dyDescent="0.25">
      <c r="A230" s="6" t="s">
        <v>244</v>
      </c>
      <c r="B230" s="6" t="s">
        <v>303</v>
      </c>
      <c r="C230" s="6">
        <v>8</v>
      </c>
      <c r="E230" s="6" t="s">
        <v>316</v>
      </c>
      <c r="F230" s="6" t="s">
        <v>305</v>
      </c>
      <c r="G230" s="6" t="s">
        <v>302</v>
      </c>
      <c r="H230" s="6">
        <v>67.12</v>
      </c>
      <c r="I230" s="6">
        <v>8.39</v>
      </c>
      <c r="J230" s="6">
        <v>5666</v>
      </c>
      <c r="K230" s="6">
        <v>0</v>
      </c>
      <c r="L230" s="45">
        <v>46216.25</v>
      </c>
      <c r="M230" s="45">
        <v>46218.263888888891</v>
      </c>
      <c r="O230" s="6" t="s">
        <v>1507</v>
      </c>
      <c r="P230" s="6" t="s">
        <v>317</v>
      </c>
      <c r="Q230" s="6" t="s">
        <v>318</v>
      </c>
      <c r="AA230" s="6" t="s">
        <v>25</v>
      </c>
      <c r="AB230" s="6" t="s">
        <v>26</v>
      </c>
    </row>
    <row r="231" spans="1:28" x14ac:dyDescent="0.25">
      <c r="A231" t="s">
        <v>244</v>
      </c>
      <c r="B231" t="s">
        <v>303</v>
      </c>
      <c r="C231">
        <v>8</v>
      </c>
      <c r="E231" t="s">
        <v>319</v>
      </c>
      <c r="F231" t="s">
        <v>320</v>
      </c>
      <c r="G231" t="s">
        <v>321</v>
      </c>
      <c r="H231">
        <v>40.08</v>
      </c>
      <c r="I231">
        <v>5.01</v>
      </c>
      <c r="J231">
        <v>3381</v>
      </c>
      <c r="K231">
        <v>0</v>
      </c>
      <c r="L231" s="3">
        <v>46218.270833333336</v>
      </c>
      <c r="M231" s="3">
        <v>46219.1875</v>
      </c>
      <c r="O231" t="s">
        <v>1559</v>
      </c>
      <c r="P231" t="s">
        <v>1510</v>
      </c>
      <c r="AA231" t="s">
        <v>25</v>
      </c>
      <c r="AB231" t="s">
        <v>26</v>
      </c>
    </row>
    <row r="232" spans="1:28" x14ac:dyDescent="0.25">
      <c r="A232" t="s">
        <v>244</v>
      </c>
      <c r="B232" t="s">
        <v>303</v>
      </c>
      <c r="C232">
        <v>7</v>
      </c>
      <c r="E232" t="s">
        <v>322</v>
      </c>
      <c r="F232" t="s">
        <v>323</v>
      </c>
      <c r="G232" t="s">
        <v>324</v>
      </c>
      <c r="H232">
        <v>11.55</v>
      </c>
      <c r="I232">
        <v>1.65</v>
      </c>
      <c r="J232">
        <v>1116</v>
      </c>
      <c r="K232">
        <v>0</v>
      </c>
      <c r="L232" s="3">
        <v>46219.194444444445</v>
      </c>
      <c r="M232" s="3">
        <v>46219.965277777781</v>
      </c>
      <c r="O232" t="s">
        <v>1559</v>
      </c>
      <c r="P232" t="s">
        <v>1511</v>
      </c>
      <c r="AA232" t="s">
        <v>25</v>
      </c>
      <c r="AB232" t="s">
        <v>26</v>
      </c>
    </row>
    <row r="233" spans="1:28" x14ac:dyDescent="0.25">
      <c r="A233" t="s">
        <v>244</v>
      </c>
      <c r="B233" t="s">
        <v>303</v>
      </c>
      <c r="C233">
        <v>8</v>
      </c>
      <c r="E233" t="s">
        <v>325</v>
      </c>
      <c r="F233" t="s">
        <v>326</v>
      </c>
      <c r="G233" t="s">
        <v>321</v>
      </c>
      <c r="H233">
        <v>84.32</v>
      </c>
      <c r="I233">
        <v>10.54</v>
      </c>
      <c r="J233">
        <v>7116</v>
      </c>
      <c r="K233">
        <v>0</v>
      </c>
      <c r="L233" s="3">
        <v>46219.972222222219</v>
      </c>
      <c r="M233" s="3">
        <v>46223.118055555555</v>
      </c>
      <c r="P233" t="s">
        <v>1609</v>
      </c>
      <c r="AA233" t="s">
        <v>25</v>
      </c>
      <c r="AB233" t="s">
        <v>26</v>
      </c>
    </row>
    <row r="234" spans="1:28" x14ac:dyDescent="0.25">
      <c r="A234" t="s">
        <v>244</v>
      </c>
      <c r="B234" t="s">
        <v>303</v>
      </c>
      <c r="C234">
        <v>7</v>
      </c>
      <c r="E234" t="s">
        <v>327</v>
      </c>
      <c r="F234" t="s">
        <v>328</v>
      </c>
      <c r="G234" t="s">
        <v>329</v>
      </c>
      <c r="H234">
        <v>53.06</v>
      </c>
      <c r="I234">
        <v>7.58</v>
      </c>
      <c r="J234">
        <v>5116</v>
      </c>
      <c r="K234">
        <v>0</v>
      </c>
      <c r="L234" s="3">
        <v>46223.125</v>
      </c>
      <c r="M234" s="3">
        <v>46224.145833333336</v>
      </c>
      <c r="P234" t="s">
        <v>1569</v>
      </c>
      <c r="AA234" t="s">
        <v>25</v>
      </c>
      <c r="AB234" t="s">
        <v>26</v>
      </c>
    </row>
    <row r="235" spans="1:28" x14ac:dyDescent="0.25">
      <c r="A235" t="s">
        <v>244</v>
      </c>
      <c r="B235" t="s">
        <v>303</v>
      </c>
      <c r="C235">
        <v>7</v>
      </c>
      <c r="E235" t="s">
        <v>330</v>
      </c>
      <c r="F235" t="s">
        <v>331</v>
      </c>
      <c r="G235" t="s">
        <v>299</v>
      </c>
      <c r="H235">
        <v>100.73</v>
      </c>
      <c r="I235">
        <v>14.39</v>
      </c>
      <c r="J235">
        <v>9716</v>
      </c>
      <c r="K235">
        <v>0</v>
      </c>
      <c r="L235" s="3">
        <v>46227</v>
      </c>
      <c r="M235" s="3">
        <v>46230.972222222219</v>
      </c>
      <c r="AA235" t="s">
        <v>25</v>
      </c>
      <c r="AB235" t="s">
        <v>26</v>
      </c>
    </row>
    <row r="236" spans="1:28" s="4" customFormat="1" ht="15.75" thickBot="1" x14ac:dyDescent="0.3">
      <c r="A236" s="4" t="s">
        <v>244</v>
      </c>
      <c r="B236" s="4" t="s">
        <v>303</v>
      </c>
      <c r="C236" s="4">
        <v>7</v>
      </c>
      <c r="E236" s="4" t="s">
        <v>332</v>
      </c>
      <c r="F236" s="4" t="s">
        <v>331</v>
      </c>
      <c r="G236" s="4" t="s">
        <v>299</v>
      </c>
      <c r="H236" s="4">
        <v>98.7</v>
      </c>
      <c r="I236" s="4">
        <v>14.1</v>
      </c>
      <c r="J236" s="4">
        <v>9516</v>
      </c>
      <c r="K236" s="4">
        <v>0</v>
      </c>
      <c r="L236" s="40">
        <v>46230.979166666664</v>
      </c>
      <c r="M236" s="40">
        <v>46232.270833333336</v>
      </c>
      <c r="AA236" s="4" t="s">
        <v>25</v>
      </c>
      <c r="AB236" s="4" t="s">
        <v>26</v>
      </c>
    </row>
    <row r="237" spans="1:28" ht="15.75" thickBot="1" x14ac:dyDescent="0.3">
      <c r="A237" t="s">
        <v>244</v>
      </c>
      <c r="B237" t="s">
        <v>333</v>
      </c>
      <c r="C237">
        <v>5</v>
      </c>
      <c r="E237" t="s">
        <v>334</v>
      </c>
      <c r="F237" t="s">
        <v>335</v>
      </c>
      <c r="G237" t="s">
        <v>336</v>
      </c>
      <c r="H237">
        <v>50.2</v>
      </c>
      <c r="I237">
        <v>10.039999999999999</v>
      </c>
      <c r="J237">
        <v>8366</v>
      </c>
      <c r="K237">
        <v>0</v>
      </c>
      <c r="L237" s="3">
        <v>46208.958333333336</v>
      </c>
      <c r="M237" s="3">
        <v>46210.041666666664</v>
      </c>
      <c r="N237" s="4"/>
      <c r="O237" s="4"/>
      <c r="P237" s="4"/>
      <c r="Q237" s="4"/>
      <c r="R237" s="4"/>
      <c r="S237" s="4"/>
      <c r="AA237" t="s">
        <v>25</v>
      </c>
      <c r="AB237" t="s">
        <v>26</v>
      </c>
    </row>
    <row r="238" spans="1:28" x14ac:dyDescent="0.25">
      <c r="A238" t="s">
        <v>244</v>
      </c>
      <c r="B238" t="s">
        <v>333</v>
      </c>
      <c r="C238">
        <v>5</v>
      </c>
      <c r="E238" t="s">
        <v>337</v>
      </c>
      <c r="F238" t="s">
        <v>338</v>
      </c>
      <c r="G238" t="s">
        <v>339</v>
      </c>
      <c r="H238">
        <v>15.7</v>
      </c>
      <c r="I238">
        <v>3.14</v>
      </c>
      <c r="J238">
        <v>2616</v>
      </c>
      <c r="K238">
        <v>0</v>
      </c>
      <c r="L238" s="3">
        <v>46210.048611111109</v>
      </c>
      <c r="M238" s="3">
        <v>46210.173611111109</v>
      </c>
      <c r="AA238" t="s">
        <v>25</v>
      </c>
      <c r="AB238" t="s">
        <v>26</v>
      </c>
    </row>
    <row r="239" spans="1:28" s="4" customFormat="1" ht="15.75" thickBot="1" x14ac:dyDescent="0.3">
      <c r="A239" s="4" t="s">
        <v>244</v>
      </c>
      <c r="B239" s="4" t="s">
        <v>333</v>
      </c>
      <c r="C239" s="4">
        <v>5</v>
      </c>
      <c r="E239" s="4" t="s">
        <v>340</v>
      </c>
      <c r="F239" s="4" t="s">
        <v>341</v>
      </c>
      <c r="G239" s="4" t="s">
        <v>339</v>
      </c>
      <c r="H239" s="4">
        <v>15.7</v>
      </c>
      <c r="I239" s="4">
        <v>3.14</v>
      </c>
      <c r="J239" s="4">
        <v>2616</v>
      </c>
      <c r="K239" s="4">
        <v>0</v>
      </c>
      <c r="L239" s="40">
        <v>46210.180555555555</v>
      </c>
      <c r="M239" s="40">
        <v>46210.972222222219</v>
      </c>
      <c r="AA239" s="4" t="s">
        <v>25</v>
      </c>
      <c r="AB239" s="4" t="s">
        <v>26</v>
      </c>
    </row>
    <row r="240" spans="1:28" x14ac:dyDescent="0.25">
      <c r="A240" t="s">
        <v>244</v>
      </c>
      <c r="B240" t="s">
        <v>342</v>
      </c>
      <c r="C240">
        <v>1</v>
      </c>
      <c r="E240" t="s">
        <v>344</v>
      </c>
      <c r="F240" t="s">
        <v>345</v>
      </c>
      <c r="G240" t="s">
        <v>343</v>
      </c>
      <c r="H240">
        <v>17.36</v>
      </c>
      <c r="I240">
        <v>9.7200000000000006</v>
      </c>
      <c r="J240">
        <v>50000</v>
      </c>
      <c r="K240">
        <v>22000</v>
      </c>
      <c r="L240" s="3">
        <v>46209.138888888891</v>
      </c>
      <c r="M240" s="3">
        <v>46210.208333333336</v>
      </c>
      <c r="AA240" t="s">
        <v>25</v>
      </c>
      <c r="AB240" t="s">
        <v>26</v>
      </c>
    </row>
    <row r="241" spans="1:28" x14ac:dyDescent="0.25">
      <c r="A241" t="s">
        <v>244</v>
      </c>
      <c r="B241" t="s">
        <v>342</v>
      </c>
      <c r="C241">
        <v>1</v>
      </c>
      <c r="E241" t="s">
        <v>346</v>
      </c>
      <c r="F241" t="s">
        <v>345</v>
      </c>
      <c r="G241" t="s">
        <v>343</v>
      </c>
      <c r="H241">
        <v>17.36</v>
      </c>
      <c r="I241">
        <v>17.36</v>
      </c>
      <c r="J241">
        <v>50000</v>
      </c>
      <c r="K241">
        <v>0</v>
      </c>
      <c r="L241" s="3">
        <v>46210.215277777781</v>
      </c>
      <c r="M241" s="3">
        <v>46212.270833333336</v>
      </c>
      <c r="AA241" t="s">
        <v>25</v>
      </c>
      <c r="AB241" t="s">
        <v>26</v>
      </c>
    </row>
    <row r="242" spans="1:28" x14ac:dyDescent="0.25">
      <c r="A242" t="s">
        <v>244</v>
      </c>
      <c r="B242" t="s">
        <v>342</v>
      </c>
      <c r="C242">
        <v>1</v>
      </c>
      <c r="E242" t="s">
        <v>347</v>
      </c>
      <c r="F242" t="s">
        <v>345</v>
      </c>
      <c r="G242" t="s">
        <v>343</v>
      </c>
      <c r="H242">
        <v>17.36</v>
      </c>
      <c r="I242">
        <v>17.36</v>
      </c>
      <c r="J242">
        <v>50000</v>
      </c>
      <c r="K242">
        <v>0</v>
      </c>
      <c r="L242" s="3">
        <v>46212.277777777781</v>
      </c>
      <c r="M242" s="3">
        <v>46216</v>
      </c>
      <c r="O242" t="s">
        <v>87</v>
      </c>
      <c r="AA242" t="s">
        <v>25</v>
      </c>
      <c r="AB242" t="s">
        <v>26</v>
      </c>
    </row>
    <row r="243" spans="1:28" x14ac:dyDescent="0.25">
      <c r="A243" t="s">
        <v>244</v>
      </c>
      <c r="B243" t="s">
        <v>342</v>
      </c>
      <c r="C243">
        <v>1</v>
      </c>
      <c r="E243" t="s">
        <v>348</v>
      </c>
      <c r="F243" t="s">
        <v>345</v>
      </c>
      <c r="G243" t="s">
        <v>343</v>
      </c>
      <c r="H243">
        <v>6.94</v>
      </c>
      <c r="I243">
        <v>6.94</v>
      </c>
      <c r="J243">
        <v>20000</v>
      </c>
      <c r="K243">
        <v>0</v>
      </c>
      <c r="L243" s="3">
        <v>46216.006944444445</v>
      </c>
      <c r="M243" s="3">
        <v>46216.958333333336</v>
      </c>
      <c r="AA243" t="s">
        <v>25</v>
      </c>
      <c r="AB243" t="s">
        <v>26</v>
      </c>
    </row>
    <row r="244" spans="1:28" x14ac:dyDescent="0.25">
      <c r="A244" t="s">
        <v>244</v>
      </c>
      <c r="B244" t="s">
        <v>342</v>
      </c>
      <c r="C244">
        <v>1</v>
      </c>
      <c r="E244" t="s">
        <v>349</v>
      </c>
      <c r="F244" t="s">
        <v>345</v>
      </c>
      <c r="G244" t="s">
        <v>343</v>
      </c>
      <c r="H244">
        <v>17.36</v>
      </c>
      <c r="I244">
        <v>17.36</v>
      </c>
      <c r="J244">
        <v>50000</v>
      </c>
      <c r="K244">
        <v>0</v>
      </c>
      <c r="L244" s="3">
        <v>46216.965277777781</v>
      </c>
      <c r="M244" s="3">
        <v>46219.020833333336</v>
      </c>
      <c r="AA244" t="s">
        <v>25</v>
      </c>
      <c r="AB244" t="s">
        <v>26</v>
      </c>
    </row>
    <row r="245" spans="1:28" x14ac:dyDescent="0.25">
      <c r="A245" t="s">
        <v>244</v>
      </c>
      <c r="B245" t="s">
        <v>342</v>
      </c>
      <c r="C245">
        <v>1</v>
      </c>
      <c r="E245" t="s">
        <v>350</v>
      </c>
      <c r="F245" t="s">
        <v>345</v>
      </c>
      <c r="G245" t="s">
        <v>343</v>
      </c>
      <c r="H245">
        <v>17.36</v>
      </c>
      <c r="I245">
        <v>17.36</v>
      </c>
      <c r="J245">
        <v>50000</v>
      </c>
      <c r="K245">
        <v>0</v>
      </c>
      <c r="L245" s="3">
        <v>46219.027777777781</v>
      </c>
      <c r="M245" s="3">
        <v>46221.083333333336</v>
      </c>
      <c r="AA245" t="s">
        <v>25</v>
      </c>
      <c r="AB245" t="s">
        <v>26</v>
      </c>
    </row>
    <row r="246" spans="1:28" x14ac:dyDescent="0.25">
      <c r="A246" t="s">
        <v>244</v>
      </c>
      <c r="B246" t="s">
        <v>342</v>
      </c>
      <c r="C246">
        <v>1</v>
      </c>
      <c r="E246" t="s">
        <v>351</v>
      </c>
      <c r="F246" t="s">
        <v>345</v>
      </c>
      <c r="G246" t="s">
        <v>343</v>
      </c>
      <c r="H246">
        <v>17.36</v>
      </c>
      <c r="I246">
        <v>17.36</v>
      </c>
      <c r="J246">
        <v>50000</v>
      </c>
      <c r="K246">
        <v>0</v>
      </c>
      <c r="L246" s="3">
        <v>46221.090277777781</v>
      </c>
      <c r="M246" s="3">
        <v>46224.145833333336</v>
      </c>
      <c r="AA246" t="s">
        <v>25</v>
      </c>
      <c r="AB246" t="s">
        <v>26</v>
      </c>
    </row>
    <row r="247" spans="1:28" x14ac:dyDescent="0.25">
      <c r="A247" t="s">
        <v>244</v>
      </c>
      <c r="B247" t="s">
        <v>342</v>
      </c>
      <c r="C247">
        <v>1</v>
      </c>
      <c r="E247" t="s">
        <v>352</v>
      </c>
      <c r="F247" t="s">
        <v>345</v>
      </c>
      <c r="G247" t="s">
        <v>343</v>
      </c>
      <c r="H247">
        <v>17.36</v>
      </c>
      <c r="I247">
        <v>17.36</v>
      </c>
      <c r="J247">
        <v>50000</v>
      </c>
      <c r="K247">
        <v>0</v>
      </c>
      <c r="L247" s="3">
        <v>46224.152777777781</v>
      </c>
      <c r="M247" s="3">
        <v>46226.208333333336</v>
      </c>
      <c r="AA247" t="s">
        <v>25</v>
      </c>
      <c r="AB247" t="s">
        <v>26</v>
      </c>
    </row>
    <row r="248" spans="1:28" s="4" customFormat="1" ht="15.75" thickBot="1" x14ac:dyDescent="0.3">
      <c r="A248" s="4" t="s">
        <v>244</v>
      </c>
      <c r="B248" s="4" t="s">
        <v>342</v>
      </c>
      <c r="C248" s="4">
        <v>1</v>
      </c>
      <c r="E248" s="4" t="s">
        <v>353</v>
      </c>
      <c r="F248" s="4" t="s">
        <v>345</v>
      </c>
      <c r="G248" s="4" t="s">
        <v>343</v>
      </c>
      <c r="H248" s="4">
        <v>6.94</v>
      </c>
      <c r="I248" s="4">
        <v>6.94</v>
      </c>
      <c r="J248" s="4">
        <v>20000</v>
      </c>
      <c r="K248" s="4">
        <v>0</v>
      </c>
      <c r="L248" s="40">
        <v>46226.215277777781</v>
      </c>
      <c r="M248" s="40">
        <v>46227.166666666664</v>
      </c>
      <c r="AA248" s="4" t="s">
        <v>25</v>
      </c>
      <c r="AB248" s="4" t="s">
        <v>26</v>
      </c>
    </row>
    <row r="249" spans="1:28" s="66" customFormat="1" x14ac:dyDescent="0.25">
      <c r="A249" s="66" t="s">
        <v>244</v>
      </c>
      <c r="B249" s="66" t="s">
        <v>354</v>
      </c>
      <c r="C249" s="66">
        <v>6</v>
      </c>
      <c r="E249" s="66" t="s">
        <v>1252</v>
      </c>
      <c r="F249" s="66" t="s">
        <v>1253</v>
      </c>
      <c r="G249" s="66" t="s">
        <v>1254</v>
      </c>
      <c r="H249" s="66">
        <v>318.3</v>
      </c>
      <c r="I249" s="66">
        <v>53.05</v>
      </c>
      <c r="J249" s="66">
        <v>1008</v>
      </c>
      <c r="K249" s="66">
        <v>432</v>
      </c>
      <c r="L249" s="67">
        <v>46210.368055555555</v>
      </c>
      <c r="M249" s="67">
        <v>46212.701388888891</v>
      </c>
      <c r="O249" s="66" t="s">
        <v>87</v>
      </c>
      <c r="AA249" s="66" t="s">
        <v>25</v>
      </c>
      <c r="AB249" s="66" t="s">
        <v>26</v>
      </c>
    </row>
    <row r="250" spans="1:28" x14ac:dyDescent="0.25">
      <c r="A250" t="s">
        <v>244</v>
      </c>
      <c r="B250" t="s">
        <v>354</v>
      </c>
      <c r="C250">
        <v>6</v>
      </c>
      <c r="E250" t="s">
        <v>1592</v>
      </c>
      <c r="F250" t="s">
        <v>1593</v>
      </c>
      <c r="G250" t="s">
        <v>1594</v>
      </c>
      <c r="J250">
        <v>62</v>
      </c>
      <c r="K250">
        <v>0</v>
      </c>
      <c r="O250" t="s">
        <v>87</v>
      </c>
    </row>
    <row r="251" spans="1:28" x14ac:dyDescent="0.25">
      <c r="A251" t="s">
        <v>244</v>
      </c>
      <c r="B251" t="s">
        <v>354</v>
      </c>
      <c r="C251">
        <v>6</v>
      </c>
      <c r="E251" t="s">
        <v>355</v>
      </c>
      <c r="F251" t="s">
        <v>356</v>
      </c>
      <c r="G251" t="s">
        <v>357</v>
      </c>
      <c r="H251">
        <v>96</v>
      </c>
      <c r="I251">
        <v>16</v>
      </c>
      <c r="J251">
        <v>480</v>
      </c>
      <c r="K251">
        <v>0</v>
      </c>
      <c r="L251" s="3">
        <v>46212.708333333336</v>
      </c>
      <c r="M251" s="3">
        <v>46213.493055555555</v>
      </c>
      <c r="O251" t="s">
        <v>87</v>
      </c>
      <c r="AA251" t="s">
        <v>25</v>
      </c>
      <c r="AB251" t="s">
        <v>26</v>
      </c>
    </row>
    <row r="252" spans="1:28" s="5" customFormat="1" x14ac:dyDescent="0.25">
      <c r="A252" s="5" t="s">
        <v>244</v>
      </c>
      <c r="B252" s="5" t="s">
        <v>354</v>
      </c>
      <c r="C252" s="5">
        <v>6</v>
      </c>
      <c r="E252" s="5" t="s">
        <v>358</v>
      </c>
      <c r="F252" s="5" t="s">
        <v>359</v>
      </c>
      <c r="G252" s="5" t="s">
        <v>360</v>
      </c>
      <c r="H252" s="5">
        <v>612</v>
      </c>
      <c r="I252" s="5">
        <v>102</v>
      </c>
      <c r="J252" s="5">
        <v>816</v>
      </c>
      <c r="K252" s="5">
        <v>240</v>
      </c>
      <c r="L252" s="61">
        <v>46213.5</v>
      </c>
      <c r="M252" s="61">
        <v>46219.868055555555</v>
      </c>
      <c r="O252" s="5" t="s">
        <v>87</v>
      </c>
      <c r="AA252" s="5" t="s">
        <v>25</v>
      </c>
      <c r="AB252" s="5" t="s">
        <v>26</v>
      </c>
    </row>
    <row r="253" spans="1:28" s="13" customFormat="1" x14ac:dyDescent="0.25">
      <c r="A253" s="13" t="s">
        <v>244</v>
      </c>
      <c r="B253" s="13" t="s">
        <v>354</v>
      </c>
      <c r="C253" s="13">
        <v>6</v>
      </c>
      <c r="E253" s="13" t="s">
        <v>1512</v>
      </c>
      <c r="F253" s="13" t="s">
        <v>1253</v>
      </c>
      <c r="G253" s="13" t="s">
        <v>1254</v>
      </c>
      <c r="H253" s="13">
        <v>318.3</v>
      </c>
      <c r="I253" s="13">
        <v>53.05</v>
      </c>
      <c r="J253" s="13">
        <v>576</v>
      </c>
      <c r="K253" s="13">
        <v>576</v>
      </c>
      <c r="L253" s="47"/>
      <c r="M253" s="47"/>
      <c r="O253" s="13" t="s">
        <v>87</v>
      </c>
    </row>
    <row r="254" spans="1:28" s="6" customFormat="1" x14ac:dyDescent="0.25">
      <c r="A254" s="6" t="s">
        <v>244</v>
      </c>
      <c r="B254" s="6" t="s">
        <v>354</v>
      </c>
      <c r="C254" s="6">
        <v>6</v>
      </c>
      <c r="E254" s="6" t="s">
        <v>1553</v>
      </c>
      <c r="F254" s="6" t="s">
        <v>359</v>
      </c>
      <c r="G254" s="6" t="s">
        <v>360</v>
      </c>
      <c r="H254" s="6">
        <v>432</v>
      </c>
      <c r="I254" s="6">
        <v>74.8</v>
      </c>
      <c r="J254" s="6">
        <v>576</v>
      </c>
      <c r="K254" s="6">
        <v>0</v>
      </c>
      <c r="L254" s="45"/>
      <c r="M254" s="45"/>
      <c r="O254" s="6" t="s">
        <v>87</v>
      </c>
    </row>
    <row r="255" spans="1:28" x14ac:dyDescent="0.25">
      <c r="A255" t="s">
        <v>244</v>
      </c>
      <c r="B255" t="s">
        <v>354</v>
      </c>
      <c r="C255">
        <v>6</v>
      </c>
      <c r="E255" t="s">
        <v>361</v>
      </c>
      <c r="F255" t="s">
        <v>362</v>
      </c>
      <c r="G255" t="s">
        <v>363</v>
      </c>
      <c r="H255">
        <v>830.1</v>
      </c>
      <c r="I255">
        <v>138.35</v>
      </c>
      <c r="J255">
        <v>2352</v>
      </c>
      <c r="K255">
        <v>0</v>
      </c>
      <c r="L255" s="3">
        <v>46219.875</v>
      </c>
      <c r="M255" s="3">
        <v>46227.763888888891</v>
      </c>
      <c r="O255" t="s">
        <v>87</v>
      </c>
      <c r="AA255" t="s">
        <v>25</v>
      </c>
      <c r="AB255" t="s">
        <v>26</v>
      </c>
    </row>
    <row r="256" spans="1:28" x14ac:dyDescent="0.25">
      <c r="A256" t="s">
        <v>244</v>
      </c>
      <c r="B256" t="s">
        <v>354</v>
      </c>
      <c r="C256">
        <v>6</v>
      </c>
      <c r="E256" t="s">
        <v>1255</v>
      </c>
      <c r="F256" t="s">
        <v>1253</v>
      </c>
      <c r="G256" t="s">
        <v>1254</v>
      </c>
      <c r="H256">
        <v>197.04</v>
      </c>
      <c r="I256">
        <v>32.840000000000003</v>
      </c>
      <c r="J256">
        <v>624</v>
      </c>
      <c r="K256">
        <v>0</v>
      </c>
      <c r="L256" s="3">
        <v>46237.958333333336</v>
      </c>
      <c r="M256" s="3">
        <v>46239.451388888891</v>
      </c>
      <c r="AA256" t="s">
        <v>25</v>
      </c>
      <c r="AB256" t="s">
        <v>26</v>
      </c>
    </row>
    <row r="257" spans="1:28" x14ac:dyDescent="0.25">
      <c r="A257" t="s">
        <v>244</v>
      </c>
      <c r="B257" t="s">
        <v>354</v>
      </c>
      <c r="C257">
        <v>6</v>
      </c>
      <c r="E257" t="s">
        <v>1256</v>
      </c>
      <c r="F257" t="s">
        <v>1257</v>
      </c>
      <c r="G257" t="s">
        <v>1258</v>
      </c>
      <c r="H257">
        <v>552</v>
      </c>
      <c r="I257">
        <v>92</v>
      </c>
      <c r="J257">
        <v>1104</v>
      </c>
      <c r="K257">
        <v>0</v>
      </c>
      <c r="L257" s="3">
        <v>46239.458333333336</v>
      </c>
      <c r="M257" s="3">
        <v>46245.284722222219</v>
      </c>
      <c r="AA257" t="s">
        <v>25</v>
      </c>
      <c r="AB257" t="s">
        <v>26</v>
      </c>
    </row>
    <row r="258" spans="1:28" x14ac:dyDescent="0.25">
      <c r="A258" t="s">
        <v>244</v>
      </c>
      <c r="B258" t="s">
        <v>354</v>
      </c>
      <c r="C258">
        <v>6</v>
      </c>
      <c r="E258" t="s">
        <v>1259</v>
      </c>
      <c r="F258" t="s">
        <v>1260</v>
      </c>
      <c r="G258" t="s">
        <v>1261</v>
      </c>
      <c r="H258">
        <v>96</v>
      </c>
      <c r="I258">
        <v>16</v>
      </c>
      <c r="J258">
        <v>192</v>
      </c>
      <c r="K258">
        <v>0</v>
      </c>
      <c r="L258" s="3">
        <v>46245.291666666664</v>
      </c>
      <c r="M258" s="3">
        <v>46245.951388888891</v>
      </c>
      <c r="AA258" t="s">
        <v>25</v>
      </c>
      <c r="AB258" t="s">
        <v>26</v>
      </c>
    </row>
    <row r="259" spans="1:28" x14ac:dyDescent="0.25">
      <c r="A259" t="s">
        <v>244</v>
      </c>
      <c r="B259" t="s">
        <v>354</v>
      </c>
      <c r="C259">
        <v>10</v>
      </c>
      <c r="E259" t="s">
        <v>1262</v>
      </c>
      <c r="F259" t="s">
        <v>1263</v>
      </c>
      <c r="G259" t="s">
        <v>1264</v>
      </c>
      <c r="H259">
        <v>73.8</v>
      </c>
      <c r="I259">
        <v>7.38</v>
      </c>
      <c r="J259">
        <v>384</v>
      </c>
      <c r="K259">
        <v>0</v>
      </c>
      <c r="L259" s="3">
        <v>46245.958333333336</v>
      </c>
      <c r="M259" s="3">
        <v>46246.388888888891</v>
      </c>
      <c r="AA259" t="s">
        <v>25</v>
      </c>
      <c r="AB259" t="s">
        <v>26</v>
      </c>
    </row>
    <row r="260" spans="1:28" x14ac:dyDescent="0.25">
      <c r="A260" t="s">
        <v>244</v>
      </c>
      <c r="B260" t="s">
        <v>354</v>
      </c>
      <c r="C260">
        <v>6</v>
      </c>
      <c r="E260" t="s">
        <v>1265</v>
      </c>
      <c r="F260" t="s">
        <v>359</v>
      </c>
      <c r="G260" t="s">
        <v>360</v>
      </c>
      <c r="H260">
        <v>432</v>
      </c>
      <c r="I260">
        <v>72</v>
      </c>
      <c r="J260">
        <v>576</v>
      </c>
      <c r="K260">
        <v>0</v>
      </c>
      <c r="L260" s="3">
        <v>46246.395833333336</v>
      </c>
      <c r="M260" s="3">
        <v>46251.513888888891</v>
      </c>
      <c r="AA260" t="s">
        <v>25</v>
      </c>
      <c r="AB260" t="s">
        <v>26</v>
      </c>
    </row>
    <row r="261" spans="1:28" x14ac:dyDescent="0.25">
      <c r="A261" t="s">
        <v>244</v>
      </c>
      <c r="B261" t="s">
        <v>354</v>
      </c>
      <c r="C261">
        <v>6</v>
      </c>
      <c r="E261" t="s">
        <v>1266</v>
      </c>
      <c r="F261" t="s">
        <v>356</v>
      </c>
      <c r="G261" t="s">
        <v>357</v>
      </c>
      <c r="H261">
        <v>96</v>
      </c>
      <c r="I261">
        <v>16</v>
      </c>
      <c r="J261">
        <v>480</v>
      </c>
      <c r="K261">
        <v>0</v>
      </c>
      <c r="L261" s="3">
        <v>46251.520833333336</v>
      </c>
      <c r="M261" s="3">
        <v>46252.305555555555</v>
      </c>
      <c r="AA261" t="s">
        <v>25</v>
      </c>
      <c r="AB261" t="s">
        <v>26</v>
      </c>
    </row>
    <row r="262" spans="1:28" x14ac:dyDescent="0.25">
      <c r="A262" t="s">
        <v>244</v>
      </c>
      <c r="B262" t="s">
        <v>354</v>
      </c>
      <c r="C262">
        <v>5</v>
      </c>
      <c r="E262" t="s">
        <v>1267</v>
      </c>
      <c r="F262" t="s">
        <v>1268</v>
      </c>
      <c r="G262" t="s">
        <v>1269</v>
      </c>
      <c r="H262">
        <v>171.45</v>
      </c>
      <c r="I262">
        <v>34.29</v>
      </c>
      <c r="J262">
        <v>240</v>
      </c>
      <c r="K262">
        <v>0</v>
      </c>
      <c r="L262" s="3">
        <v>46252.3125</v>
      </c>
      <c r="M262" s="3">
        <v>46253.861111111109</v>
      </c>
      <c r="AA262" t="s">
        <v>25</v>
      </c>
      <c r="AB262" t="s">
        <v>26</v>
      </c>
    </row>
    <row r="263" spans="1:28" x14ac:dyDescent="0.25">
      <c r="A263" t="s">
        <v>244</v>
      </c>
      <c r="B263" t="s">
        <v>354</v>
      </c>
      <c r="C263">
        <v>6</v>
      </c>
      <c r="E263" t="s">
        <v>1270</v>
      </c>
      <c r="F263" t="s">
        <v>362</v>
      </c>
      <c r="G263" t="s">
        <v>363</v>
      </c>
      <c r="H263">
        <v>660.72</v>
      </c>
      <c r="I263">
        <v>110.12</v>
      </c>
      <c r="J263">
        <v>1872</v>
      </c>
      <c r="K263">
        <v>0</v>
      </c>
      <c r="L263" s="3">
        <v>46253.868055555555</v>
      </c>
      <c r="M263" s="3">
        <v>46260.576388888891</v>
      </c>
      <c r="AA263" t="s">
        <v>25</v>
      </c>
      <c r="AB263" t="s">
        <v>26</v>
      </c>
    </row>
    <row r="264" spans="1:28" x14ac:dyDescent="0.25">
      <c r="A264" t="s">
        <v>244</v>
      </c>
      <c r="B264" t="s">
        <v>354</v>
      </c>
      <c r="C264">
        <v>6</v>
      </c>
      <c r="E264" t="s">
        <v>1271</v>
      </c>
      <c r="F264" t="s">
        <v>1272</v>
      </c>
      <c r="G264" t="s">
        <v>1273</v>
      </c>
      <c r="H264">
        <v>96</v>
      </c>
      <c r="I264">
        <v>16</v>
      </c>
      <c r="J264">
        <v>192</v>
      </c>
      <c r="K264">
        <v>0</v>
      </c>
      <c r="L264" s="3">
        <v>46260.583333333336</v>
      </c>
      <c r="M264" s="3">
        <v>46261.243055555555</v>
      </c>
      <c r="AA264" t="s">
        <v>25</v>
      </c>
      <c r="AB264" t="s">
        <v>26</v>
      </c>
    </row>
    <row r="265" spans="1:28" x14ac:dyDescent="0.25">
      <c r="A265" t="s">
        <v>244</v>
      </c>
      <c r="B265" t="s">
        <v>354</v>
      </c>
      <c r="C265">
        <v>7</v>
      </c>
      <c r="E265" t="s">
        <v>1274</v>
      </c>
      <c r="F265" t="s">
        <v>1275</v>
      </c>
      <c r="G265" t="s">
        <v>1276</v>
      </c>
      <c r="H265">
        <v>18.13</v>
      </c>
      <c r="I265">
        <v>2.59</v>
      </c>
      <c r="J265">
        <v>96</v>
      </c>
      <c r="K265">
        <v>0</v>
      </c>
      <c r="L265" s="3">
        <v>46261.25</v>
      </c>
      <c r="M265" s="3">
        <v>46261.479166666664</v>
      </c>
      <c r="AA265" t="s">
        <v>25</v>
      </c>
      <c r="AB265" t="s">
        <v>26</v>
      </c>
    </row>
    <row r="266" spans="1:28" x14ac:dyDescent="0.25">
      <c r="A266" t="s">
        <v>244</v>
      </c>
      <c r="B266" t="s">
        <v>354</v>
      </c>
      <c r="C266">
        <v>6</v>
      </c>
      <c r="E266" t="s">
        <v>1277</v>
      </c>
      <c r="F266" t="s">
        <v>1257</v>
      </c>
      <c r="G266" t="s">
        <v>1258</v>
      </c>
      <c r="H266">
        <v>552</v>
      </c>
      <c r="I266">
        <v>92</v>
      </c>
      <c r="J266">
        <v>1104</v>
      </c>
      <c r="K266">
        <v>0</v>
      </c>
      <c r="L266" s="3">
        <v>46266</v>
      </c>
      <c r="M266" s="3">
        <v>46269.826388888891</v>
      </c>
      <c r="AA266" t="s">
        <v>25</v>
      </c>
      <c r="AB266" t="s">
        <v>26</v>
      </c>
    </row>
    <row r="267" spans="1:28" s="4" customFormat="1" ht="15.75" thickBot="1" x14ac:dyDescent="0.3">
      <c r="A267" s="4" t="s">
        <v>244</v>
      </c>
      <c r="B267" s="4" t="s">
        <v>354</v>
      </c>
      <c r="C267" s="4">
        <v>10</v>
      </c>
      <c r="E267" s="4" t="s">
        <v>1278</v>
      </c>
      <c r="F267" s="4" t="s">
        <v>1263</v>
      </c>
      <c r="G267" s="4" t="s">
        <v>1264</v>
      </c>
      <c r="H267" s="4">
        <v>18.5</v>
      </c>
      <c r="I267" s="4">
        <v>1.85</v>
      </c>
      <c r="J267" s="4">
        <v>96</v>
      </c>
      <c r="K267" s="4">
        <v>0</v>
      </c>
      <c r="L267" s="40">
        <v>46269.833333333336</v>
      </c>
      <c r="M267" s="40">
        <v>46273.034722222219</v>
      </c>
      <c r="AA267" s="4" t="s">
        <v>25</v>
      </c>
      <c r="AB267" s="4" t="s">
        <v>26</v>
      </c>
    </row>
    <row r="268" spans="1:28" s="13" customFormat="1" x14ac:dyDescent="0.25">
      <c r="A268" s="13" t="s">
        <v>244</v>
      </c>
      <c r="B268" s="13" t="s">
        <v>368</v>
      </c>
      <c r="C268" s="13">
        <v>6</v>
      </c>
      <c r="E268" s="13" t="s">
        <v>369</v>
      </c>
      <c r="F268" s="13" t="s">
        <v>370</v>
      </c>
      <c r="G268" s="13" t="s">
        <v>371</v>
      </c>
      <c r="H268" s="13">
        <v>92.16</v>
      </c>
      <c r="I268" s="13">
        <v>15.36</v>
      </c>
      <c r="J268" s="13">
        <v>384</v>
      </c>
      <c r="K268" s="13">
        <v>384</v>
      </c>
      <c r="L268" s="47">
        <v>46208.958333333336</v>
      </c>
      <c r="M268" s="47">
        <v>46210.055555555555</v>
      </c>
      <c r="O268" s="13" t="s">
        <v>87</v>
      </c>
      <c r="AA268" s="13" t="s">
        <v>25</v>
      </c>
      <c r="AB268" s="13" t="s">
        <v>26</v>
      </c>
    </row>
    <row r="269" spans="1:28" s="13" customFormat="1" x14ac:dyDescent="0.25">
      <c r="A269" s="13" t="s">
        <v>244</v>
      </c>
      <c r="B269" s="13" t="s">
        <v>368</v>
      </c>
      <c r="C269" s="13">
        <v>6</v>
      </c>
      <c r="E269" s="13" t="s">
        <v>375</v>
      </c>
      <c r="F269" s="13" t="s">
        <v>376</v>
      </c>
      <c r="G269" s="13" t="s">
        <v>377</v>
      </c>
      <c r="H269" s="13">
        <v>70.8</v>
      </c>
      <c r="I269" s="13">
        <v>11.8</v>
      </c>
      <c r="J269" s="13">
        <v>295</v>
      </c>
      <c r="K269" s="13">
        <v>295</v>
      </c>
      <c r="L269" s="47">
        <v>46198</v>
      </c>
      <c r="M269" s="47">
        <v>46198.611111111109</v>
      </c>
      <c r="O269" s="13" t="s">
        <v>87</v>
      </c>
      <c r="AA269" s="13" t="s">
        <v>25</v>
      </c>
      <c r="AB269" s="13" t="s">
        <v>26</v>
      </c>
    </row>
    <row r="270" spans="1:28" s="13" customFormat="1" x14ac:dyDescent="0.25">
      <c r="A270" s="13" t="s">
        <v>244</v>
      </c>
      <c r="B270" s="13" t="s">
        <v>368</v>
      </c>
      <c r="C270" s="13">
        <v>6</v>
      </c>
      <c r="E270" s="13" t="s">
        <v>372</v>
      </c>
      <c r="F270" s="13" t="s">
        <v>373</v>
      </c>
      <c r="G270" s="13" t="s">
        <v>374</v>
      </c>
      <c r="H270" s="13">
        <v>69.12</v>
      </c>
      <c r="I270" s="13">
        <v>11.52</v>
      </c>
      <c r="J270" s="13">
        <v>288</v>
      </c>
      <c r="K270" s="13">
        <v>288</v>
      </c>
      <c r="L270" s="47">
        <v>46210.0625</v>
      </c>
      <c r="M270" s="47">
        <v>46211</v>
      </c>
      <c r="O270" s="13" t="s">
        <v>87</v>
      </c>
      <c r="AA270" s="13" t="s">
        <v>25</v>
      </c>
      <c r="AB270" s="13" t="s">
        <v>26</v>
      </c>
    </row>
    <row r="271" spans="1:28" s="6" customFormat="1" x14ac:dyDescent="0.25">
      <c r="A271" s="6" t="s">
        <v>244</v>
      </c>
      <c r="B271" s="6" t="s">
        <v>368</v>
      </c>
      <c r="C271" s="6">
        <v>6</v>
      </c>
      <c r="E271" s="6" t="s">
        <v>378</v>
      </c>
      <c r="F271" s="6" t="s">
        <v>379</v>
      </c>
      <c r="G271" s="6" t="s">
        <v>380</v>
      </c>
      <c r="H271" s="6">
        <v>218.88</v>
      </c>
      <c r="I271" s="6">
        <v>36.479999999999997</v>
      </c>
      <c r="J271" s="6">
        <v>912</v>
      </c>
      <c r="K271" s="6">
        <v>0</v>
      </c>
      <c r="L271" s="45">
        <v>46211.006944444445</v>
      </c>
      <c r="M271" s="45">
        <v>46213.3125</v>
      </c>
      <c r="O271" s="6" t="s">
        <v>87</v>
      </c>
      <c r="AA271" s="6" t="s">
        <v>25</v>
      </c>
      <c r="AB271" s="6" t="s">
        <v>26</v>
      </c>
    </row>
    <row r="272" spans="1:28" x14ac:dyDescent="0.25">
      <c r="A272" t="s">
        <v>244</v>
      </c>
      <c r="B272" t="s">
        <v>368</v>
      </c>
      <c r="C272">
        <v>6</v>
      </c>
      <c r="E272" t="s">
        <v>381</v>
      </c>
      <c r="F272" t="s">
        <v>382</v>
      </c>
      <c r="G272" t="s">
        <v>383</v>
      </c>
      <c r="H272">
        <v>69.12</v>
      </c>
      <c r="I272">
        <v>11.52</v>
      </c>
      <c r="J272">
        <v>288</v>
      </c>
      <c r="K272">
        <v>0</v>
      </c>
      <c r="L272" s="3">
        <v>46213.319444444445</v>
      </c>
      <c r="M272" s="3">
        <v>46213.631944444445</v>
      </c>
      <c r="O272" s="13" t="s">
        <v>87</v>
      </c>
      <c r="AA272" t="s">
        <v>25</v>
      </c>
      <c r="AB272" t="s">
        <v>26</v>
      </c>
    </row>
    <row r="273" spans="1:28" x14ac:dyDescent="0.25">
      <c r="A273" t="s">
        <v>244</v>
      </c>
      <c r="B273" t="s">
        <v>368</v>
      </c>
      <c r="C273">
        <v>6</v>
      </c>
      <c r="E273" t="s">
        <v>384</v>
      </c>
      <c r="F273" t="s">
        <v>385</v>
      </c>
      <c r="G273" t="s">
        <v>386</v>
      </c>
      <c r="H273">
        <v>34.56</v>
      </c>
      <c r="I273">
        <v>5.76</v>
      </c>
      <c r="J273">
        <v>144</v>
      </c>
      <c r="K273">
        <v>0</v>
      </c>
      <c r="L273" s="3">
        <v>46213.638888888891</v>
      </c>
      <c r="M273" s="3">
        <v>46216.291666666664</v>
      </c>
      <c r="AA273" t="s">
        <v>25</v>
      </c>
      <c r="AB273" t="s">
        <v>26</v>
      </c>
    </row>
    <row r="274" spans="1:28" x14ac:dyDescent="0.25">
      <c r="A274" t="s">
        <v>244</v>
      </c>
      <c r="B274" t="s">
        <v>368</v>
      </c>
      <c r="C274">
        <v>6</v>
      </c>
      <c r="E274" t="s">
        <v>387</v>
      </c>
      <c r="F274" t="s">
        <v>376</v>
      </c>
      <c r="G274" t="s">
        <v>377</v>
      </c>
      <c r="H274">
        <v>80.64</v>
      </c>
      <c r="I274">
        <v>13.44</v>
      </c>
      <c r="J274">
        <v>336</v>
      </c>
      <c r="K274">
        <v>0</v>
      </c>
      <c r="L274" s="3">
        <v>46216.298611111109</v>
      </c>
      <c r="M274" s="3">
        <v>46217.3125</v>
      </c>
      <c r="AA274" t="s">
        <v>25</v>
      </c>
      <c r="AB274" t="s">
        <v>26</v>
      </c>
    </row>
    <row r="275" spans="1:28" x14ac:dyDescent="0.25">
      <c r="A275" t="s">
        <v>244</v>
      </c>
      <c r="B275" t="s">
        <v>368</v>
      </c>
      <c r="C275">
        <v>6</v>
      </c>
      <c r="E275" t="s">
        <v>1279</v>
      </c>
      <c r="F275" t="s">
        <v>1280</v>
      </c>
      <c r="G275" t="s">
        <v>1281</v>
      </c>
      <c r="H275">
        <v>288</v>
      </c>
      <c r="I275">
        <v>48</v>
      </c>
      <c r="J275">
        <v>1200</v>
      </c>
      <c r="K275">
        <v>0</v>
      </c>
      <c r="L275" s="3">
        <v>46237.958333333336</v>
      </c>
      <c r="M275" s="3">
        <v>46241.076388888891</v>
      </c>
      <c r="AA275" t="s">
        <v>25</v>
      </c>
      <c r="AB275" t="s">
        <v>26</v>
      </c>
    </row>
    <row r="276" spans="1:28" x14ac:dyDescent="0.25">
      <c r="A276" t="s">
        <v>244</v>
      </c>
      <c r="B276" t="s">
        <v>368</v>
      </c>
      <c r="C276">
        <v>6</v>
      </c>
      <c r="E276" t="s">
        <v>1282</v>
      </c>
      <c r="F276" t="s">
        <v>370</v>
      </c>
      <c r="G276" t="s">
        <v>371</v>
      </c>
      <c r="H276">
        <v>380.16</v>
      </c>
      <c r="I276">
        <v>63.36</v>
      </c>
      <c r="J276">
        <v>1584</v>
      </c>
      <c r="K276">
        <v>0</v>
      </c>
      <c r="L276" s="3">
        <v>46241.083333333336</v>
      </c>
      <c r="M276" s="3">
        <v>46246.513888888891</v>
      </c>
      <c r="AA276" t="s">
        <v>25</v>
      </c>
      <c r="AB276" t="s">
        <v>26</v>
      </c>
    </row>
    <row r="277" spans="1:28" x14ac:dyDescent="0.25">
      <c r="A277" t="s">
        <v>244</v>
      </c>
      <c r="B277" t="s">
        <v>368</v>
      </c>
      <c r="C277">
        <v>6</v>
      </c>
      <c r="E277" t="s">
        <v>1283</v>
      </c>
      <c r="F277" t="s">
        <v>379</v>
      </c>
      <c r="G277" t="s">
        <v>380</v>
      </c>
      <c r="H277">
        <v>357.12</v>
      </c>
      <c r="I277">
        <v>59.52</v>
      </c>
      <c r="J277">
        <v>1488</v>
      </c>
      <c r="K277">
        <v>0</v>
      </c>
      <c r="L277" s="3">
        <v>46246.520833333336</v>
      </c>
      <c r="M277" s="3">
        <v>46252.125</v>
      </c>
      <c r="AA277" t="s">
        <v>25</v>
      </c>
      <c r="AB277" t="s">
        <v>26</v>
      </c>
    </row>
    <row r="278" spans="1:28" x14ac:dyDescent="0.25">
      <c r="A278" t="s">
        <v>244</v>
      </c>
      <c r="B278" t="s">
        <v>368</v>
      </c>
      <c r="C278">
        <v>6</v>
      </c>
      <c r="E278" t="s">
        <v>1284</v>
      </c>
      <c r="F278" t="s">
        <v>385</v>
      </c>
      <c r="G278" t="s">
        <v>386</v>
      </c>
      <c r="H278">
        <v>115.2</v>
      </c>
      <c r="I278">
        <v>19.2</v>
      </c>
      <c r="J278">
        <v>480</v>
      </c>
      <c r="K278">
        <v>0</v>
      </c>
      <c r="L278" s="3">
        <v>46252.131944444445</v>
      </c>
      <c r="M278" s="3">
        <v>46253.388888888891</v>
      </c>
      <c r="AA278" t="s">
        <v>25</v>
      </c>
      <c r="AB278" t="s">
        <v>26</v>
      </c>
    </row>
    <row r="279" spans="1:28" x14ac:dyDescent="0.25">
      <c r="A279" t="s">
        <v>244</v>
      </c>
      <c r="B279" t="s">
        <v>368</v>
      </c>
      <c r="C279">
        <v>6</v>
      </c>
      <c r="E279" t="s">
        <v>1285</v>
      </c>
      <c r="F279" t="s">
        <v>376</v>
      </c>
      <c r="G279" t="s">
        <v>377</v>
      </c>
      <c r="H279">
        <v>115.2</v>
      </c>
      <c r="I279">
        <v>19.2</v>
      </c>
      <c r="J279">
        <v>480</v>
      </c>
      <c r="K279">
        <v>0</v>
      </c>
      <c r="L279" s="3">
        <v>46253.395833333336</v>
      </c>
      <c r="M279" s="3">
        <v>46254.986111111109</v>
      </c>
      <c r="AA279" t="s">
        <v>25</v>
      </c>
      <c r="AB279" t="s">
        <v>26</v>
      </c>
    </row>
    <row r="280" spans="1:28" x14ac:dyDescent="0.25">
      <c r="A280" t="s">
        <v>244</v>
      </c>
      <c r="B280" t="s">
        <v>368</v>
      </c>
      <c r="C280">
        <v>6</v>
      </c>
      <c r="E280" t="s">
        <v>1286</v>
      </c>
      <c r="F280" t="s">
        <v>382</v>
      </c>
      <c r="G280" t="s">
        <v>383</v>
      </c>
      <c r="H280">
        <v>23.04</v>
      </c>
      <c r="I280">
        <v>3.84</v>
      </c>
      <c r="J280">
        <v>96</v>
      </c>
      <c r="K280">
        <v>0</v>
      </c>
      <c r="L280" s="3">
        <v>46254.993055555555</v>
      </c>
      <c r="M280" s="3">
        <v>46255.270833333336</v>
      </c>
      <c r="AA280" t="s">
        <v>25</v>
      </c>
      <c r="AB280" t="s">
        <v>26</v>
      </c>
    </row>
    <row r="281" spans="1:28" x14ac:dyDescent="0.25">
      <c r="A281" t="s">
        <v>244</v>
      </c>
      <c r="B281" t="s">
        <v>368</v>
      </c>
      <c r="C281">
        <v>6</v>
      </c>
      <c r="E281" t="s">
        <v>1287</v>
      </c>
      <c r="F281" t="s">
        <v>1288</v>
      </c>
      <c r="G281" t="s">
        <v>1289</v>
      </c>
      <c r="H281">
        <v>92.16</v>
      </c>
      <c r="I281">
        <v>15.36</v>
      </c>
      <c r="J281">
        <v>384</v>
      </c>
      <c r="K281">
        <v>0</v>
      </c>
      <c r="L281" s="3">
        <v>46255.277777777781</v>
      </c>
      <c r="M281" s="3">
        <v>46258.041666666664</v>
      </c>
      <c r="AA281" t="s">
        <v>25</v>
      </c>
      <c r="AB281" t="s">
        <v>26</v>
      </c>
    </row>
    <row r="282" spans="1:28" x14ac:dyDescent="0.25">
      <c r="A282" t="s">
        <v>244</v>
      </c>
      <c r="B282" t="s">
        <v>368</v>
      </c>
      <c r="C282">
        <v>6</v>
      </c>
      <c r="E282" t="s">
        <v>1290</v>
      </c>
      <c r="F282" t="s">
        <v>376</v>
      </c>
      <c r="G282" t="s">
        <v>377</v>
      </c>
      <c r="H282">
        <v>161.28</v>
      </c>
      <c r="I282">
        <v>26.88</v>
      </c>
      <c r="J282">
        <v>672</v>
      </c>
      <c r="K282">
        <v>0</v>
      </c>
      <c r="L282" s="3">
        <v>46266</v>
      </c>
      <c r="M282" s="3">
        <v>46267.576388888891</v>
      </c>
      <c r="AA282" t="s">
        <v>25</v>
      </c>
      <c r="AB282" t="s">
        <v>26</v>
      </c>
    </row>
    <row r="283" spans="1:28" s="4" customFormat="1" ht="15.75" thickBot="1" x14ac:dyDescent="0.3">
      <c r="A283" s="4" t="s">
        <v>244</v>
      </c>
      <c r="B283" s="4" t="s">
        <v>368</v>
      </c>
      <c r="C283" s="4">
        <v>6</v>
      </c>
      <c r="E283" s="4" t="s">
        <v>1291</v>
      </c>
      <c r="F283" s="4" t="s">
        <v>379</v>
      </c>
      <c r="G283" s="4" t="s">
        <v>380</v>
      </c>
      <c r="H283" s="4">
        <v>368.64</v>
      </c>
      <c r="I283" s="4">
        <v>61.44</v>
      </c>
      <c r="J283" s="4">
        <v>1536</v>
      </c>
      <c r="K283" s="4">
        <v>0</v>
      </c>
      <c r="L283" s="40">
        <v>46267.583333333336</v>
      </c>
      <c r="M283" s="40">
        <v>46274.263888888891</v>
      </c>
      <c r="AA283" s="4" t="s">
        <v>25</v>
      </c>
      <c r="AB283" s="4" t="s">
        <v>26</v>
      </c>
    </row>
    <row r="284" spans="1:28" s="5" customFormat="1" ht="15.75" x14ac:dyDescent="0.25">
      <c r="A284" s="5" t="s">
        <v>244</v>
      </c>
      <c r="B284" s="5" t="s">
        <v>364</v>
      </c>
      <c r="C284" s="5">
        <v>3</v>
      </c>
      <c r="E284" s="5" t="s">
        <v>1292</v>
      </c>
      <c r="F284" s="5" t="s">
        <v>366</v>
      </c>
      <c r="G284" s="5" t="s">
        <v>367</v>
      </c>
      <c r="H284" s="5">
        <v>268.64999999999998</v>
      </c>
      <c r="I284" s="5">
        <v>36.42</v>
      </c>
      <c r="J284" s="5">
        <v>300</v>
      </c>
      <c r="K284" s="5">
        <v>190</v>
      </c>
      <c r="L284" s="61">
        <v>46198.625</v>
      </c>
      <c r="M284" s="61">
        <v>46209.805555555555</v>
      </c>
      <c r="O284" s="5" t="s">
        <v>87</v>
      </c>
      <c r="P284" s="63">
        <v>1025334</v>
      </c>
      <c r="Q284" s="64">
        <v>46156</v>
      </c>
      <c r="AA284" s="5" t="s">
        <v>25</v>
      </c>
      <c r="AB284" s="5" t="s">
        <v>26</v>
      </c>
    </row>
    <row r="285" spans="1:28" s="48" customFormat="1" ht="15.75" thickBot="1" x14ac:dyDescent="0.3">
      <c r="A285" s="48" t="s">
        <v>244</v>
      </c>
      <c r="B285" s="48" t="s">
        <v>364</v>
      </c>
      <c r="C285" s="48">
        <v>3</v>
      </c>
      <c r="E285" s="48" t="s">
        <v>365</v>
      </c>
      <c r="F285" s="48" t="s">
        <v>366</v>
      </c>
      <c r="G285" s="48" t="s">
        <v>367</v>
      </c>
      <c r="H285" s="48">
        <v>313.44</v>
      </c>
      <c r="I285" s="48">
        <v>104.48</v>
      </c>
      <c r="J285" s="48">
        <v>350</v>
      </c>
      <c r="K285" s="48">
        <v>0</v>
      </c>
      <c r="L285" s="65">
        <v>46209.8125</v>
      </c>
      <c r="M285" s="65">
        <v>46227.638888888891</v>
      </c>
      <c r="O285" s="48" t="s">
        <v>87</v>
      </c>
      <c r="AA285" s="48" t="s">
        <v>25</v>
      </c>
      <c r="AB285" s="48" t="s">
        <v>26</v>
      </c>
    </row>
    <row r="286" spans="1:28" s="13" customFormat="1" ht="15.75" thickBot="1" x14ac:dyDescent="0.3">
      <c r="A286" s="13" t="s">
        <v>244</v>
      </c>
      <c r="B286" s="13" t="s">
        <v>617</v>
      </c>
      <c r="C286" s="13">
        <v>3</v>
      </c>
      <c r="E286" s="46" t="s">
        <v>1293</v>
      </c>
      <c r="F286" s="13" t="s">
        <v>622</v>
      </c>
      <c r="G286" s="13" t="s">
        <v>623</v>
      </c>
      <c r="H286" s="13">
        <v>496.56</v>
      </c>
      <c r="I286" s="13">
        <v>32.409999999999997</v>
      </c>
      <c r="J286" s="13">
        <v>480</v>
      </c>
      <c r="K286" s="13">
        <v>486</v>
      </c>
      <c r="L286" s="47">
        <v>46196</v>
      </c>
      <c r="M286" s="47">
        <v>46197.347222222219</v>
      </c>
      <c r="N286" s="46"/>
      <c r="O286" s="46" t="s">
        <v>87</v>
      </c>
      <c r="P286" s="46"/>
      <c r="Q286" s="46"/>
      <c r="R286" s="46"/>
      <c r="S286" s="46"/>
      <c r="AA286" s="13" t="s">
        <v>25</v>
      </c>
      <c r="AB286" s="13" t="s">
        <v>26</v>
      </c>
    </row>
    <row r="287" spans="1:28" s="13" customFormat="1" x14ac:dyDescent="0.25">
      <c r="A287" s="13" t="s">
        <v>244</v>
      </c>
      <c r="B287" s="13" t="s">
        <v>617</v>
      </c>
      <c r="C287" s="13">
        <v>3</v>
      </c>
      <c r="E287" s="13" t="s">
        <v>1294</v>
      </c>
      <c r="F287" s="13" t="s">
        <v>622</v>
      </c>
      <c r="G287" s="13" t="s">
        <v>623</v>
      </c>
      <c r="H287" s="13">
        <v>206.91</v>
      </c>
      <c r="I287" s="13">
        <v>68.97</v>
      </c>
      <c r="J287" s="13">
        <v>200</v>
      </c>
      <c r="K287" s="13">
        <v>200</v>
      </c>
      <c r="L287" s="47">
        <v>46200.375</v>
      </c>
      <c r="M287" s="47">
        <v>46203.388888888891</v>
      </c>
      <c r="O287" s="13" t="s">
        <v>87</v>
      </c>
      <c r="AA287" s="13" t="s">
        <v>25</v>
      </c>
      <c r="AB287" s="13" t="s">
        <v>26</v>
      </c>
    </row>
    <row r="288" spans="1:28" s="13" customFormat="1" x14ac:dyDescent="0.25">
      <c r="A288" s="13" t="s">
        <v>244</v>
      </c>
      <c r="B288" s="13" t="s">
        <v>617</v>
      </c>
      <c r="C288" s="13">
        <v>3</v>
      </c>
      <c r="E288" s="13" t="s">
        <v>621</v>
      </c>
      <c r="F288" s="13" t="s">
        <v>622</v>
      </c>
      <c r="G288" s="13" t="s">
        <v>623</v>
      </c>
      <c r="H288" s="13">
        <v>387.93</v>
      </c>
      <c r="I288" s="13">
        <v>129.31</v>
      </c>
      <c r="J288" s="13">
        <v>375</v>
      </c>
      <c r="K288" s="13">
        <v>375</v>
      </c>
      <c r="L288" s="47">
        <v>46203.395833333336</v>
      </c>
      <c r="M288" s="47">
        <v>46213.923611111109</v>
      </c>
      <c r="O288" s="13" t="s">
        <v>78</v>
      </c>
      <c r="AA288" s="13" t="s">
        <v>25</v>
      </c>
      <c r="AB288" s="13" t="s">
        <v>26</v>
      </c>
    </row>
    <row r="289" spans="1:28" s="6" customFormat="1" x14ac:dyDescent="0.25">
      <c r="A289" s="6" t="s">
        <v>244</v>
      </c>
      <c r="B289" s="6" t="s">
        <v>617</v>
      </c>
      <c r="C289" s="6">
        <v>3</v>
      </c>
      <c r="E289" s="6" t="s">
        <v>624</v>
      </c>
      <c r="F289" s="6" t="s">
        <v>622</v>
      </c>
      <c r="G289" s="6" t="s">
        <v>623</v>
      </c>
      <c r="H289" s="6">
        <v>517.23</v>
      </c>
      <c r="I289" s="6">
        <v>172.41</v>
      </c>
      <c r="J289" s="6">
        <v>500</v>
      </c>
      <c r="K289" s="6">
        <v>0</v>
      </c>
      <c r="L289" s="45">
        <v>46213.930555555555</v>
      </c>
      <c r="M289" s="45">
        <v>46221.256944444445</v>
      </c>
      <c r="O289" s="6" t="s">
        <v>78</v>
      </c>
      <c r="AA289" s="6" t="s">
        <v>25</v>
      </c>
      <c r="AB289" s="6" t="s">
        <v>26</v>
      </c>
    </row>
    <row r="290" spans="1:28" x14ac:dyDescent="0.25">
      <c r="A290" t="s">
        <v>244</v>
      </c>
      <c r="B290" t="s">
        <v>617</v>
      </c>
      <c r="C290">
        <v>3</v>
      </c>
      <c r="E290" t="s">
        <v>618</v>
      </c>
      <c r="F290" t="s">
        <v>619</v>
      </c>
      <c r="G290" t="s">
        <v>620</v>
      </c>
      <c r="H290">
        <v>206.91</v>
      </c>
      <c r="I290">
        <v>68.97</v>
      </c>
      <c r="J290">
        <v>200</v>
      </c>
      <c r="K290">
        <v>0</v>
      </c>
      <c r="L290" s="3">
        <v>46197.354166666664</v>
      </c>
      <c r="M290" s="3">
        <v>46200.368055555555</v>
      </c>
      <c r="AA290" t="s">
        <v>25</v>
      </c>
      <c r="AB290" t="s">
        <v>26</v>
      </c>
    </row>
    <row r="291" spans="1:28" x14ac:dyDescent="0.25">
      <c r="A291" t="s">
        <v>244</v>
      </c>
      <c r="B291" t="s">
        <v>617</v>
      </c>
      <c r="C291">
        <v>3</v>
      </c>
      <c r="E291" t="s">
        <v>625</v>
      </c>
      <c r="F291" t="s">
        <v>619</v>
      </c>
      <c r="G291" t="s">
        <v>620</v>
      </c>
      <c r="H291">
        <v>155.16</v>
      </c>
      <c r="I291">
        <v>51.72</v>
      </c>
      <c r="J291">
        <v>150</v>
      </c>
      <c r="K291">
        <v>0</v>
      </c>
      <c r="L291" s="3">
        <v>46221.263888888891</v>
      </c>
      <c r="M291" s="3">
        <v>46223.5625</v>
      </c>
      <c r="AA291" t="s">
        <v>25</v>
      </c>
      <c r="AB291" t="s">
        <v>26</v>
      </c>
    </row>
    <row r="292" spans="1:28" x14ac:dyDescent="0.25">
      <c r="A292" t="s">
        <v>244</v>
      </c>
      <c r="B292" t="s">
        <v>617</v>
      </c>
      <c r="C292">
        <v>3</v>
      </c>
      <c r="E292" t="s">
        <v>1247</v>
      </c>
      <c r="F292" t="s">
        <v>619</v>
      </c>
      <c r="G292" t="s">
        <v>620</v>
      </c>
      <c r="H292">
        <v>206.91</v>
      </c>
      <c r="I292">
        <v>68.97</v>
      </c>
      <c r="J292">
        <v>200</v>
      </c>
      <c r="K292">
        <v>0</v>
      </c>
      <c r="L292" s="3">
        <v>46241.111111111109</v>
      </c>
      <c r="M292" s="3">
        <v>46244.125</v>
      </c>
      <c r="AA292" t="s">
        <v>25</v>
      </c>
      <c r="AB292" t="s">
        <v>26</v>
      </c>
    </row>
    <row r="293" spans="1:28" x14ac:dyDescent="0.25">
      <c r="A293" t="s">
        <v>244</v>
      </c>
      <c r="B293" t="s">
        <v>617</v>
      </c>
      <c r="C293">
        <v>3</v>
      </c>
      <c r="E293" t="s">
        <v>626</v>
      </c>
      <c r="F293" t="s">
        <v>622</v>
      </c>
      <c r="G293" t="s">
        <v>623</v>
      </c>
      <c r="H293">
        <v>517.23</v>
      </c>
      <c r="I293">
        <v>172.41</v>
      </c>
      <c r="J293">
        <v>500</v>
      </c>
      <c r="K293">
        <v>0</v>
      </c>
      <c r="L293" s="3">
        <v>46227.3125</v>
      </c>
      <c r="M293" s="3">
        <v>46234.638888888891</v>
      </c>
      <c r="AA293" t="s">
        <v>25</v>
      </c>
      <c r="AB293" t="s">
        <v>26</v>
      </c>
    </row>
    <row r="294" spans="1:28" x14ac:dyDescent="0.25">
      <c r="A294" t="s">
        <v>244</v>
      </c>
      <c r="B294" t="s">
        <v>617</v>
      </c>
      <c r="C294">
        <v>3</v>
      </c>
      <c r="E294" t="s">
        <v>1244</v>
      </c>
      <c r="F294" t="s">
        <v>1245</v>
      </c>
      <c r="G294" t="s">
        <v>1246</v>
      </c>
      <c r="H294">
        <v>382.77</v>
      </c>
      <c r="I294">
        <v>127.59</v>
      </c>
      <c r="J294">
        <v>370</v>
      </c>
      <c r="K294">
        <v>0</v>
      </c>
      <c r="L294" s="3">
        <v>46234.645833333336</v>
      </c>
      <c r="M294" s="3">
        <v>46241.104166666664</v>
      </c>
      <c r="AA294" t="s">
        <v>25</v>
      </c>
      <c r="AB294" t="s">
        <v>26</v>
      </c>
    </row>
    <row r="295" spans="1:28" x14ac:dyDescent="0.25">
      <c r="A295" t="s">
        <v>244</v>
      </c>
      <c r="B295" t="s">
        <v>617</v>
      </c>
      <c r="C295">
        <v>3</v>
      </c>
      <c r="E295" t="s">
        <v>1248</v>
      </c>
      <c r="F295" t="s">
        <v>622</v>
      </c>
      <c r="G295" t="s">
        <v>623</v>
      </c>
      <c r="H295">
        <v>517.23</v>
      </c>
      <c r="I295">
        <v>172.41</v>
      </c>
      <c r="J295">
        <v>500</v>
      </c>
      <c r="K295">
        <v>0</v>
      </c>
      <c r="L295" s="3">
        <v>46244.131944444445</v>
      </c>
      <c r="M295" s="3">
        <v>46251.458333333336</v>
      </c>
      <c r="AA295" t="s">
        <v>25</v>
      </c>
      <c r="AB295" t="s">
        <v>26</v>
      </c>
    </row>
    <row r="296" spans="1:28" x14ac:dyDescent="0.25">
      <c r="A296" t="s">
        <v>244</v>
      </c>
      <c r="B296" t="s">
        <v>617</v>
      </c>
      <c r="C296">
        <v>3</v>
      </c>
      <c r="E296" t="s">
        <v>1249</v>
      </c>
      <c r="F296" t="s">
        <v>622</v>
      </c>
      <c r="G296" t="s">
        <v>623</v>
      </c>
      <c r="H296">
        <v>517.23</v>
      </c>
      <c r="I296">
        <v>172.41</v>
      </c>
      <c r="J296">
        <v>500</v>
      </c>
      <c r="K296">
        <v>0</v>
      </c>
      <c r="L296" s="3">
        <v>46251.465277777781</v>
      </c>
      <c r="M296" s="3">
        <v>46258.791666666664</v>
      </c>
      <c r="AA296" t="s">
        <v>25</v>
      </c>
      <c r="AB296" t="s">
        <v>26</v>
      </c>
    </row>
    <row r="297" spans="1:28" x14ac:dyDescent="0.25">
      <c r="A297" t="s">
        <v>244</v>
      </c>
      <c r="B297" t="s">
        <v>617</v>
      </c>
      <c r="C297">
        <v>3</v>
      </c>
      <c r="E297" t="s">
        <v>1250</v>
      </c>
      <c r="F297" t="s">
        <v>366</v>
      </c>
      <c r="G297" t="s">
        <v>367</v>
      </c>
      <c r="H297">
        <v>382.77</v>
      </c>
      <c r="I297">
        <v>127.59</v>
      </c>
      <c r="J297">
        <v>370</v>
      </c>
      <c r="K297">
        <v>0</v>
      </c>
      <c r="L297" s="3">
        <v>46258.798611111109</v>
      </c>
      <c r="M297" s="3">
        <v>46264.256944444445</v>
      </c>
      <c r="AA297" t="s">
        <v>25</v>
      </c>
      <c r="AB297" t="s">
        <v>26</v>
      </c>
    </row>
    <row r="298" spans="1:28" s="4" customFormat="1" ht="15.75" thickBot="1" x14ac:dyDescent="0.3">
      <c r="A298" s="4" t="s">
        <v>244</v>
      </c>
      <c r="B298" s="4" t="s">
        <v>617</v>
      </c>
      <c r="C298" s="4">
        <v>3</v>
      </c>
      <c r="E298" s="4" t="s">
        <v>1251</v>
      </c>
      <c r="F298" s="4" t="s">
        <v>1245</v>
      </c>
      <c r="G298" s="4" t="s">
        <v>1246</v>
      </c>
      <c r="H298" s="4">
        <v>362.07</v>
      </c>
      <c r="I298" s="4">
        <v>120.69</v>
      </c>
      <c r="J298" s="4">
        <v>350</v>
      </c>
      <c r="K298" s="4">
        <v>0</v>
      </c>
      <c r="L298" s="40">
        <v>46266</v>
      </c>
      <c r="M298" s="40">
        <v>46271.173611111109</v>
      </c>
      <c r="AA298" s="4" t="s">
        <v>25</v>
      </c>
      <c r="AB298" s="4" t="s">
        <v>26</v>
      </c>
    </row>
    <row r="299" spans="1:28" s="13" customFormat="1" x14ac:dyDescent="0.25">
      <c r="A299" s="13" t="s">
        <v>244</v>
      </c>
      <c r="B299" s="13" t="s">
        <v>245</v>
      </c>
      <c r="C299" s="13">
        <v>1</v>
      </c>
      <c r="E299" s="13" t="s">
        <v>250</v>
      </c>
      <c r="F299" s="13" t="s">
        <v>251</v>
      </c>
      <c r="G299" s="13" t="s">
        <v>252</v>
      </c>
      <c r="H299" s="13">
        <v>34.29</v>
      </c>
      <c r="I299" s="13">
        <v>34.29</v>
      </c>
      <c r="J299" s="13">
        <v>6000</v>
      </c>
      <c r="K299" s="13">
        <v>6000</v>
      </c>
      <c r="L299" s="47">
        <v>46209.736111111109</v>
      </c>
      <c r="M299" s="47">
        <v>46211.173611111109</v>
      </c>
      <c r="AA299" s="13" t="s">
        <v>25</v>
      </c>
      <c r="AB299" s="13" t="s">
        <v>26</v>
      </c>
    </row>
    <row r="300" spans="1:28" s="13" customFormat="1" x14ac:dyDescent="0.25">
      <c r="A300" s="13" t="s">
        <v>244</v>
      </c>
      <c r="B300" s="13" t="s">
        <v>245</v>
      </c>
      <c r="C300" s="13">
        <v>1</v>
      </c>
      <c r="E300" s="13" t="s">
        <v>253</v>
      </c>
      <c r="F300" s="13" t="s">
        <v>251</v>
      </c>
      <c r="G300" s="13" t="s">
        <v>252</v>
      </c>
      <c r="H300" s="13">
        <v>34.29</v>
      </c>
      <c r="I300" s="13">
        <v>34.29</v>
      </c>
      <c r="J300" s="13">
        <v>6000</v>
      </c>
      <c r="K300" s="13">
        <v>6000</v>
      </c>
      <c r="L300" s="47">
        <v>46211.180555555555</v>
      </c>
      <c r="M300" s="47">
        <v>46212.618055555555</v>
      </c>
      <c r="AA300" s="13" t="s">
        <v>25</v>
      </c>
      <c r="AB300" s="13" t="s">
        <v>26</v>
      </c>
    </row>
    <row r="301" spans="1:28" s="13" customFormat="1" x14ac:dyDescent="0.25">
      <c r="A301" s="13" t="s">
        <v>244</v>
      </c>
      <c r="B301" s="13" t="s">
        <v>245</v>
      </c>
      <c r="C301" s="13">
        <v>1</v>
      </c>
      <c r="E301" s="13" t="s">
        <v>254</v>
      </c>
      <c r="F301" s="13" t="s">
        <v>251</v>
      </c>
      <c r="G301" s="13" t="s">
        <v>252</v>
      </c>
      <c r="H301" s="13">
        <v>34.29</v>
      </c>
      <c r="I301" s="13">
        <v>34.29</v>
      </c>
      <c r="J301" s="13">
        <v>6000</v>
      </c>
      <c r="K301" s="13">
        <v>6000</v>
      </c>
      <c r="L301" s="47">
        <v>46212.625</v>
      </c>
      <c r="M301" s="47">
        <v>46216.0625</v>
      </c>
      <c r="AA301" s="13" t="s">
        <v>25</v>
      </c>
      <c r="AB301" s="13" t="s">
        <v>26</v>
      </c>
    </row>
    <row r="302" spans="1:28" s="6" customFormat="1" x14ac:dyDescent="0.25">
      <c r="A302" s="6" t="s">
        <v>244</v>
      </c>
      <c r="B302" s="6" t="s">
        <v>245</v>
      </c>
      <c r="C302" s="6">
        <v>1</v>
      </c>
      <c r="E302" s="6" t="s">
        <v>255</v>
      </c>
      <c r="F302" s="6" t="s">
        <v>251</v>
      </c>
      <c r="G302" s="6" t="s">
        <v>252</v>
      </c>
      <c r="H302" s="6">
        <v>34.29</v>
      </c>
      <c r="I302" s="6">
        <v>34.29</v>
      </c>
      <c r="J302" s="6">
        <v>6000</v>
      </c>
      <c r="K302" s="6">
        <v>0</v>
      </c>
      <c r="L302" s="45">
        <v>46234.125</v>
      </c>
      <c r="M302" s="45">
        <v>46238.5625</v>
      </c>
      <c r="AA302" s="6" t="s">
        <v>25</v>
      </c>
      <c r="AB302" s="6" t="s">
        <v>26</v>
      </c>
    </row>
    <row r="303" spans="1:28" x14ac:dyDescent="0.25">
      <c r="A303" t="s">
        <v>244</v>
      </c>
      <c r="B303" t="s">
        <v>245</v>
      </c>
      <c r="C303">
        <v>1</v>
      </c>
      <c r="E303" s="88" t="s">
        <v>256</v>
      </c>
      <c r="F303" s="88" t="s">
        <v>251</v>
      </c>
      <c r="G303" s="88" t="s">
        <v>1616</v>
      </c>
      <c r="H303" s="88">
        <v>34.29</v>
      </c>
      <c r="I303" s="88">
        <v>34.29</v>
      </c>
      <c r="J303" s="88">
        <v>12000</v>
      </c>
      <c r="K303">
        <v>0</v>
      </c>
      <c r="L303" s="3">
        <v>46216.069444444445</v>
      </c>
      <c r="M303" s="3">
        <v>46217.506944444445</v>
      </c>
      <c r="AA303" t="s">
        <v>25</v>
      </c>
      <c r="AB303" t="s">
        <v>26</v>
      </c>
    </row>
    <row r="304" spans="1:28" x14ac:dyDescent="0.25">
      <c r="A304" t="s">
        <v>244</v>
      </c>
      <c r="B304" t="s">
        <v>245</v>
      </c>
      <c r="C304">
        <v>1</v>
      </c>
      <c r="E304" s="88" t="s">
        <v>257</v>
      </c>
      <c r="F304" s="88" t="s">
        <v>251</v>
      </c>
      <c r="G304" s="88" t="s">
        <v>1616</v>
      </c>
      <c r="H304" s="88">
        <v>34.29</v>
      </c>
      <c r="I304" s="88">
        <v>34.29</v>
      </c>
      <c r="J304" s="88">
        <v>6000</v>
      </c>
      <c r="K304">
        <v>0</v>
      </c>
      <c r="L304" s="3">
        <v>46217.513888888891</v>
      </c>
      <c r="M304" s="3">
        <v>46218.951388888891</v>
      </c>
      <c r="AA304" t="s">
        <v>25</v>
      </c>
      <c r="AB304" t="s">
        <v>26</v>
      </c>
    </row>
    <row r="305" spans="1:28" x14ac:dyDescent="0.25">
      <c r="A305" t="s">
        <v>244</v>
      </c>
      <c r="B305" t="s">
        <v>245</v>
      </c>
      <c r="C305">
        <v>1</v>
      </c>
      <c r="E305" t="s">
        <v>258</v>
      </c>
      <c r="F305" t="s">
        <v>251</v>
      </c>
      <c r="G305" t="s">
        <v>252</v>
      </c>
      <c r="H305">
        <v>34.29</v>
      </c>
      <c r="I305">
        <v>34.29</v>
      </c>
      <c r="J305">
        <v>6000</v>
      </c>
      <c r="K305">
        <v>0</v>
      </c>
      <c r="L305" s="3">
        <v>46218.958333333336</v>
      </c>
      <c r="M305" s="3">
        <v>46220.395833333336</v>
      </c>
      <c r="AA305" t="s">
        <v>25</v>
      </c>
      <c r="AB305" t="s">
        <v>26</v>
      </c>
    </row>
    <row r="306" spans="1:28" x14ac:dyDescent="0.25">
      <c r="A306" t="s">
        <v>244</v>
      </c>
      <c r="B306" t="s">
        <v>245</v>
      </c>
      <c r="C306">
        <v>1</v>
      </c>
      <c r="E306" t="s">
        <v>259</v>
      </c>
      <c r="F306" t="s">
        <v>251</v>
      </c>
      <c r="G306" t="s">
        <v>252</v>
      </c>
      <c r="H306">
        <v>34.29</v>
      </c>
      <c r="I306">
        <v>34.29</v>
      </c>
      <c r="J306">
        <v>6000</v>
      </c>
      <c r="K306">
        <v>0</v>
      </c>
      <c r="L306" s="3">
        <v>46220.402777777781</v>
      </c>
      <c r="M306" s="3">
        <v>46223.840277777781</v>
      </c>
      <c r="AA306" t="s">
        <v>25</v>
      </c>
      <c r="AB306" t="s">
        <v>26</v>
      </c>
    </row>
    <row r="307" spans="1:28" x14ac:dyDescent="0.25">
      <c r="A307" t="s">
        <v>244</v>
      </c>
      <c r="B307" t="s">
        <v>245</v>
      </c>
      <c r="C307">
        <v>1</v>
      </c>
      <c r="E307" t="s">
        <v>260</v>
      </c>
      <c r="F307" t="s">
        <v>251</v>
      </c>
      <c r="G307" t="s">
        <v>252</v>
      </c>
      <c r="H307">
        <v>34.29</v>
      </c>
      <c r="I307">
        <v>34.29</v>
      </c>
      <c r="J307">
        <v>6000</v>
      </c>
      <c r="K307">
        <v>0</v>
      </c>
      <c r="L307" s="3">
        <v>46223.847222222219</v>
      </c>
      <c r="M307" s="3">
        <v>46225.284722222219</v>
      </c>
      <c r="AA307" t="s">
        <v>25</v>
      </c>
      <c r="AB307" t="s">
        <v>26</v>
      </c>
    </row>
    <row r="308" spans="1:28" x14ac:dyDescent="0.25">
      <c r="A308" t="s">
        <v>244</v>
      </c>
      <c r="B308" t="s">
        <v>245</v>
      </c>
      <c r="C308">
        <v>1</v>
      </c>
      <c r="E308" t="s">
        <v>261</v>
      </c>
      <c r="F308" t="s">
        <v>251</v>
      </c>
      <c r="G308" t="s">
        <v>252</v>
      </c>
      <c r="H308">
        <v>34.29</v>
      </c>
      <c r="I308">
        <v>34.29</v>
      </c>
      <c r="J308">
        <v>6000</v>
      </c>
      <c r="K308">
        <v>0</v>
      </c>
      <c r="L308" s="3">
        <v>46225.291666666664</v>
      </c>
      <c r="M308" s="3">
        <v>46226.729166666664</v>
      </c>
      <c r="AA308" t="s">
        <v>25</v>
      </c>
      <c r="AB308" t="s">
        <v>26</v>
      </c>
    </row>
    <row r="309" spans="1:28" x14ac:dyDescent="0.25">
      <c r="A309" t="s">
        <v>244</v>
      </c>
      <c r="B309" t="s">
        <v>245</v>
      </c>
      <c r="C309">
        <v>1</v>
      </c>
      <c r="E309" t="s">
        <v>1361</v>
      </c>
      <c r="F309" t="s">
        <v>251</v>
      </c>
      <c r="G309" t="s">
        <v>252</v>
      </c>
      <c r="H309">
        <v>34.29</v>
      </c>
      <c r="I309">
        <v>34.29</v>
      </c>
      <c r="J309">
        <v>6000</v>
      </c>
      <c r="K309">
        <v>0</v>
      </c>
      <c r="L309" s="3">
        <v>46226.736111111109</v>
      </c>
      <c r="M309" s="3">
        <v>46230.173611111109</v>
      </c>
      <c r="AA309" t="s">
        <v>25</v>
      </c>
      <c r="AB309" t="s">
        <v>26</v>
      </c>
    </row>
    <row r="310" spans="1:28" x14ac:dyDescent="0.25">
      <c r="A310" t="s">
        <v>244</v>
      </c>
      <c r="B310" t="s">
        <v>245</v>
      </c>
      <c r="C310">
        <v>1</v>
      </c>
      <c r="E310" t="s">
        <v>1362</v>
      </c>
      <c r="F310" t="s">
        <v>251</v>
      </c>
      <c r="G310" t="s">
        <v>252</v>
      </c>
      <c r="H310">
        <v>34.29</v>
      </c>
      <c r="I310">
        <v>34.29</v>
      </c>
      <c r="J310">
        <v>6000</v>
      </c>
      <c r="K310">
        <v>0</v>
      </c>
      <c r="L310" s="3">
        <v>46230.180555555555</v>
      </c>
      <c r="M310" s="3">
        <v>46231.618055555555</v>
      </c>
      <c r="AA310" t="s">
        <v>25</v>
      </c>
      <c r="AB310" t="s">
        <v>26</v>
      </c>
    </row>
    <row r="311" spans="1:28" x14ac:dyDescent="0.25">
      <c r="A311" t="s">
        <v>244</v>
      </c>
      <c r="B311" t="s">
        <v>245</v>
      </c>
      <c r="C311">
        <v>1</v>
      </c>
      <c r="E311" t="s">
        <v>1363</v>
      </c>
      <c r="F311" t="s">
        <v>251</v>
      </c>
      <c r="G311" t="s">
        <v>252</v>
      </c>
      <c r="H311">
        <v>34.29</v>
      </c>
      <c r="I311">
        <v>34.29</v>
      </c>
      <c r="J311">
        <v>6000</v>
      </c>
      <c r="K311">
        <v>0</v>
      </c>
      <c r="L311" s="3">
        <v>46231.625</v>
      </c>
      <c r="M311" s="3">
        <v>46233.0625</v>
      </c>
      <c r="AA311" t="s">
        <v>25</v>
      </c>
      <c r="AB311" t="s">
        <v>26</v>
      </c>
    </row>
    <row r="312" spans="1:28" x14ac:dyDescent="0.25">
      <c r="A312" t="s">
        <v>244</v>
      </c>
      <c r="B312" t="s">
        <v>245</v>
      </c>
      <c r="C312">
        <v>1</v>
      </c>
      <c r="E312" t="s">
        <v>246</v>
      </c>
      <c r="F312" t="s">
        <v>247</v>
      </c>
      <c r="G312" t="s">
        <v>248</v>
      </c>
      <c r="H312">
        <v>25</v>
      </c>
      <c r="I312">
        <v>25</v>
      </c>
      <c r="J312">
        <v>3000</v>
      </c>
      <c r="K312">
        <v>0</v>
      </c>
      <c r="L312" s="3">
        <v>46233.069444444445</v>
      </c>
      <c r="M312" s="3">
        <v>46234.118055555555</v>
      </c>
      <c r="AA312" t="s">
        <v>25</v>
      </c>
      <c r="AB312" t="s">
        <v>26</v>
      </c>
    </row>
    <row r="313" spans="1:28" x14ac:dyDescent="0.25">
      <c r="A313" t="s">
        <v>244</v>
      </c>
      <c r="B313" t="s">
        <v>245</v>
      </c>
      <c r="C313">
        <v>1</v>
      </c>
      <c r="E313" t="s">
        <v>249</v>
      </c>
      <c r="F313" t="s">
        <v>247</v>
      </c>
      <c r="G313" t="s">
        <v>248</v>
      </c>
      <c r="H313">
        <v>25</v>
      </c>
      <c r="I313">
        <v>25</v>
      </c>
      <c r="J313">
        <v>3000</v>
      </c>
      <c r="K313">
        <v>0</v>
      </c>
      <c r="L313" s="3">
        <v>46238.569444444445</v>
      </c>
      <c r="M313" s="3">
        <v>46239.618055555555</v>
      </c>
      <c r="AA313" t="s">
        <v>25</v>
      </c>
      <c r="AB313" t="s">
        <v>26</v>
      </c>
    </row>
    <row r="314" spans="1:28" x14ac:dyDescent="0.25">
      <c r="A314" t="s">
        <v>244</v>
      </c>
      <c r="B314" t="s">
        <v>245</v>
      </c>
      <c r="C314">
        <v>1</v>
      </c>
      <c r="E314" t="s">
        <v>1364</v>
      </c>
      <c r="F314" t="s">
        <v>247</v>
      </c>
      <c r="G314" t="s">
        <v>248</v>
      </c>
      <c r="H314">
        <v>25</v>
      </c>
      <c r="I314">
        <v>25</v>
      </c>
      <c r="J314">
        <v>3000</v>
      </c>
      <c r="K314">
        <v>0</v>
      </c>
      <c r="L314" s="3">
        <v>46239.625</v>
      </c>
      <c r="M314" s="3">
        <v>46240.673611111109</v>
      </c>
      <c r="AA314" t="s">
        <v>25</v>
      </c>
      <c r="AB314" t="s">
        <v>26</v>
      </c>
    </row>
    <row r="315" spans="1:28" x14ac:dyDescent="0.25">
      <c r="A315" t="s">
        <v>244</v>
      </c>
      <c r="B315" t="s">
        <v>245</v>
      </c>
      <c r="C315">
        <v>1</v>
      </c>
      <c r="E315" t="s">
        <v>1365</v>
      </c>
      <c r="F315" t="s">
        <v>247</v>
      </c>
      <c r="G315" t="s">
        <v>248</v>
      </c>
      <c r="H315">
        <v>25</v>
      </c>
      <c r="I315">
        <v>25</v>
      </c>
      <c r="J315">
        <v>3000</v>
      </c>
      <c r="K315">
        <v>0</v>
      </c>
      <c r="L315" s="3">
        <v>46240.680555555555</v>
      </c>
      <c r="M315" s="3">
        <v>46241.729166666664</v>
      </c>
      <c r="AA315" t="s">
        <v>25</v>
      </c>
      <c r="AB315" t="s">
        <v>26</v>
      </c>
    </row>
    <row r="316" spans="1:28" x14ac:dyDescent="0.25">
      <c r="A316" t="s">
        <v>244</v>
      </c>
      <c r="B316" t="s">
        <v>245</v>
      </c>
      <c r="C316">
        <v>1</v>
      </c>
      <c r="E316" t="s">
        <v>1366</v>
      </c>
      <c r="F316" t="s">
        <v>247</v>
      </c>
      <c r="G316" t="s">
        <v>248</v>
      </c>
      <c r="H316">
        <v>25</v>
      </c>
      <c r="I316">
        <v>25</v>
      </c>
      <c r="J316">
        <v>3000</v>
      </c>
      <c r="K316">
        <v>0</v>
      </c>
      <c r="L316" s="3">
        <v>46241.736111111109</v>
      </c>
      <c r="M316" s="3">
        <v>46244.784722222219</v>
      </c>
      <c r="AA316" t="s">
        <v>25</v>
      </c>
      <c r="AB316" t="s">
        <v>26</v>
      </c>
    </row>
    <row r="317" spans="1:28" x14ac:dyDescent="0.25">
      <c r="A317" t="s">
        <v>244</v>
      </c>
      <c r="B317" t="s">
        <v>245</v>
      </c>
      <c r="C317">
        <v>1</v>
      </c>
      <c r="E317" t="s">
        <v>1367</v>
      </c>
      <c r="F317" t="s">
        <v>247</v>
      </c>
      <c r="G317" t="s">
        <v>248</v>
      </c>
      <c r="H317">
        <v>25</v>
      </c>
      <c r="I317">
        <v>25</v>
      </c>
      <c r="J317">
        <v>3000</v>
      </c>
      <c r="K317">
        <v>0</v>
      </c>
      <c r="L317" s="3">
        <v>46244.791666666664</v>
      </c>
      <c r="M317" s="3">
        <v>46245.840277777781</v>
      </c>
      <c r="AA317" t="s">
        <v>25</v>
      </c>
      <c r="AB317" t="s">
        <v>26</v>
      </c>
    </row>
    <row r="318" spans="1:28" s="4" customFormat="1" ht="15.75" thickBot="1" x14ac:dyDescent="0.3">
      <c r="A318" s="4" t="s">
        <v>244</v>
      </c>
      <c r="B318" s="4" t="s">
        <v>245</v>
      </c>
      <c r="C318" s="4">
        <v>1</v>
      </c>
      <c r="E318" s="4" t="s">
        <v>1368</v>
      </c>
      <c r="F318" s="4" t="s">
        <v>247</v>
      </c>
      <c r="G318" s="4" t="s">
        <v>248</v>
      </c>
      <c r="H318" s="4">
        <v>25</v>
      </c>
      <c r="I318" s="4">
        <v>25</v>
      </c>
      <c r="J318" s="4">
        <v>3000</v>
      </c>
      <c r="K318" s="4">
        <v>0</v>
      </c>
      <c r="L318" s="40">
        <v>46245.847222222219</v>
      </c>
      <c r="M318" s="40">
        <v>46246.895833333336</v>
      </c>
      <c r="AA318" s="4" t="s">
        <v>25</v>
      </c>
      <c r="AB318" s="4" t="s">
        <v>26</v>
      </c>
    </row>
    <row r="319" spans="1:28" s="13" customFormat="1" x14ac:dyDescent="0.25">
      <c r="A319" s="13" t="s">
        <v>244</v>
      </c>
      <c r="B319" s="13" t="s">
        <v>388</v>
      </c>
      <c r="C319" s="13">
        <v>4</v>
      </c>
      <c r="D319" s="13" t="s">
        <v>389</v>
      </c>
      <c r="E319" s="13" t="s">
        <v>390</v>
      </c>
      <c r="F319" s="13" t="s">
        <v>391</v>
      </c>
      <c r="G319" s="13" t="s">
        <v>392</v>
      </c>
      <c r="H319" s="13">
        <v>100</v>
      </c>
      <c r="I319" s="13">
        <v>25</v>
      </c>
      <c r="J319" s="13">
        <v>300</v>
      </c>
      <c r="K319" s="13">
        <v>0</v>
      </c>
      <c r="L319" s="47">
        <v>46209</v>
      </c>
      <c r="M319" s="47">
        <v>46210.055555555555</v>
      </c>
      <c r="O319" s="13" t="s">
        <v>87</v>
      </c>
      <c r="AA319" s="13" t="s">
        <v>25</v>
      </c>
      <c r="AB319" s="13" t="s">
        <v>26</v>
      </c>
    </row>
    <row r="320" spans="1:28" x14ac:dyDescent="0.25">
      <c r="A320" t="s">
        <v>244</v>
      </c>
      <c r="B320" t="s">
        <v>388</v>
      </c>
      <c r="C320">
        <v>4</v>
      </c>
      <c r="D320" t="s">
        <v>389</v>
      </c>
      <c r="E320" s="6" t="s">
        <v>393</v>
      </c>
      <c r="F320" s="6" t="s">
        <v>394</v>
      </c>
      <c r="G320" s="6" t="s">
        <v>395</v>
      </c>
      <c r="H320" s="6">
        <v>100</v>
      </c>
      <c r="I320" s="6">
        <v>25</v>
      </c>
      <c r="J320" s="6">
        <v>300</v>
      </c>
      <c r="K320">
        <v>0</v>
      </c>
      <c r="L320" s="3">
        <v>46210.0625</v>
      </c>
      <c r="M320" s="3">
        <v>46211.118055555555</v>
      </c>
      <c r="O320" t="s">
        <v>87</v>
      </c>
      <c r="AA320" t="s">
        <v>25</v>
      </c>
      <c r="AB320" t="s">
        <v>26</v>
      </c>
    </row>
    <row r="321" spans="1:28" s="51" customFormat="1" x14ac:dyDescent="0.25">
      <c r="L321" s="52"/>
      <c r="M321" s="52"/>
    </row>
    <row r="322" spans="1:28" x14ac:dyDescent="0.25">
      <c r="A322" t="s">
        <v>244</v>
      </c>
      <c r="B322" t="s">
        <v>388</v>
      </c>
      <c r="C322">
        <v>4</v>
      </c>
      <c r="D322" t="s">
        <v>396</v>
      </c>
      <c r="E322" t="s">
        <v>397</v>
      </c>
      <c r="F322" t="s">
        <v>398</v>
      </c>
      <c r="G322" t="s">
        <v>399</v>
      </c>
      <c r="H322">
        <v>50</v>
      </c>
      <c r="I322">
        <v>12.5</v>
      </c>
      <c r="J322">
        <v>150</v>
      </c>
      <c r="K322">
        <v>0</v>
      </c>
      <c r="L322" s="3">
        <v>46216</v>
      </c>
      <c r="M322" s="3">
        <v>46216.534722222219</v>
      </c>
      <c r="O322" t="s">
        <v>87</v>
      </c>
      <c r="AA322" t="s">
        <v>25</v>
      </c>
      <c r="AB322" t="s">
        <v>26</v>
      </c>
    </row>
    <row r="323" spans="1:28" x14ac:dyDescent="0.25">
      <c r="A323" t="s">
        <v>707</v>
      </c>
      <c r="B323">
        <v>7</v>
      </c>
      <c r="C323">
        <v>1</v>
      </c>
      <c r="D323" t="s">
        <v>1063</v>
      </c>
      <c r="E323" s="83" t="s">
        <v>1064</v>
      </c>
      <c r="F323" s="83" t="s">
        <v>1065</v>
      </c>
      <c r="G323" s="83" t="s">
        <v>1066</v>
      </c>
      <c r="H323" s="83">
        <v>6.94</v>
      </c>
      <c r="I323" s="83">
        <v>6.94</v>
      </c>
      <c r="J323" s="83">
        <v>1000</v>
      </c>
      <c r="K323">
        <v>0</v>
      </c>
      <c r="L323" s="3">
        <v>46208.958333333336</v>
      </c>
      <c r="M323" s="3">
        <v>46209.576388888891</v>
      </c>
      <c r="AA323" t="s">
        <v>25</v>
      </c>
      <c r="AB323" t="s">
        <v>26</v>
      </c>
    </row>
    <row r="324" spans="1:28" x14ac:dyDescent="0.25">
      <c r="A324" t="s">
        <v>707</v>
      </c>
      <c r="B324">
        <v>7</v>
      </c>
      <c r="C324">
        <v>1</v>
      </c>
      <c r="D324" t="s">
        <v>1067</v>
      </c>
      <c r="E324" s="83" t="s">
        <v>1068</v>
      </c>
      <c r="F324" s="83" t="s">
        <v>1069</v>
      </c>
      <c r="G324" s="83" t="s">
        <v>1070</v>
      </c>
      <c r="H324" s="83">
        <v>5.85</v>
      </c>
      <c r="I324" s="83">
        <v>5.85</v>
      </c>
      <c r="J324" s="83">
        <v>1000</v>
      </c>
      <c r="K324">
        <v>0</v>
      </c>
      <c r="L324" s="3">
        <v>46209.583333333336</v>
      </c>
      <c r="M324" s="3">
        <v>46210.159722222219</v>
      </c>
      <c r="AA324" t="s">
        <v>25</v>
      </c>
      <c r="AB324" t="s">
        <v>26</v>
      </c>
    </row>
    <row r="325" spans="1:28" x14ac:dyDescent="0.25">
      <c r="A325" t="s">
        <v>244</v>
      </c>
      <c r="B325" t="s">
        <v>388</v>
      </c>
      <c r="C325">
        <v>4</v>
      </c>
      <c r="E325" t="s">
        <v>404</v>
      </c>
      <c r="F325" t="s">
        <v>405</v>
      </c>
      <c r="G325" t="s">
        <v>406</v>
      </c>
      <c r="H325">
        <v>100</v>
      </c>
      <c r="I325">
        <v>25</v>
      </c>
      <c r="J325">
        <v>300</v>
      </c>
      <c r="K325">
        <v>0</v>
      </c>
      <c r="L325" s="3">
        <v>46217.604166666664</v>
      </c>
      <c r="M325" s="3">
        <v>46218.659722222219</v>
      </c>
      <c r="AA325" t="s">
        <v>25</v>
      </c>
      <c r="AB325" t="s">
        <v>26</v>
      </c>
    </row>
    <row r="326" spans="1:28" x14ac:dyDescent="0.25">
      <c r="A326" t="s">
        <v>244</v>
      </c>
      <c r="B326" t="s">
        <v>388</v>
      </c>
      <c r="C326">
        <v>4</v>
      </c>
      <c r="D326" t="s">
        <v>411</v>
      </c>
      <c r="E326" t="s">
        <v>412</v>
      </c>
      <c r="F326" t="s">
        <v>413</v>
      </c>
      <c r="G326" t="s">
        <v>414</v>
      </c>
      <c r="H326">
        <v>100</v>
      </c>
      <c r="I326">
        <v>25</v>
      </c>
      <c r="J326">
        <v>300</v>
      </c>
      <c r="K326">
        <v>0</v>
      </c>
      <c r="L326" s="3">
        <v>46224.0625</v>
      </c>
      <c r="M326" s="3">
        <v>46225.118055555555</v>
      </c>
      <c r="AA326" t="s">
        <v>25</v>
      </c>
      <c r="AB326" t="s">
        <v>26</v>
      </c>
    </row>
    <row r="327" spans="1:28" s="51" customFormat="1" x14ac:dyDescent="0.25">
      <c r="L327" s="52"/>
      <c r="M327" s="52"/>
    </row>
    <row r="328" spans="1:28" x14ac:dyDescent="0.25">
      <c r="A328" t="s">
        <v>244</v>
      </c>
      <c r="B328" t="s">
        <v>388</v>
      </c>
      <c r="C328">
        <v>4</v>
      </c>
      <c r="D328" t="s">
        <v>411</v>
      </c>
      <c r="E328" t="s">
        <v>415</v>
      </c>
      <c r="F328" t="s">
        <v>416</v>
      </c>
      <c r="G328" t="s">
        <v>417</v>
      </c>
      <c r="H328">
        <v>150</v>
      </c>
      <c r="I328">
        <v>37.5</v>
      </c>
      <c r="J328">
        <v>450</v>
      </c>
      <c r="K328">
        <v>0</v>
      </c>
      <c r="L328" s="3">
        <v>46230</v>
      </c>
      <c r="M328" s="3">
        <v>46231.576388888891</v>
      </c>
      <c r="AA328" t="s">
        <v>25</v>
      </c>
      <c r="AB328" t="s">
        <v>26</v>
      </c>
    </row>
    <row r="329" spans="1:28" x14ac:dyDescent="0.25">
      <c r="A329" t="s">
        <v>244</v>
      </c>
      <c r="B329" t="s">
        <v>388</v>
      </c>
      <c r="C329">
        <v>4</v>
      </c>
      <c r="D329" t="s">
        <v>407</v>
      </c>
      <c r="E329" t="s">
        <v>408</v>
      </c>
      <c r="F329" t="s">
        <v>409</v>
      </c>
      <c r="G329" t="s">
        <v>410</v>
      </c>
      <c r="H329">
        <v>100</v>
      </c>
      <c r="I329">
        <v>25</v>
      </c>
      <c r="J329">
        <v>300</v>
      </c>
      <c r="K329">
        <v>0</v>
      </c>
      <c r="L329" s="3">
        <v>46223</v>
      </c>
      <c r="M329" s="3">
        <v>46224.055555555555</v>
      </c>
      <c r="AA329" t="s">
        <v>25</v>
      </c>
      <c r="AB329" t="s">
        <v>26</v>
      </c>
    </row>
    <row r="330" spans="1:28" s="51" customFormat="1" x14ac:dyDescent="0.25">
      <c r="L330" s="52"/>
      <c r="M330" s="52"/>
    </row>
    <row r="331" spans="1:28" x14ac:dyDescent="0.25">
      <c r="A331" t="s">
        <v>244</v>
      </c>
      <c r="B331" t="s">
        <v>388</v>
      </c>
      <c r="C331">
        <v>4</v>
      </c>
      <c r="D331" t="s">
        <v>396</v>
      </c>
      <c r="E331" t="s">
        <v>1369</v>
      </c>
      <c r="F331" t="s">
        <v>1370</v>
      </c>
      <c r="G331" t="s">
        <v>1371</v>
      </c>
      <c r="H331">
        <v>100</v>
      </c>
      <c r="I331">
        <v>25</v>
      </c>
      <c r="J331">
        <v>300</v>
      </c>
      <c r="K331">
        <v>0</v>
      </c>
      <c r="L331" s="3">
        <v>46231.583333333336</v>
      </c>
      <c r="M331" s="3">
        <v>46232.638888888891</v>
      </c>
      <c r="AA331" t="s">
        <v>25</v>
      </c>
      <c r="AB331" t="s">
        <v>26</v>
      </c>
    </row>
    <row r="332" spans="1:28" x14ac:dyDescent="0.25">
      <c r="A332" t="s">
        <v>244</v>
      </c>
      <c r="B332" t="s">
        <v>388</v>
      </c>
      <c r="C332">
        <v>4</v>
      </c>
      <c r="D332" t="s">
        <v>400</v>
      </c>
      <c r="E332" t="s">
        <v>401</v>
      </c>
      <c r="F332" t="s">
        <v>402</v>
      </c>
      <c r="G332" t="s">
        <v>403</v>
      </c>
      <c r="H332">
        <v>100</v>
      </c>
      <c r="I332">
        <v>25</v>
      </c>
      <c r="J332">
        <v>300</v>
      </c>
      <c r="K332">
        <v>0</v>
      </c>
      <c r="L332" s="3">
        <v>46216.541666666664</v>
      </c>
      <c r="M332" s="3">
        <v>46217.597222222219</v>
      </c>
      <c r="AA332" t="s">
        <v>25</v>
      </c>
      <c r="AB332" t="s">
        <v>26</v>
      </c>
    </row>
    <row r="333" spans="1:28" s="51" customFormat="1" x14ac:dyDescent="0.25">
      <c r="L333" s="52"/>
      <c r="M333" s="52"/>
    </row>
    <row r="334" spans="1:28" x14ac:dyDescent="0.25">
      <c r="A334" t="s">
        <v>244</v>
      </c>
      <c r="B334" t="s">
        <v>388</v>
      </c>
      <c r="C334">
        <v>4</v>
      </c>
      <c r="D334" t="s">
        <v>389</v>
      </c>
      <c r="E334" t="s">
        <v>1372</v>
      </c>
      <c r="F334" t="s">
        <v>391</v>
      </c>
      <c r="G334" t="s">
        <v>392</v>
      </c>
      <c r="H334">
        <v>150</v>
      </c>
      <c r="I334">
        <v>37.5</v>
      </c>
      <c r="J334">
        <v>450</v>
      </c>
      <c r="K334">
        <v>0</v>
      </c>
      <c r="L334" s="3">
        <v>46237.958333333336</v>
      </c>
      <c r="M334" s="3">
        <v>46239.534722222219</v>
      </c>
      <c r="AA334" t="s">
        <v>25</v>
      </c>
      <c r="AB334" t="s">
        <v>26</v>
      </c>
    </row>
    <row r="335" spans="1:28" x14ac:dyDescent="0.25">
      <c r="A335" t="s">
        <v>244</v>
      </c>
      <c r="B335" t="s">
        <v>388</v>
      </c>
      <c r="C335">
        <v>4</v>
      </c>
      <c r="D335" t="s">
        <v>389</v>
      </c>
      <c r="E335" t="s">
        <v>1373</v>
      </c>
      <c r="F335" t="s">
        <v>394</v>
      </c>
      <c r="G335" t="s">
        <v>395</v>
      </c>
      <c r="H335">
        <v>100</v>
      </c>
      <c r="I335">
        <v>25</v>
      </c>
      <c r="J335">
        <v>300</v>
      </c>
      <c r="K335">
        <v>0</v>
      </c>
      <c r="L335" s="3">
        <v>46239.541666666664</v>
      </c>
      <c r="M335" s="3">
        <v>46240.597222222219</v>
      </c>
      <c r="AA335" t="s">
        <v>25</v>
      </c>
      <c r="AB335" t="s">
        <v>26</v>
      </c>
    </row>
    <row r="336" spans="1:28" s="51" customFormat="1" x14ac:dyDescent="0.25">
      <c r="L336" s="52"/>
      <c r="M336" s="52"/>
    </row>
    <row r="337" spans="1:28" x14ac:dyDescent="0.25">
      <c r="A337" t="s">
        <v>244</v>
      </c>
      <c r="B337" t="s">
        <v>388</v>
      </c>
      <c r="C337">
        <v>4</v>
      </c>
      <c r="E337" t="s">
        <v>1374</v>
      </c>
      <c r="F337" t="s">
        <v>402</v>
      </c>
      <c r="G337" t="s">
        <v>403</v>
      </c>
      <c r="H337">
        <v>100</v>
      </c>
      <c r="I337">
        <v>25</v>
      </c>
      <c r="J337">
        <v>300</v>
      </c>
      <c r="K337">
        <v>0</v>
      </c>
      <c r="L337" s="3">
        <v>46244</v>
      </c>
      <c r="M337" s="3">
        <v>46245.055555555555</v>
      </c>
      <c r="AA337" t="s">
        <v>25</v>
      </c>
      <c r="AB337" t="s">
        <v>26</v>
      </c>
    </row>
    <row r="338" spans="1:28" s="4" customFormat="1" ht="15.75" thickBot="1" x14ac:dyDescent="0.3">
      <c r="A338" s="4" t="s">
        <v>244</v>
      </c>
      <c r="B338" s="4" t="s">
        <v>388</v>
      </c>
      <c r="C338" s="4">
        <v>4</v>
      </c>
      <c r="D338" s="4" t="s">
        <v>411</v>
      </c>
      <c r="E338" s="4" t="s">
        <v>1375</v>
      </c>
      <c r="F338" s="4" t="s">
        <v>416</v>
      </c>
      <c r="G338" s="4" t="s">
        <v>417</v>
      </c>
      <c r="H338" s="4">
        <v>150</v>
      </c>
      <c r="I338" s="4">
        <v>37.5</v>
      </c>
      <c r="J338" s="4">
        <v>450</v>
      </c>
      <c r="K338" s="4">
        <v>0</v>
      </c>
      <c r="L338" s="40">
        <v>46245.0625</v>
      </c>
      <c r="M338" s="40">
        <v>46246.638888888891</v>
      </c>
      <c r="AA338" s="4" t="s">
        <v>25</v>
      </c>
      <c r="AB338" s="4" t="s">
        <v>26</v>
      </c>
    </row>
    <row r="339" spans="1:28" s="13" customFormat="1" x14ac:dyDescent="0.25">
      <c r="A339" s="13" t="s">
        <v>244</v>
      </c>
      <c r="B339" s="13" t="s">
        <v>418</v>
      </c>
      <c r="C339" s="13">
        <v>4</v>
      </c>
      <c r="D339" s="13" t="s">
        <v>419</v>
      </c>
      <c r="E339" s="13" t="s">
        <v>428</v>
      </c>
      <c r="F339" s="13" t="s">
        <v>426</v>
      </c>
      <c r="G339" s="13" t="s">
        <v>427</v>
      </c>
      <c r="H339" s="13">
        <v>100</v>
      </c>
      <c r="I339" s="13">
        <v>25</v>
      </c>
      <c r="J339" s="13">
        <v>300</v>
      </c>
      <c r="K339" s="13">
        <v>0</v>
      </c>
      <c r="L339" s="47">
        <v>46209</v>
      </c>
      <c r="M339" s="47">
        <v>46210.055555555555</v>
      </c>
      <c r="O339" s="13" t="s">
        <v>78</v>
      </c>
      <c r="AA339" s="13" t="s">
        <v>25</v>
      </c>
      <c r="AB339" s="13" t="s">
        <v>26</v>
      </c>
    </row>
    <row r="340" spans="1:28" x14ac:dyDescent="0.25">
      <c r="A340" t="s">
        <v>244</v>
      </c>
      <c r="B340" t="s">
        <v>418</v>
      </c>
      <c r="C340">
        <v>4</v>
      </c>
      <c r="D340" t="s">
        <v>419</v>
      </c>
      <c r="E340" t="s">
        <v>422</v>
      </c>
      <c r="F340" t="s">
        <v>420</v>
      </c>
      <c r="G340" t="s">
        <v>421</v>
      </c>
      <c r="H340">
        <v>150</v>
      </c>
      <c r="I340">
        <v>37.5</v>
      </c>
      <c r="J340" s="33">
        <v>450</v>
      </c>
      <c r="K340">
        <v>0</v>
      </c>
      <c r="L340" s="3">
        <v>46210.0625</v>
      </c>
      <c r="M340" s="3">
        <v>46211.638888888891</v>
      </c>
      <c r="O340" t="s">
        <v>87</v>
      </c>
      <c r="AA340" t="s">
        <v>25</v>
      </c>
      <c r="AB340" t="s">
        <v>26</v>
      </c>
    </row>
    <row r="341" spans="1:28" x14ac:dyDescent="0.25">
      <c r="A341" t="s">
        <v>244</v>
      </c>
      <c r="B341" t="s">
        <v>418</v>
      </c>
      <c r="C341">
        <v>4</v>
      </c>
      <c r="D341" t="s">
        <v>419</v>
      </c>
      <c r="E341" s="86" t="s">
        <v>423</v>
      </c>
      <c r="F341" s="86" t="s">
        <v>420</v>
      </c>
      <c r="G341" t="s">
        <v>421</v>
      </c>
      <c r="H341">
        <v>150</v>
      </c>
      <c r="I341">
        <v>37.5</v>
      </c>
      <c r="J341" s="33">
        <v>450</v>
      </c>
      <c r="K341">
        <v>0</v>
      </c>
      <c r="L341" s="3">
        <v>46216</v>
      </c>
      <c r="M341" s="3">
        <v>46217.576388888891</v>
      </c>
      <c r="O341" t="s">
        <v>87</v>
      </c>
      <c r="AA341" t="s">
        <v>25</v>
      </c>
      <c r="AB341" t="s">
        <v>26</v>
      </c>
    </row>
    <row r="342" spans="1:28" s="51" customFormat="1" x14ac:dyDescent="0.25">
      <c r="L342" s="52"/>
      <c r="M342" s="52"/>
    </row>
    <row r="343" spans="1:28" x14ac:dyDescent="0.25">
      <c r="A343" t="s">
        <v>244</v>
      </c>
      <c r="B343" t="s">
        <v>418</v>
      </c>
      <c r="C343">
        <v>4</v>
      </c>
      <c r="D343" t="s">
        <v>419</v>
      </c>
      <c r="E343" s="58" t="s">
        <v>424</v>
      </c>
      <c r="F343" s="58" t="s">
        <v>420</v>
      </c>
      <c r="G343" s="58" t="s">
        <v>1527</v>
      </c>
      <c r="H343">
        <v>100</v>
      </c>
      <c r="I343">
        <v>25</v>
      </c>
      <c r="J343">
        <v>300</v>
      </c>
      <c r="K343">
        <v>0</v>
      </c>
      <c r="L343" s="3">
        <v>46219.645833333336</v>
      </c>
      <c r="M343" s="3">
        <v>46222.993055555555</v>
      </c>
      <c r="AA343" t="s">
        <v>25</v>
      </c>
      <c r="AB343" t="s">
        <v>26</v>
      </c>
    </row>
    <row r="344" spans="1:28" x14ac:dyDescent="0.25">
      <c r="A344" t="s">
        <v>244</v>
      </c>
      <c r="B344" t="s">
        <v>418</v>
      </c>
      <c r="C344">
        <v>4</v>
      </c>
      <c r="D344" t="s">
        <v>419</v>
      </c>
      <c r="E344" t="s">
        <v>425</v>
      </c>
      <c r="F344" t="s">
        <v>426</v>
      </c>
      <c r="G344" t="s">
        <v>427</v>
      </c>
      <c r="H344">
        <v>150</v>
      </c>
      <c r="I344">
        <v>37.5</v>
      </c>
      <c r="J344">
        <v>450</v>
      </c>
      <c r="K344">
        <v>0</v>
      </c>
      <c r="L344" s="3">
        <v>46223</v>
      </c>
      <c r="M344" s="3">
        <v>46224.576388888891</v>
      </c>
      <c r="AA344" t="s">
        <v>25</v>
      </c>
      <c r="AB344" t="s">
        <v>26</v>
      </c>
    </row>
    <row r="345" spans="1:28" s="51" customFormat="1" x14ac:dyDescent="0.25">
      <c r="L345" s="52"/>
      <c r="M345" s="52"/>
    </row>
    <row r="346" spans="1:28" x14ac:dyDescent="0.25">
      <c r="A346" t="s">
        <v>244</v>
      </c>
      <c r="B346" t="s">
        <v>418</v>
      </c>
      <c r="C346">
        <v>4</v>
      </c>
      <c r="D346" t="s">
        <v>419</v>
      </c>
      <c r="E346" t="s">
        <v>1376</v>
      </c>
      <c r="F346" t="s">
        <v>420</v>
      </c>
      <c r="G346" t="s">
        <v>421</v>
      </c>
      <c r="H346">
        <v>100</v>
      </c>
      <c r="I346">
        <v>25</v>
      </c>
      <c r="J346">
        <v>300</v>
      </c>
      <c r="K346">
        <v>0</v>
      </c>
      <c r="L346" s="3">
        <v>46224.583333333336</v>
      </c>
      <c r="M346" s="3">
        <v>46225.638888888891</v>
      </c>
      <c r="AA346" t="s">
        <v>25</v>
      </c>
      <c r="AB346" t="s">
        <v>26</v>
      </c>
    </row>
    <row r="347" spans="1:28" x14ac:dyDescent="0.25">
      <c r="A347" t="s">
        <v>244</v>
      </c>
      <c r="B347" t="s">
        <v>418</v>
      </c>
      <c r="C347">
        <v>4</v>
      </c>
      <c r="D347" t="s">
        <v>419</v>
      </c>
      <c r="E347" t="s">
        <v>429</v>
      </c>
      <c r="F347" t="s">
        <v>420</v>
      </c>
      <c r="G347" t="s">
        <v>421</v>
      </c>
      <c r="H347">
        <v>150</v>
      </c>
      <c r="I347">
        <v>37.5</v>
      </c>
      <c r="J347">
        <v>450</v>
      </c>
      <c r="K347">
        <v>0</v>
      </c>
      <c r="L347" s="3">
        <v>46226.125</v>
      </c>
      <c r="M347" s="3">
        <v>46229.993055555555</v>
      </c>
      <c r="AA347" t="s">
        <v>25</v>
      </c>
      <c r="AB347" t="s">
        <v>26</v>
      </c>
    </row>
    <row r="348" spans="1:28" s="51" customFormat="1" x14ac:dyDescent="0.25">
      <c r="L348" s="52"/>
      <c r="M348" s="52"/>
    </row>
    <row r="349" spans="1:28" x14ac:dyDescent="0.25">
      <c r="A349" t="s">
        <v>244</v>
      </c>
      <c r="B349" t="s">
        <v>418</v>
      </c>
      <c r="C349">
        <v>4</v>
      </c>
      <c r="D349" t="s">
        <v>419</v>
      </c>
      <c r="E349" t="s">
        <v>1377</v>
      </c>
      <c r="F349" t="s">
        <v>420</v>
      </c>
      <c r="G349" t="s">
        <v>421</v>
      </c>
      <c r="H349">
        <v>150</v>
      </c>
      <c r="I349">
        <v>37.5</v>
      </c>
      <c r="J349">
        <v>450</v>
      </c>
      <c r="K349">
        <v>0</v>
      </c>
      <c r="L349" s="3">
        <v>46237.958333333336</v>
      </c>
      <c r="M349" s="3">
        <v>46239.534722222219</v>
      </c>
      <c r="AA349" t="s">
        <v>25</v>
      </c>
      <c r="AB349" t="s">
        <v>26</v>
      </c>
    </row>
    <row r="350" spans="1:28" x14ac:dyDescent="0.25">
      <c r="A350" t="s">
        <v>244</v>
      </c>
      <c r="B350" t="s">
        <v>418</v>
      </c>
      <c r="C350">
        <v>4</v>
      </c>
      <c r="D350" t="s">
        <v>419</v>
      </c>
      <c r="E350" t="s">
        <v>1378</v>
      </c>
      <c r="F350" t="s">
        <v>420</v>
      </c>
      <c r="G350" t="s">
        <v>421</v>
      </c>
      <c r="H350">
        <v>100</v>
      </c>
      <c r="I350">
        <v>25</v>
      </c>
      <c r="J350">
        <v>300</v>
      </c>
      <c r="K350">
        <v>0</v>
      </c>
      <c r="L350" s="3">
        <v>46239.541666666664</v>
      </c>
      <c r="M350" s="3">
        <v>46240.597222222219</v>
      </c>
      <c r="AA350" t="s">
        <v>25</v>
      </c>
      <c r="AB350" t="s">
        <v>26</v>
      </c>
    </row>
    <row r="351" spans="1:28" s="51" customFormat="1" x14ac:dyDescent="0.25">
      <c r="L351" s="52"/>
      <c r="M351" s="52"/>
    </row>
    <row r="352" spans="1:28" x14ac:dyDescent="0.25">
      <c r="A352" t="s">
        <v>244</v>
      </c>
      <c r="B352" t="s">
        <v>418</v>
      </c>
      <c r="C352">
        <v>4</v>
      </c>
      <c r="D352" t="s">
        <v>419</v>
      </c>
      <c r="E352" t="s">
        <v>1379</v>
      </c>
      <c r="F352" t="s">
        <v>426</v>
      </c>
      <c r="G352" t="s">
        <v>427</v>
      </c>
      <c r="H352">
        <v>150</v>
      </c>
      <c r="I352">
        <v>37.5</v>
      </c>
      <c r="J352">
        <v>450</v>
      </c>
      <c r="K352">
        <v>0</v>
      </c>
      <c r="L352" s="3">
        <v>46244</v>
      </c>
      <c r="M352" s="3">
        <v>46245.576388888891</v>
      </c>
      <c r="AA352" t="s">
        <v>25</v>
      </c>
      <c r="AB352" t="s">
        <v>26</v>
      </c>
    </row>
    <row r="353" spans="1:28" s="4" customFormat="1" ht="15.75" thickBot="1" x14ac:dyDescent="0.3">
      <c r="A353" s="4" t="s">
        <v>244</v>
      </c>
      <c r="B353" s="4" t="s">
        <v>418</v>
      </c>
      <c r="C353" s="4">
        <v>4</v>
      </c>
      <c r="D353" s="4" t="s">
        <v>419</v>
      </c>
      <c r="E353" s="4" t="s">
        <v>1380</v>
      </c>
      <c r="F353" s="4" t="s">
        <v>426</v>
      </c>
      <c r="G353" s="4" t="s">
        <v>427</v>
      </c>
      <c r="H353" s="4">
        <v>100</v>
      </c>
      <c r="I353" s="4">
        <v>25</v>
      </c>
      <c r="J353" s="4">
        <v>300</v>
      </c>
      <c r="K353" s="4">
        <v>0</v>
      </c>
      <c r="L353" s="40">
        <v>46245.583333333336</v>
      </c>
      <c r="M353" s="40">
        <v>46246.638888888891</v>
      </c>
      <c r="AA353" s="4" t="s">
        <v>25</v>
      </c>
      <c r="AB353" s="4" t="s">
        <v>26</v>
      </c>
    </row>
    <row r="354" spans="1:28" s="13" customFormat="1" x14ac:dyDescent="0.25">
      <c r="A354" s="13" t="s">
        <v>707</v>
      </c>
      <c r="B354" s="13">
        <v>25</v>
      </c>
      <c r="C354" s="13">
        <v>1</v>
      </c>
      <c r="D354" s="13" t="s">
        <v>821</v>
      </c>
      <c r="E354" s="13" t="s">
        <v>822</v>
      </c>
      <c r="F354" s="13" t="s">
        <v>823</v>
      </c>
      <c r="G354" s="13" t="s">
        <v>824</v>
      </c>
      <c r="H354" s="13">
        <v>15.87</v>
      </c>
      <c r="I354" s="13">
        <v>15.87</v>
      </c>
      <c r="J354" s="13">
        <v>2000</v>
      </c>
      <c r="K354" s="13">
        <v>2000</v>
      </c>
      <c r="L354" s="47">
        <v>46209.416666666664</v>
      </c>
      <c r="M354" s="47">
        <v>46210.409722222219</v>
      </c>
      <c r="AA354" s="13" t="s">
        <v>25</v>
      </c>
      <c r="AB354" s="13" t="s">
        <v>26</v>
      </c>
    </row>
    <row r="355" spans="1:28" s="13" customFormat="1" x14ac:dyDescent="0.25">
      <c r="A355" s="13" t="s">
        <v>244</v>
      </c>
      <c r="B355" s="13" t="s">
        <v>430</v>
      </c>
      <c r="C355" s="13">
        <v>4</v>
      </c>
      <c r="D355" s="13" t="s">
        <v>431</v>
      </c>
      <c r="E355" s="13" t="s">
        <v>432</v>
      </c>
      <c r="F355" s="13" t="s">
        <v>433</v>
      </c>
      <c r="G355" s="13" t="s">
        <v>434</v>
      </c>
      <c r="H355" s="13">
        <v>92.32</v>
      </c>
      <c r="I355" s="13">
        <v>23.08</v>
      </c>
      <c r="J355" s="13">
        <v>300</v>
      </c>
      <c r="K355" s="13">
        <v>222</v>
      </c>
      <c r="L355" s="47">
        <v>46210.465277777781</v>
      </c>
      <c r="M355" s="47">
        <v>46211.444444444445</v>
      </c>
      <c r="O355" s="13" t="s">
        <v>87</v>
      </c>
      <c r="AA355" s="13" t="s">
        <v>25</v>
      </c>
      <c r="AB355" s="13" t="s">
        <v>26</v>
      </c>
    </row>
    <row r="356" spans="1:28" s="13" customFormat="1" x14ac:dyDescent="0.25">
      <c r="A356" s="13" t="s">
        <v>244</v>
      </c>
      <c r="B356" s="13" t="s">
        <v>430</v>
      </c>
      <c r="C356" s="13">
        <v>4</v>
      </c>
      <c r="D356" s="13" t="s">
        <v>431</v>
      </c>
      <c r="E356" s="13" t="s">
        <v>1381</v>
      </c>
      <c r="F356" s="13" t="s">
        <v>433</v>
      </c>
      <c r="G356" s="13" t="s">
        <v>434</v>
      </c>
      <c r="H356" s="13">
        <v>46.16</v>
      </c>
      <c r="I356" s="13">
        <v>11.54</v>
      </c>
      <c r="J356" s="13">
        <v>150</v>
      </c>
      <c r="K356" s="13">
        <v>0</v>
      </c>
      <c r="L356" s="47">
        <v>46211.451388888891</v>
      </c>
      <c r="M356" s="47">
        <v>46211.951388888891</v>
      </c>
      <c r="O356" s="13" t="s">
        <v>87</v>
      </c>
      <c r="AA356" s="13" t="s">
        <v>25</v>
      </c>
      <c r="AB356" s="13" t="s">
        <v>26</v>
      </c>
    </row>
    <row r="357" spans="1:28" x14ac:dyDescent="0.25">
      <c r="A357" t="s">
        <v>244</v>
      </c>
      <c r="B357" t="s">
        <v>430</v>
      </c>
      <c r="C357">
        <v>4</v>
      </c>
      <c r="D357" t="s">
        <v>431</v>
      </c>
      <c r="E357" s="6" t="s">
        <v>438</v>
      </c>
      <c r="F357" s="6" t="s">
        <v>436</v>
      </c>
      <c r="G357" s="6" t="s">
        <v>437</v>
      </c>
      <c r="H357" s="6">
        <v>138.47999999999999</v>
      </c>
      <c r="I357" s="6">
        <v>34.619999999999997</v>
      </c>
      <c r="J357" s="6">
        <v>450</v>
      </c>
      <c r="K357" s="33">
        <v>181</v>
      </c>
      <c r="L357" s="3">
        <v>46209</v>
      </c>
      <c r="M357" s="3">
        <v>46210.458333333336</v>
      </c>
      <c r="O357" t="s">
        <v>87</v>
      </c>
      <c r="AA357" t="s">
        <v>25</v>
      </c>
      <c r="AB357" t="s">
        <v>26</v>
      </c>
    </row>
    <row r="358" spans="1:28" s="51" customFormat="1" x14ac:dyDescent="0.25">
      <c r="L358" s="52"/>
      <c r="M358" s="52"/>
    </row>
    <row r="359" spans="1:28" x14ac:dyDescent="0.25">
      <c r="A359" t="s">
        <v>244</v>
      </c>
      <c r="B359" t="s">
        <v>430</v>
      </c>
      <c r="C359">
        <v>4</v>
      </c>
      <c r="D359" t="s">
        <v>431</v>
      </c>
      <c r="E359" t="s">
        <v>1382</v>
      </c>
      <c r="F359" t="s">
        <v>436</v>
      </c>
      <c r="G359" t="s">
        <v>437</v>
      </c>
      <c r="H359">
        <v>46.16</v>
      </c>
      <c r="I359">
        <v>11.54</v>
      </c>
      <c r="J359">
        <v>150</v>
      </c>
      <c r="K359">
        <v>0</v>
      </c>
      <c r="L359" s="3">
        <v>46218.451388888891</v>
      </c>
      <c r="M359" s="3">
        <v>46218.951388888891</v>
      </c>
      <c r="O359" t="s">
        <v>87</v>
      </c>
      <c r="AA359" t="s">
        <v>25</v>
      </c>
      <c r="AB359" t="s">
        <v>26</v>
      </c>
    </row>
    <row r="360" spans="1:28" x14ac:dyDescent="0.25">
      <c r="A360" t="s">
        <v>244</v>
      </c>
      <c r="B360" t="s">
        <v>430</v>
      </c>
      <c r="C360">
        <v>4</v>
      </c>
      <c r="D360" t="s">
        <v>431</v>
      </c>
      <c r="E360" s="58" t="s">
        <v>435</v>
      </c>
      <c r="F360" s="58" t="s">
        <v>436</v>
      </c>
      <c r="G360" s="58" t="s">
        <v>1526</v>
      </c>
      <c r="H360">
        <v>138.47999999999999</v>
      </c>
      <c r="I360">
        <v>34.619999999999997</v>
      </c>
      <c r="J360">
        <v>450</v>
      </c>
      <c r="K360">
        <v>0</v>
      </c>
      <c r="L360" s="3">
        <v>46216.986111111109</v>
      </c>
      <c r="M360" s="3">
        <v>46218.444444444445</v>
      </c>
      <c r="O360" t="s">
        <v>87</v>
      </c>
      <c r="AA360" t="s">
        <v>25</v>
      </c>
      <c r="AB360" t="s">
        <v>26</v>
      </c>
    </row>
    <row r="361" spans="1:28" x14ac:dyDescent="0.25">
      <c r="A361" t="s">
        <v>244</v>
      </c>
      <c r="B361" t="s">
        <v>430</v>
      </c>
      <c r="C361">
        <v>4</v>
      </c>
      <c r="D361" t="s">
        <v>431</v>
      </c>
      <c r="E361" t="s">
        <v>439</v>
      </c>
      <c r="F361" t="s">
        <v>433</v>
      </c>
      <c r="G361" t="s">
        <v>434</v>
      </c>
      <c r="H361">
        <v>92.32</v>
      </c>
      <c r="I361">
        <v>23.08</v>
      </c>
      <c r="J361">
        <v>300</v>
      </c>
      <c r="K361">
        <v>0</v>
      </c>
      <c r="L361" s="3">
        <v>46216</v>
      </c>
      <c r="M361" s="3">
        <v>46216.979166666664</v>
      </c>
      <c r="AA361" t="s">
        <v>25</v>
      </c>
      <c r="AB361" t="s">
        <v>26</v>
      </c>
    </row>
    <row r="362" spans="1:28" s="51" customFormat="1" x14ac:dyDescent="0.25">
      <c r="L362" s="52"/>
      <c r="M362" s="52"/>
    </row>
    <row r="363" spans="1:28" x14ac:dyDescent="0.25">
      <c r="A363" t="s">
        <v>244</v>
      </c>
      <c r="B363" t="s">
        <v>430</v>
      </c>
      <c r="C363">
        <v>4</v>
      </c>
      <c r="D363" t="s">
        <v>431</v>
      </c>
      <c r="E363" t="s">
        <v>441</v>
      </c>
      <c r="F363" t="s">
        <v>436</v>
      </c>
      <c r="G363" t="s">
        <v>437</v>
      </c>
      <c r="H363">
        <v>138.47999999999999</v>
      </c>
      <c r="I363">
        <v>34.619999999999997</v>
      </c>
      <c r="J363">
        <v>450</v>
      </c>
      <c r="K363">
        <v>0</v>
      </c>
      <c r="L363" s="3">
        <v>46223</v>
      </c>
      <c r="M363" s="3">
        <v>46224.458333333336</v>
      </c>
      <c r="AA363" t="s">
        <v>25</v>
      </c>
      <c r="AB363" t="s">
        <v>26</v>
      </c>
    </row>
    <row r="364" spans="1:28" x14ac:dyDescent="0.25">
      <c r="A364" t="s">
        <v>244</v>
      </c>
      <c r="B364" t="s">
        <v>430</v>
      </c>
      <c r="C364">
        <v>4</v>
      </c>
      <c r="D364" t="s">
        <v>431</v>
      </c>
      <c r="E364" t="s">
        <v>442</v>
      </c>
      <c r="F364" t="s">
        <v>436</v>
      </c>
      <c r="G364" t="s">
        <v>437</v>
      </c>
      <c r="H364">
        <v>138.47999999999999</v>
      </c>
      <c r="I364">
        <v>34.619999999999997</v>
      </c>
      <c r="J364">
        <v>450</v>
      </c>
      <c r="K364">
        <v>0</v>
      </c>
      <c r="L364" s="3">
        <v>46224.465277777781</v>
      </c>
      <c r="M364" s="3">
        <v>46225.923611111109</v>
      </c>
      <c r="AA364" t="s">
        <v>25</v>
      </c>
      <c r="AB364" t="s">
        <v>26</v>
      </c>
    </row>
    <row r="365" spans="1:28" s="51" customFormat="1" x14ac:dyDescent="0.25">
      <c r="L365" s="52"/>
      <c r="M365" s="52"/>
    </row>
    <row r="366" spans="1:28" x14ac:dyDescent="0.25">
      <c r="A366" t="s">
        <v>244</v>
      </c>
      <c r="B366" t="s">
        <v>430</v>
      </c>
      <c r="C366">
        <v>4</v>
      </c>
      <c r="D366" t="s">
        <v>431</v>
      </c>
      <c r="E366" t="s">
        <v>443</v>
      </c>
      <c r="F366" t="s">
        <v>436</v>
      </c>
      <c r="G366" t="s">
        <v>437</v>
      </c>
      <c r="H366">
        <v>92.32</v>
      </c>
      <c r="I366">
        <v>23.08</v>
      </c>
      <c r="J366">
        <v>300</v>
      </c>
      <c r="K366">
        <v>0</v>
      </c>
      <c r="L366" s="3">
        <v>46230</v>
      </c>
      <c r="M366" s="3">
        <v>46230.979166666664</v>
      </c>
      <c r="AA366" t="s">
        <v>25</v>
      </c>
      <c r="AB366" t="s">
        <v>26</v>
      </c>
    </row>
    <row r="367" spans="1:28" x14ac:dyDescent="0.25">
      <c r="A367" t="s">
        <v>244</v>
      </c>
      <c r="B367" t="s">
        <v>430</v>
      </c>
      <c r="C367">
        <v>4</v>
      </c>
      <c r="D367" t="s">
        <v>431</v>
      </c>
      <c r="E367" t="s">
        <v>444</v>
      </c>
      <c r="F367" t="s">
        <v>436</v>
      </c>
      <c r="G367" t="s">
        <v>437</v>
      </c>
      <c r="H367">
        <v>138.47999999999999</v>
      </c>
      <c r="I367">
        <v>34.619999999999997</v>
      </c>
      <c r="J367">
        <v>450</v>
      </c>
      <c r="K367">
        <v>0</v>
      </c>
      <c r="L367" s="3">
        <v>46230.986111111109</v>
      </c>
      <c r="M367" s="3">
        <v>46232.444444444445</v>
      </c>
      <c r="AA367" t="s">
        <v>25</v>
      </c>
      <c r="AB367" t="s">
        <v>26</v>
      </c>
    </row>
    <row r="368" spans="1:28" s="51" customFormat="1" x14ac:dyDescent="0.25">
      <c r="L368" s="52"/>
      <c r="M368" s="52"/>
    </row>
    <row r="369" spans="1:28" x14ac:dyDescent="0.25">
      <c r="A369" t="s">
        <v>244</v>
      </c>
      <c r="B369" t="s">
        <v>430</v>
      </c>
      <c r="C369">
        <v>4</v>
      </c>
      <c r="D369" t="s">
        <v>431</v>
      </c>
      <c r="E369" t="s">
        <v>440</v>
      </c>
      <c r="F369" t="s">
        <v>433</v>
      </c>
      <c r="G369" t="s">
        <v>434</v>
      </c>
      <c r="H369">
        <v>138.47999999999999</v>
      </c>
      <c r="I369">
        <v>34.619999999999997</v>
      </c>
      <c r="J369">
        <v>450</v>
      </c>
      <c r="K369">
        <v>0</v>
      </c>
      <c r="L369" s="3">
        <v>46212.243055555555</v>
      </c>
      <c r="M369" s="3">
        <v>46215.993055555555</v>
      </c>
      <c r="AA369" t="s">
        <v>25</v>
      </c>
      <c r="AB369" t="s">
        <v>26</v>
      </c>
    </row>
    <row r="370" spans="1:28" x14ac:dyDescent="0.25">
      <c r="A370" t="s">
        <v>244</v>
      </c>
      <c r="B370" t="s">
        <v>430</v>
      </c>
      <c r="C370">
        <v>4</v>
      </c>
      <c r="D370" t="s">
        <v>431</v>
      </c>
      <c r="E370" t="s">
        <v>1383</v>
      </c>
      <c r="F370" t="s">
        <v>433</v>
      </c>
      <c r="G370" t="s">
        <v>434</v>
      </c>
      <c r="H370">
        <v>92.32</v>
      </c>
      <c r="I370">
        <v>23.08</v>
      </c>
      <c r="J370">
        <v>300</v>
      </c>
      <c r="K370">
        <v>0</v>
      </c>
      <c r="L370" s="3">
        <v>46237.958333333336</v>
      </c>
      <c r="M370" s="3">
        <v>46238.9375</v>
      </c>
      <c r="AA370" t="s">
        <v>25</v>
      </c>
      <c r="AB370" t="s">
        <v>26</v>
      </c>
    </row>
    <row r="371" spans="1:28" s="51" customFormat="1" x14ac:dyDescent="0.25">
      <c r="L371" s="52"/>
      <c r="M371" s="52"/>
    </row>
    <row r="372" spans="1:28" x14ac:dyDescent="0.25">
      <c r="A372" t="s">
        <v>244</v>
      </c>
      <c r="B372" t="s">
        <v>430</v>
      </c>
      <c r="C372">
        <v>4</v>
      </c>
      <c r="D372" t="s">
        <v>431</v>
      </c>
      <c r="E372" t="s">
        <v>1384</v>
      </c>
      <c r="F372" t="s">
        <v>433</v>
      </c>
      <c r="G372" t="s">
        <v>434</v>
      </c>
      <c r="H372">
        <v>138.47999999999999</v>
      </c>
      <c r="I372">
        <v>34.619999999999997</v>
      </c>
      <c r="J372">
        <v>450</v>
      </c>
      <c r="K372">
        <v>0</v>
      </c>
      <c r="L372" s="3">
        <v>46244</v>
      </c>
      <c r="M372" s="3">
        <v>46245.458333333336</v>
      </c>
      <c r="AA372" t="s">
        <v>25</v>
      </c>
      <c r="AB372" t="s">
        <v>26</v>
      </c>
    </row>
    <row r="373" spans="1:28" x14ac:dyDescent="0.25">
      <c r="A373" t="s">
        <v>244</v>
      </c>
      <c r="B373" t="s">
        <v>430</v>
      </c>
      <c r="C373">
        <v>4</v>
      </c>
      <c r="D373" t="s">
        <v>431</v>
      </c>
      <c r="E373" t="s">
        <v>1385</v>
      </c>
      <c r="F373" t="s">
        <v>433</v>
      </c>
      <c r="G373" t="s">
        <v>434</v>
      </c>
      <c r="H373">
        <v>92.32</v>
      </c>
      <c r="I373">
        <v>23.08</v>
      </c>
      <c r="J373">
        <v>300</v>
      </c>
      <c r="K373">
        <v>0</v>
      </c>
      <c r="L373" s="3">
        <v>46245.465277777781</v>
      </c>
      <c r="M373" s="3">
        <v>46246.444444444445</v>
      </c>
      <c r="AA373" t="s">
        <v>25</v>
      </c>
      <c r="AB373" t="s">
        <v>26</v>
      </c>
    </row>
    <row r="374" spans="1:28" s="53" customFormat="1" ht="15.75" thickBot="1" x14ac:dyDescent="0.3">
      <c r="L374" s="54"/>
      <c r="M374" s="54"/>
    </row>
    <row r="375" spans="1:28" s="75" customFormat="1" x14ac:dyDescent="0.25">
      <c r="A375" s="75" t="s">
        <v>244</v>
      </c>
      <c r="B375" s="75" t="s">
        <v>445</v>
      </c>
      <c r="C375" s="75">
        <v>4</v>
      </c>
      <c r="D375" s="75" t="s">
        <v>458</v>
      </c>
      <c r="E375" s="75" t="s">
        <v>459</v>
      </c>
      <c r="F375" s="75" t="s">
        <v>460</v>
      </c>
      <c r="G375" s="75" t="s">
        <v>461</v>
      </c>
      <c r="H375" s="75">
        <v>150</v>
      </c>
      <c r="I375" s="75">
        <v>37.5</v>
      </c>
      <c r="J375" s="75">
        <v>450</v>
      </c>
      <c r="K375" s="75">
        <v>0</v>
      </c>
      <c r="L375" s="76">
        <v>46210.604166666664</v>
      </c>
      <c r="M375" s="76">
        <v>46212.180555555555</v>
      </c>
      <c r="AA375" s="75" t="s">
        <v>25</v>
      </c>
      <c r="AB375" s="75" t="s">
        <v>26</v>
      </c>
    </row>
    <row r="376" spans="1:28" x14ac:dyDescent="0.25">
      <c r="A376" t="s">
        <v>707</v>
      </c>
      <c r="B376">
        <v>21</v>
      </c>
      <c r="C376">
        <v>1</v>
      </c>
      <c r="D376" t="s">
        <v>407</v>
      </c>
      <c r="E376" s="6" t="s">
        <v>804</v>
      </c>
      <c r="F376" s="6" t="s">
        <v>805</v>
      </c>
      <c r="G376" s="6" t="s">
        <v>806</v>
      </c>
      <c r="H376" s="6">
        <v>21.9</v>
      </c>
      <c r="I376" s="6">
        <v>21.9</v>
      </c>
      <c r="J376" s="6">
        <v>7500</v>
      </c>
      <c r="K376">
        <v>0</v>
      </c>
      <c r="L376" s="3">
        <v>46210.361111111109</v>
      </c>
      <c r="M376" s="3">
        <v>46211.604166666664</v>
      </c>
      <c r="AA376" t="s">
        <v>25</v>
      </c>
      <c r="AB376" t="s">
        <v>26</v>
      </c>
    </row>
    <row r="377" spans="1:28" s="51" customFormat="1" x14ac:dyDescent="0.25">
      <c r="L377" s="52"/>
      <c r="M377" s="52"/>
    </row>
    <row r="378" spans="1:28" x14ac:dyDescent="0.25">
      <c r="A378" t="s">
        <v>707</v>
      </c>
      <c r="B378">
        <v>21</v>
      </c>
      <c r="C378">
        <v>1</v>
      </c>
      <c r="D378" t="s">
        <v>400</v>
      </c>
      <c r="E378" t="s">
        <v>801</v>
      </c>
      <c r="F378" t="s">
        <v>802</v>
      </c>
      <c r="G378" t="s">
        <v>803</v>
      </c>
      <c r="H378">
        <v>25.55</v>
      </c>
      <c r="I378">
        <v>25.55</v>
      </c>
      <c r="J378">
        <v>3500</v>
      </c>
      <c r="K378">
        <v>0</v>
      </c>
      <c r="L378" s="3">
        <v>46208.958333333336</v>
      </c>
      <c r="M378" s="3">
        <v>46210.354166666664</v>
      </c>
      <c r="AA378" t="s">
        <v>25</v>
      </c>
      <c r="AB378" t="s">
        <v>26</v>
      </c>
    </row>
    <row r="379" spans="1:28" x14ac:dyDescent="0.25">
      <c r="A379" t="s">
        <v>244</v>
      </c>
      <c r="B379" t="s">
        <v>445</v>
      </c>
      <c r="C379">
        <v>4</v>
      </c>
      <c r="D379" t="s">
        <v>451</v>
      </c>
      <c r="E379" t="s">
        <v>452</v>
      </c>
      <c r="F379" t="s">
        <v>453</v>
      </c>
      <c r="G379" t="s">
        <v>454</v>
      </c>
      <c r="H379">
        <v>100</v>
      </c>
      <c r="I379">
        <v>25</v>
      </c>
      <c r="J379" s="33">
        <v>300</v>
      </c>
      <c r="K379">
        <v>0</v>
      </c>
      <c r="L379" s="3">
        <v>46216</v>
      </c>
      <c r="M379" s="3">
        <v>46217.055555555555</v>
      </c>
      <c r="AA379" t="s">
        <v>25</v>
      </c>
      <c r="AB379" t="s">
        <v>26</v>
      </c>
    </row>
    <row r="380" spans="1:28" x14ac:dyDescent="0.25">
      <c r="A380" t="s">
        <v>244</v>
      </c>
      <c r="B380" t="s">
        <v>445</v>
      </c>
      <c r="C380">
        <v>4</v>
      </c>
      <c r="D380" t="s">
        <v>465</v>
      </c>
      <c r="E380" t="s">
        <v>466</v>
      </c>
      <c r="F380" t="s">
        <v>467</v>
      </c>
      <c r="G380" t="s">
        <v>468</v>
      </c>
      <c r="H380">
        <v>100</v>
      </c>
      <c r="I380">
        <v>25</v>
      </c>
      <c r="J380">
        <v>300</v>
      </c>
      <c r="K380">
        <v>0</v>
      </c>
      <c r="L380" s="3">
        <v>46224.0625</v>
      </c>
      <c r="M380" s="3">
        <v>46225.118055555555</v>
      </c>
      <c r="AA380" t="s">
        <v>25</v>
      </c>
      <c r="AB380" t="s">
        <v>26</v>
      </c>
    </row>
    <row r="381" spans="1:28" x14ac:dyDescent="0.25">
      <c r="A381" t="s">
        <v>244</v>
      </c>
      <c r="B381" t="s">
        <v>445</v>
      </c>
      <c r="C381">
        <v>4</v>
      </c>
      <c r="E381" t="s">
        <v>456</v>
      </c>
      <c r="F381" t="s">
        <v>457</v>
      </c>
      <c r="G381" t="s">
        <v>1513</v>
      </c>
      <c r="H381">
        <v>100</v>
      </c>
      <c r="I381">
        <v>25</v>
      </c>
      <c r="J381" s="33">
        <v>300</v>
      </c>
      <c r="K381">
        <v>0</v>
      </c>
      <c r="L381" s="3">
        <v>46217.0625</v>
      </c>
      <c r="M381" s="3">
        <v>46218.118055555555</v>
      </c>
      <c r="O381" t="s">
        <v>87</v>
      </c>
      <c r="AA381" t="s">
        <v>25</v>
      </c>
      <c r="AB381" t="s">
        <v>26</v>
      </c>
    </row>
    <row r="382" spans="1:28" s="51" customFormat="1" x14ac:dyDescent="0.25">
      <c r="L382" s="52"/>
      <c r="M382" s="52"/>
    </row>
    <row r="383" spans="1:28" x14ac:dyDescent="0.25">
      <c r="A383" t="s">
        <v>244</v>
      </c>
      <c r="B383" t="s">
        <v>445</v>
      </c>
      <c r="C383">
        <v>4</v>
      </c>
      <c r="E383" s="58" t="s">
        <v>455</v>
      </c>
      <c r="F383" s="58" t="s">
        <v>450</v>
      </c>
      <c r="G383" s="58" t="s">
        <v>1591</v>
      </c>
      <c r="H383" s="58">
        <v>50</v>
      </c>
      <c r="I383" s="58">
        <v>12.5</v>
      </c>
      <c r="J383" s="58">
        <v>150</v>
      </c>
      <c r="K383">
        <v>0</v>
      </c>
      <c r="L383" s="3">
        <v>46209</v>
      </c>
      <c r="M383" s="3">
        <v>46209.534722222219</v>
      </c>
      <c r="O383" t="s">
        <v>87</v>
      </c>
      <c r="AA383" t="s">
        <v>25</v>
      </c>
      <c r="AB383" t="s">
        <v>26</v>
      </c>
    </row>
    <row r="384" spans="1:28" x14ac:dyDescent="0.25">
      <c r="A384" t="s">
        <v>244</v>
      </c>
      <c r="B384" t="s">
        <v>445</v>
      </c>
      <c r="C384">
        <v>4</v>
      </c>
      <c r="E384" t="s">
        <v>449</v>
      </c>
      <c r="F384" t="s">
        <v>450</v>
      </c>
      <c r="G384" t="s">
        <v>1590</v>
      </c>
      <c r="H384">
        <v>100</v>
      </c>
      <c r="I384">
        <v>25</v>
      </c>
      <c r="J384">
        <v>300</v>
      </c>
      <c r="K384">
        <v>0</v>
      </c>
      <c r="L384" s="3">
        <v>46209.541666666664</v>
      </c>
      <c r="M384" s="3">
        <v>46210.597222222219</v>
      </c>
      <c r="AA384" t="s">
        <v>25</v>
      </c>
      <c r="AB384" t="s">
        <v>26</v>
      </c>
    </row>
    <row r="385" spans="1:28" x14ac:dyDescent="0.25">
      <c r="A385" t="s">
        <v>244</v>
      </c>
      <c r="B385" t="s">
        <v>445</v>
      </c>
      <c r="C385">
        <v>4</v>
      </c>
      <c r="E385" t="s">
        <v>462</v>
      </c>
      <c r="F385" t="s">
        <v>463</v>
      </c>
      <c r="G385" t="s">
        <v>464</v>
      </c>
      <c r="H385">
        <v>100</v>
      </c>
      <c r="I385">
        <v>25</v>
      </c>
      <c r="J385">
        <v>300</v>
      </c>
      <c r="K385">
        <v>0</v>
      </c>
      <c r="L385" s="3">
        <v>46223</v>
      </c>
      <c r="M385" s="3">
        <v>46224.055555555555</v>
      </c>
      <c r="AA385" t="s">
        <v>25</v>
      </c>
      <c r="AB385" t="s">
        <v>26</v>
      </c>
    </row>
    <row r="386" spans="1:28" s="51" customFormat="1" x14ac:dyDescent="0.25">
      <c r="L386" s="52"/>
      <c r="M386" s="52"/>
    </row>
    <row r="387" spans="1:28" x14ac:dyDescent="0.25">
      <c r="A387" t="s">
        <v>244</v>
      </c>
      <c r="B387" t="s">
        <v>445</v>
      </c>
      <c r="C387">
        <v>4</v>
      </c>
      <c r="E387" t="s">
        <v>469</v>
      </c>
      <c r="F387" t="s">
        <v>470</v>
      </c>
      <c r="G387" t="s">
        <v>471</v>
      </c>
      <c r="H387">
        <v>100</v>
      </c>
      <c r="I387">
        <v>25</v>
      </c>
      <c r="J387">
        <v>300</v>
      </c>
      <c r="K387">
        <v>0</v>
      </c>
      <c r="L387" s="3">
        <v>46230</v>
      </c>
      <c r="M387" s="3">
        <v>46231.055555555555</v>
      </c>
      <c r="AA387" t="s">
        <v>25</v>
      </c>
      <c r="AB387" t="s">
        <v>26</v>
      </c>
    </row>
    <row r="388" spans="1:28" x14ac:dyDescent="0.25">
      <c r="A388" t="s">
        <v>244</v>
      </c>
      <c r="B388" t="s">
        <v>445</v>
      </c>
      <c r="C388">
        <v>4</v>
      </c>
      <c r="E388" t="s">
        <v>1386</v>
      </c>
      <c r="F388" t="s">
        <v>470</v>
      </c>
      <c r="G388" t="s">
        <v>471</v>
      </c>
      <c r="H388">
        <v>100</v>
      </c>
      <c r="I388">
        <v>25</v>
      </c>
      <c r="J388">
        <v>300</v>
      </c>
      <c r="K388">
        <v>0</v>
      </c>
      <c r="L388" s="3">
        <v>46231.0625</v>
      </c>
      <c r="M388" s="3">
        <v>46232.118055555555</v>
      </c>
      <c r="AA388" t="s">
        <v>25</v>
      </c>
      <c r="AB388" t="s">
        <v>26</v>
      </c>
    </row>
    <row r="389" spans="1:28" x14ac:dyDescent="0.25">
      <c r="A389" t="s">
        <v>244</v>
      </c>
      <c r="B389" t="s">
        <v>445</v>
      </c>
      <c r="C389">
        <v>4</v>
      </c>
      <c r="E389" t="s">
        <v>1387</v>
      </c>
      <c r="F389" t="s">
        <v>1388</v>
      </c>
      <c r="G389" t="s">
        <v>1389</v>
      </c>
      <c r="H389">
        <v>100</v>
      </c>
      <c r="I389">
        <v>25</v>
      </c>
      <c r="J389">
        <v>300</v>
      </c>
      <c r="K389">
        <v>0</v>
      </c>
      <c r="L389" s="3">
        <v>46232.125</v>
      </c>
      <c r="M389" s="3">
        <v>46233.180555555555</v>
      </c>
      <c r="AA389" t="s">
        <v>25</v>
      </c>
      <c r="AB389" t="s">
        <v>26</v>
      </c>
    </row>
    <row r="390" spans="1:28" s="51" customFormat="1" x14ac:dyDescent="0.25">
      <c r="L390" s="52"/>
      <c r="M390" s="52"/>
    </row>
    <row r="391" spans="1:28" x14ac:dyDescent="0.25">
      <c r="A391" t="s">
        <v>244</v>
      </c>
      <c r="B391" t="s">
        <v>445</v>
      </c>
      <c r="C391">
        <v>4</v>
      </c>
      <c r="D391" t="s">
        <v>451</v>
      </c>
      <c r="E391" t="s">
        <v>1390</v>
      </c>
      <c r="F391" t="s">
        <v>453</v>
      </c>
      <c r="G391" t="s">
        <v>454</v>
      </c>
      <c r="H391">
        <v>150</v>
      </c>
      <c r="I391">
        <v>37.5</v>
      </c>
      <c r="J391">
        <v>450</v>
      </c>
      <c r="K391">
        <v>0</v>
      </c>
      <c r="L391" s="3">
        <v>46237.958333333336</v>
      </c>
      <c r="M391" s="3">
        <v>46239.534722222219</v>
      </c>
      <c r="AA391" t="s">
        <v>25</v>
      </c>
      <c r="AB391" t="s">
        <v>26</v>
      </c>
    </row>
    <row r="392" spans="1:28" x14ac:dyDescent="0.25">
      <c r="A392" t="s">
        <v>244</v>
      </c>
      <c r="B392" t="s">
        <v>445</v>
      </c>
      <c r="C392">
        <v>4</v>
      </c>
      <c r="D392" t="s">
        <v>451</v>
      </c>
      <c r="E392" t="s">
        <v>1391</v>
      </c>
      <c r="F392" t="s">
        <v>453</v>
      </c>
      <c r="G392" t="s">
        <v>454</v>
      </c>
      <c r="H392">
        <v>100</v>
      </c>
      <c r="I392">
        <v>25</v>
      </c>
      <c r="J392">
        <v>300</v>
      </c>
      <c r="K392">
        <v>0</v>
      </c>
      <c r="L392" s="3">
        <v>46239.541666666664</v>
      </c>
      <c r="M392" s="3">
        <v>46240.597222222219</v>
      </c>
      <c r="AA392" t="s">
        <v>25</v>
      </c>
      <c r="AB392" t="s">
        <v>26</v>
      </c>
    </row>
    <row r="393" spans="1:28" s="51" customFormat="1" x14ac:dyDescent="0.25">
      <c r="L393" s="52"/>
      <c r="M393" s="52"/>
    </row>
    <row r="394" spans="1:28" x14ac:dyDescent="0.25">
      <c r="A394" t="s">
        <v>244</v>
      </c>
      <c r="B394" t="s">
        <v>445</v>
      </c>
      <c r="C394">
        <v>4</v>
      </c>
      <c r="D394" t="s">
        <v>873</v>
      </c>
      <c r="E394" t="s">
        <v>1392</v>
      </c>
      <c r="F394" t="s">
        <v>1393</v>
      </c>
      <c r="G394" t="s">
        <v>1394</v>
      </c>
      <c r="H394">
        <v>150</v>
      </c>
      <c r="I394">
        <v>37.5</v>
      </c>
      <c r="J394">
        <v>450</v>
      </c>
      <c r="K394">
        <v>0</v>
      </c>
      <c r="L394" s="3">
        <v>46244</v>
      </c>
      <c r="M394" s="3">
        <v>46245.576388888891</v>
      </c>
      <c r="AA394" t="s">
        <v>25</v>
      </c>
      <c r="AB394" t="s">
        <v>26</v>
      </c>
    </row>
    <row r="395" spans="1:28" s="4" customFormat="1" ht="15.75" thickBot="1" x14ac:dyDescent="0.3">
      <c r="A395" s="4" t="s">
        <v>244</v>
      </c>
      <c r="B395" s="4" t="s">
        <v>445</v>
      </c>
      <c r="C395" s="4">
        <v>4</v>
      </c>
      <c r="D395" s="4" t="s">
        <v>446</v>
      </c>
      <c r="E395" s="4" t="s">
        <v>1395</v>
      </c>
      <c r="F395" s="4" t="s">
        <v>447</v>
      </c>
      <c r="G395" s="4" t="s">
        <v>448</v>
      </c>
      <c r="H395" s="4">
        <v>100</v>
      </c>
      <c r="I395" s="4">
        <v>25</v>
      </c>
      <c r="J395" s="4">
        <v>300</v>
      </c>
      <c r="K395" s="4">
        <v>0</v>
      </c>
      <c r="L395" s="40">
        <v>46245.583333333336</v>
      </c>
      <c r="M395" s="40">
        <v>46246.638888888891</v>
      </c>
      <c r="AA395" s="4" t="s">
        <v>25</v>
      </c>
      <c r="AB395" s="4" t="s">
        <v>26</v>
      </c>
    </row>
    <row r="396" spans="1:28" s="13" customFormat="1" x14ac:dyDescent="0.25">
      <c r="A396" s="13" t="s">
        <v>244</v>
      </c>
      <c r="B396" s="13" t="s">
        <v>472</v>
      </c>
      <c r="C396" s="13">
        <v>5.5</v>
      </c>
      <c r="D396" s="13" t="s">
        <v>473</v>
      </c>
      <c r="E396" s="13" t="s">
        <v>474</v>
      </c>
      <c r="F396" s="13" t="s">
        <v>475</v>
      </c>
      <c r="G396" s="13" t="s">
        <v>476</v>
      </c>
      <c r="H396" s="13">
        <v>149.98500000000001</v>
      </c>
      <c r="I396" s="13">
        <v>27.27</v>
      </c>
      <c r="J396" s="13">
        <v>600</v>
      </c>
      <c r="K396" s="13">
        <v>600</v>
      </c>
      <c r="L396" s="47">
        <v>46209</v>
      </c>
      <c r="M396" s="47">
        <v>46210.152777777781</v>
      </c>
      <c r="O396" s="13" t="s">
        <v>87</v>
      </c>
      <c r="AA396" s="13" t="s">
        <v>25</v>
      </c>
      <c r="AB396" s="13" t="s">
        <v>26</v>
      </c>
    </row>
    <row r="397" spans="1:28" s="13" customFormat="1" x14ac:dyDescent="0.25">
      <c r="A397" s="13" t="s">
        <v>244</v>
      </c>
      <c r="B397" s="13" t="s">
        <v>472</v>
      </c>
      <c r="C397" s="13">
        <v>5.5</v>
      </c>
      <c r="D397" s="13" t="s">
        <v>473</v>
      </c>
      <c r="E397" s="13" t="s">
        <v>477</v>
      </c>
      <c r="F397" s="13" t="s">
        <v>475</v>
      </c>
      <c r="G397" s="13" t="s">
        <v>476</v>
      </c>
      <c r="H397" s="13">
        <v>149.98500000000001</v>
      </c>
      <c r="I397" s="13">
        <v>27.27</v>
      </c>
      <c r="J397" s="13">
        <v>600</v>
      </c>
      <c r="K397" s="13">
        <v>0</v>
      </c>
      <c r="L397" s="47">
        <v>46210.159722222219</v>
      </c>
      <c r="M397" s="47">
        <v>46211.3125</v>
      </c>
      <c r="AA397" s="13" t="s">
        <v>25</v>
      </c>
      <c r="AB397" s="13" t="s">
        <v>26</v>
      </c>
    </row>
    <row r="398" spans="1:28" x14ac:dyDescent="0.25">
      <c r="A398" t="s">
        <v>244</v>
      </c>
      <c r="B398" t="s">
        <v>472</v>
      </c>
      <c r="C398">
        <v>5.5</v>
      </c>
      <c r="D398" t="s">
        <v>473</v>
      </c>
      <c r="E398" s="6" t="s">
        <v>478</v>
      </c>
      <c r="F398" s="6" t="s">
        <v>475</v>
      </c>
      <c r="G398" s="6" t="s">
        <v>476</v>
      </c>
      <c r="H398" s="6">
        <v>149.98500000000001</v>
      </c>
      <c r="I398" s="6">
        <v>27.27</v>
      </c>
      <c r="J398" s="6">
        <v>600</v>
      </c>
      <c r="K398">
        <v>0</v>
      </c>
      <c r="L398" s="3">
        <v>46211.319444444445</v>
      </c>
      <c r="M398" s="3">
        <v>46212.472222222219</v>
      </c>
      <c r="O398" t="s">
        <v>87</v>
      </c>
      <c r="AA398" t="s">
        <v>25</v>
      </c>
      <c r="AB398" t="s">
        <v>26</v>
      </c>
    </row>
    <row r="399" spans="1:28" x14ac:dyDescent="0.25">
      <c r="A399" t="s">
        <v>244</v>
      </c>
      <c r="B399" t="s">
        <v>472</v>
      </c>
      <c r="C399">
        <v>5.5</v>
      </c>
      <c r="D399" t="s">
        <v>473</v>
      </c>
      <c r="E399" t="s">
        <v>479</v>
      </c>
      <c r="F399" t="s">
        <v>475</v>
      </c>
      <c r="G399" t="s">
        <v>476</v>
      </c>
      <c r="H399">
        <v>149.98500000000001</v>
      </c>
      <c r="I399">
        <v>27.27</v>
      </c>
      <c r="J399" s="33">
        <v>600</v>
      </c>
      <c r="K399">
        <v>0</v>
      </c>
      <c r="L399" s="3">
        <v>46212.479166666664</v>
      </c>
      <c r="M399" s="3">
        <v>46213.631944444445</v>
      </c>
      <c r="O399" t="s">
        <v>87</v>
      </c>
      <c r="AA399" t="s">
        <v>25</v>
      </c>
      <c r="AB399" t="s">
        <v>26</v>
      </c>
    </row>
    <row r="400" spans="1:28" x14ac:dyDescent="0.25">
      <c r="A400" t="s">
        <v>244</v>
      </c>
      <c r="B400" t="s">
        <v>472</v>
      </c>
      <c r="C400">
        <v>5.5</v>
      </c>
      <c r="D400" t="s">
        <v>473</v>
      </c>
      <c r="E400" t="s">
        <v>480</v>
      </c>
      <c r="F400" t="s">
        <v>475</v>
      </c>
      <c r="G400" t="s">
        <v>1525</v>
      </c>
      <c r="H400">
        <v>75.02</v>
      </c>
      <c r="I400">
        <v>13.64</v>
      </c>
      <c r="J400" s="33">
        <v>300</v>
      </c>
      <c r="K400">
        <v>0</v>
      </c>
      <c r="L400" s="3">
        <v>46213.638888888891</v>
      </c>
      <c r="M400" s="3">
        <v>46216.222222222219</v>
      </c>
      <c r="O400" t="s">
        <v>78</v>
      </c>
      <c r="AA400" t="s">
        <v>25</v>
      </c>
      <c r="AB400" t="s">
        <v>26</v>
      </c>
    </row>
    <row r="401" spans="1:28" s="51" customFormat="1" x14ac:dyDescent="0.25">
      <c r="L401" s="52"/>
      <c r="M401" s="52"/>
    </row>
    <row r="402" spans="1:28" s="86" customFormat="1" x14ac:dyDescent="0.25">
      <c r="A402" s="86" t="s">
        <v>244</v>
      </c>
      <c r="B402" s="86" t="s">
        <v>472</v>
      </c>
      <c r="C402" s="86">
        <v>5.5</v>
      </c>
      <c r="D402" s="86" t="s">
        <v>473</v>
      </c>
      <c r="E402" s="86" t="s">
        <v>481</v>
      </c>
      <c r="F402" s="86" t="s">
        <v>475</v>
      </c>
      <c r="G402" s="86" t="s">
        <v>1525</v>
      </c>
      <c r="H402" s="86">
        <v>149.98500000000001</v>
      </c>
      <c r="I402" s="86">
        <v>27.27</v>
      </c>
      <c r="J402" s="33">
        <v>300</v>
      </c>
      <c r="K402" s="86">
        <v>0</v>
      </c>
      <c r="L402" s="87">
        <v>46216.229166666664</v>
      </c>
      <c r="M402" s="87">
        <v>46217.381944444445</v>
      </c>
      <c r="AA402" s="86" t="s">
        <v>25</v>
      </c>
      <c r="AB402" s="86" t="s">
        <v>26</v>
      </c>
    </row>
    <row r="403" spans="1:28" x14ac:dyDescent="0.25">
      <c r="A403" t="s">
        <v>244</v>
      </c>
      <c r="B403" t="s">
        <v>472</v>
      </c>
      <c r="C403">
        <v>5.5</v>
      </c>
      <c r="D403" t="s">
        <v>473</v>
      </c>
      <c r="E403" t="s">
        <v>482</v>
      </c>
      <c r="F403" s="58" t="s">
        <v>475</v>
      </c>
      <c r="G403" s="58" t="s">
        <v>1524</v>
      </c>
      <c r="H403">
        <v>149.98500000000001</v>
      </c>
      <c r="I403">
        <v>27.27</v>
      </c>
      <c r="J403">
        <v>600</v>
      </c>
      <c r="K403">
        <v>0</v>
      </c>
      <c r="L403" s="3">
        <v>46217.388888888891</v>
      </c>
      <c r="M403" s="3">
        <v>46218.541666666664</v>
      </c>
      <c r="AA403" t="s">
        <v>25</v>
      </c>
      <c r="AB403" t="s">
        <v>26</v>
      </c>
    </row>
    <row r="404" spans="1:28" x14ac:dyDescent="0.25">
      <c r="A404" t="s">
        <v>244</v>
      </c>
      <c r="B404" t="s">
        <v>472</v>
      </c>
      <c r="C404">
        <v>5.5</v>
      </c>
      <c r="D404" t="s">
        <v>473</v>
      </c>
      <c r="E404" t="s">
        <v>483</v>
      </c>
      <c r="F404" t="s">
        <v>475</v>
      </c>
      <c r="G404" t="s">
        <v>476</v>
      </c>
      <c r="H404">
        <v>149.98500000000001</v>
      </c>
      <c r="I404">
        <v>27.27</v>
      </c>
      <c r="J404">
        <v>600</v>
      </c>
      <c r="K404">
        <v>0</v>
      </c>
      <c r="L404" s="3">
        <v>46218.548611111109</v>
      </c>
      <c r="M404" s="3">
        <v>46219.701388888891</v>
      </c>
      <c r="AA404" t="s">
        <v>25</v>
      </c>
      <c r="AB404" t="s">
        <v>26</v>
      </c>
    </row>
    <row r="405" spans="1:28" x14ac:dyDescent="0.25">
      <c r="A405" t="s">
        <v>244</v>
      </c>
      <c r="B405" t="s">
        <v>472</v>
      </c>
      <c r="C405">
        <v>5.5</v>
      </c>
      <c r="D405" t="s">
        <v>473</v>
      </c>
      <c r="E405" t="s">
        <v>484</v>
      </c>
      <c r="F405" t="s">
        <v>475</v>
      </c>
      <c r="G405" t="s">
        <v>476</v>
      </c>
      <c r="H405">
        <v>149.98500000000001</v>
      </c>
      <c r="I405">
        <v>27.27</v>
      </c>
      <c r="J405">
        <v>600</v>
      </c>
      <c r="K405">
        <v>0</v>
      </c>
      <c r="L405" s="3">
        <v>46219.708333333336</v>
      </c>
      <c r="M405" s="3">
        <v>46220.861111111109</v>
      </c>
      <c r="AA405" t="s">
        <v>25</v>
      </c>
      <c r="AB405" t="s">
        <v>26</v>
      </c>
    </row>
    <row r="406" spans="1:28" x14ac:dyDescent="0.25">
      <c r="A406" t="s">
        <v>244</v>
      </c>
      <c r="B406" t="s">
        <v>472</v>
      </c>
      <c r="C406">
        <v>5.5</v>
      </c>
      <c r="D406" t="s">
        <v>473</v>
      </c>
      <c r="E406" t="s">
        <v>485</v>
      </c>
      <c r="F406" t="s">
        <v>475</v>
      </c>
      <c r="G406" t="s">
        <v>476</v>
      </c>
      <c r="H406">
        <v>75.02</v>
      </c>
      <c r="I406">
        <v>13.64</v>
      </c>
      <c r="J406">
        <v>600</v>
      </c>
      <c r="K406">
        <v>0</v>
      </c>
      <c r="L406" s="3">
        <v>46220.868055555555</v>
      </c>
      <c r="M406" s="3">
        <v>46223.451388888891</v>
      </c>
      <c r="AA406" t="s">
        <v>25</v>
      </c>
      <c r="AB406" t="s">
        <v>26</v>
      </c>
    </row>
    <row r="407" spans="1:28" s="51" customFormat="1" x14ac:dyDescent="0.25">
      <c r="L407" s="52"/>
      <c r="M407" s="52"/>
    </row>
    <row r="408" spans="1:28" x14ac:dyDescent="0.25">
      <c r="A408" t="s">
        <v>244</v>
      </c>
      <c r="B408" t="s">
        <v>472</v>
      </c>
      <c r="C408">
        <v>5.5</v>
      </c>
      <c r="D408" t="s">
        <v>473</v>
      </c>
      <c r="E408" t="s">
        <v>486</v>
      </c>
      <c r="F408" t="s">
        <v>475</v>
      </c>
      <c r="G408" t="s">
        <v>476</v>
      </c>
      <c r="H408">
        <v>149.98500000000001</v>
      </c>
      <c r="I408">
        <v>27.27</v>
      </c>
      <c r="J408">
        <v>600</v>
      </c>
      <c r="K408">
        <v>0</v>
      </c>
      <c r="L408" s="3">
        <v>46223.458333333336</v>
      </c>
      <c r="M408" s="3">
        <v>46224.611111111109</v>
      </c>
      <c r="AA408" t="s">
        <v>25</v>
      </c>
      <c r="AB408" t="s">
        <v>26</v>
      </c>
    </row>
    <row r="409" spans="1:28" x14ac:dyDescent="0.25">
      <c r="A409" t="s">
        <v>244</v>
      </c>
      <c r="B409" t="s">
        <v>472</v>
      </c>
      <c r="C409">
        <v>5.5</v>
      </c>
      <c r="D409" t="s">
        <v>473</v>
      </c>
      <c r="E409" t="s">
        <v>487</v>
      </c>
      <c r="F409" t="s">
        <v>475</v>
      </c>
      <c r="G409" t="s">
        <v>476</v>
      </c>
      <c r="H409">
        <v>149.98500000000001</v>
      </c>
      <c r="I409">
        <v>27.27</v>
      </c>
      <c r="J409">
        <v>600</v>
      </c>
      <c r="K409">
        <v>0</v>
      </c>
      <c r="L409" s="3">
        <v>46224.618055555555</v>
      </c>
      <c r="M409" s="3">
        <v>46225.770833333336</v>
      </c>
      <c r="AA409" t="s">
        <v>25</v>
      </c>
      <c r="AB409" t="s">
        <v>26</v>
      </c>
    </row>
    <row r="410" spans="1:28" x14ac:dyDescent="0.25">
      <c r="A410" t="s">
        <v>244</v>
      </c>
      <c r="B410" t="s">
        <v>472</v>
      </c>
      <c r="C410">
        <v>5.5</v>
      </c>
      <c r="D410" t="s">
        <v>473</v>
      </c>
      <c r="E410" t="s">
        <v>488</v>
      </c>
      <c r="F410" t="s">
        <v>475</v>
      </c>
      <c r="G410" t="s">
        <v>476</v>
      </c>
      <c r="H410">
        <v>149.98500000000001</v>
      </c>
      <c r="I410">
        <v>27.27</v>
      </c>
      <c r="J410">
        <v>600</v>
      </c>
      <c r="K410">
        <v>0</v>
      </c>
      <c r="L410" s="3">
        <v>46225.777777777781</v>
      </c>
      <c r="M410" s="3">
        <v>46226.930555555555</v>
      </c>
      <c r="AA410" t="s">
        <v>25</v>
      </c>
      <c r="AB410" t="s">
        <v>26</v>
      </c>
    </row>
    <row r="411" spans="1:28" x14ac:dyDescent="0.25">
      <c r="A411" t="s">
        <v>244</v>
      </c>
      <c r="B411" t="s">
        <v>472</v>
      </c>
      <c r="C411">
        <v>5.5</v>
      </c>
      <c r="D411" t="s">
        <v>473</v>
      </c>
      <c r="E411" t="s">
        <v>489</v>
      </c>
      <c r="F411" t="s">
        <v>475</v>
      </c>
      <c r="G411" t="s">
        <v>476</v>
      </c>
      <c r="H411">
        <v>149.98500000000001</v>
      </c>
      <c r="I411">
        <v>27.27</v>
      </c>
      <c r="J411">
        <v>600</v>
      </c>
      <c r="K411">
        <v>0</v>
      </c>
      <c r="L411" s="3">
        <v>46226.9375</v>
      </c>
      <c r="M411" s="3">
        <v>46230.090277777781</v>
      </c>
      <c r="AA411" t="s">
        <v>25</v>
      </c>
      <c r="AB411" t="s">
        <v>26</v>
      </c>
    </row>
    <row r="412" spans="1:28" x14ac:dyDescent="0.25">
      <c r="A412" t="s">
        <v>244</v>
      </c>
      <c r="B412" t="s">
        <v>472</v>
      </c>
      <c r="C412">
        <v>5.5</v>
      </c>
      <c r="D412" t="s">
        <v>473</v>
      </c>
      <c r="E412" t="s">
        <v>490</v>
      </c>
      <c r="F412" t="s">
        <v>475</v>
      </c>
      <c r="G412" t="s">
        <v>476</v>
      </c>
      <c r="H412">
        <v>75.02</v>
      </c>
      <c r="I412">
        <v>13.64</v>
      </c>
      <c r="J412">
        <v>300</v>
      </c>
      <c r="K412">
        <v>0</v>
      </c>
      <c r="L412" s="3">
        <v>46230.097222222219</v>
      </c>
      <c r="M412" s="3">
        <v>46230.680555555555</v>
      </c>
      <c r="AA412" t="s">
        <v>25</v>
      </c>
      <c r="AB412" t="s">
        <v>26</v>
      </c>
    </row>
    <row r="413" spans="1:28" s="51" customFormat="1" x14ac:dyDescent="0.25">
      <c r="L413" s="52"/>
      <c r="M413" s="52"/>
    </row>
    <row r="414" spans="1:28" x14ac:dyDescent="0.25">
      <c r="A414" t="s">
        <v>244</v>
      </c>
      <c r="B414" t="s">
        <v>472</v>
      </c>
      <c r="C414">
        <v>5.5</v>
      </c>
      <c r="D414" t="s">
        <v>473</v>
      </c>
      <c r="E414" t="s">
        <v>491</v>
      </c>
      <c r="F414" t="s">
        <v>475</v>
      </c>
      <c r="G414" t="s">
        <v>476</v>
      </c>
      <c r="H414">
        <v>149.98500000000001</v>
      </c>
      <c r="I414">
        <v>27.27</v>
      </c>
      <c r="J414">
        <v>600</v>
      </c>
      <c r="K414">
        <v>0</v>
      </c>
      <c r="L414" s="3">
        <v>46230.6875</v>
      </c>
      <c r="M414" s="3">
        <v>46231.840277777781</v>
      </c>
      <c r="AA414" t="s">
        <v>25</v>
      </c>
      <c r="AB414" t="s">
        <v>26</v>
      </c>
    </row>
    <row r="415" spans="1:28" x14ac:dyDescent="0.25">
      <c r="A415" t="s">
        <v>244</v>
      </c>
      <c r="B415" t="s">
        <v>472</v>
      </c>
      <c r="C415">
        <v>5.5</v>
      </c>
      <c r="D415" t="s">
        <v>473</v>
      </c>
      <c r="E415" t="s">
        <v>1396</v>
      </c>
      <c r="F415" t="s">
        <v>475</v>
      </c>
      <c r="G415" t="s">
        <v>476</v>
      </c>
      <c r="H415">
        <v>149.98500000000001</v>
      </c>
      <c r="I415">
        <v>27.27</v>
      </c>
      <c r="J415">
        <v>600</v>
      </c>
      <c r="K415">
        <v>0</v>
      </c>
      <c r="L415" s="3">
        <v>46231.847222222219</v>
      </c>
      <c r="M415" s="3">
        <v>46233</v>
      </c>
      <c r="AA415" t="s">
        <v>25</v>
      </c>
      <c r="AB415" t="s">
        <v>26</v>
      </c>
    </row>
    <row r="416" spans="1:28" x14ac:dyDescent="0.25">
      <c r="A416" t="s">
        <v>244</v>
      </c>
      <c r="B416" t="s">
        <v>472</v>
      </c>
      <c r="C416">
        <v>5.5</v>
      </c>
      <c r="D416" t="s">
        <v>473</v>
      </c>
      <c r="E416" t="s">
        <v>1397</v>
      </c>
      <c r="F416" t="s">
        <v>475</v>
      </c>
      <c r="G416" t="s">
        <v>476</v>
      </c>
      <c r="H416">
        <v>149.98500000000001</v>
      </c>
      <c r="I416">
        <v>27.27</v>
      </c>
      <c r="J416">
        <v>600</v>
      </c>
      <c r="K416">
        <v>0</v>
      </c>
      <c r="L416" s="3">
        <v>46233.006944444445</v>
      </c>
      <c r="M416" s="3">
        <v>46234.159722222219</v>
      </c>
      <c r="AA416" t="s">
        <v>25</v>
      </c>
      <c r="AB416" t="s">
        <v>26</v>
      </c>
    </row>
    <row r="417" spans="1:28" x14ac:dyDescent="0.25">
      <c r="A417" t="s">
        <v>244</v>
      </c>
      <c r="B417" t="s">
        <v>472</v>
      </c>
      <c r="C417">
        <v>5.5</v>
      </c>
      <c r="D417" t="s">
        <v>473</v>
      </c>
      <c r="E417" t="s">
        <v>1398</v>
      </c>
      <c r="F417" t="s">
        <v>475</v>
      </c>
      <c r="G417" t="s">
        <v>476</v>
      </c>
      <c r="H417">
        <v>149.98500000000001</v>
      </c>
      <c r="I417">
        <v>27.27</v>
      </c>
      <c r="J417">
        <v>600</v>
      </c>
      <c r="K417">
        <v>0</v>
      </c>
      <c r="L417" s="3">
        <v>46234.166666666664</v>
      </c>
      <c r="M417" s="3">
        <v>46238.319444444445</v>
      </c>
      <c r="AA417" t="s">
        <v>25</v>
      </c>
      <c r="AB417" t="s">
        <v>26</v>
      </c>
    </row>
    <row r="418" spans="1:28" x14ac:dyDescent="0.25">
      <c r="A418" t="s">
        <v>244</v>
      </c>
      <c r="B418" t="s">
        <v>472</v>
      </c>
      <c r="C418">
        <v>5.5</v>
      </c>
      <c r="D418" t="s">
        <v>473</v>
      </c>
      <c r="E418" t="s">
        <v>1399</v>
      </c>
      <c r="F418" t="s">
        <v>475</v>
      </c>
      <c r="G418" t="s">
        <v>476</v>
      </c>
      <c r="H418">
        <v>75.02</v>
      </c>
      <c r="I418">
        <v>13.64</v>
      </c>
      <c r="J418">
        <v>300</v>
      </c>
      <c r="K418">
        <v>0</v>
      </c>
      <c r="L418" s="3">
        <v>46238.326388888891</v>
      </c>
      <c r="M418" s="3">
        <v>46238.909722222219</v>
      </c>
      <c r="AA418" t="s">
        <v>25</v>
      </c>
      <c r="AB418" t="s">
        <v>26</v>
      </c>
    </row>
    <row r="419" spans="1:28" s="51" customFormat="1" x14ac:dyDescent="0.25">
      <c r="L419" s="52"/>
      <c r="M419" s="52"/>
    </row>
    <row r="420" spans="1:28" x14ac:dyDescent="0.25">
      <c r="A420" t="s">
        <v>244</v>
      </c>
      <c r="B420" t="s">
        <v>472</v>
      </c>
      <c r="C420">
        <v>5.5</v>
      </c>
      <c r="D420" t="s">
        <v>473</v>
      </c>
      <c r="E420" t="s">
        <v>1400</v>
      </c>
      <c r="F420" t="s">
        <v>475</v>
      </c>
      <c r="G420" t="s">
        <v>476</v>
      </c>
      <c r="H420">
        <v>149.98500000000001</v>
      </c>
      <c r="I420">
        <v>27.27</v>
      </c>
      <c r="J420">
        <v>600</v>
      </c>
      <c r="K420">
        <v>0</v>
      </c>
      <c r="L420" s="3">
        <v>46238.916666666664</v>
      </c>
      <c r="M420" s="3">
        <v>46240.069444444445</v>
      </c>
      <c r="AA420" t="s">
        <v>25</v>
      </c>
      <c r="AB420" t="s">
        <v>26</v>
      </c>
    </row>
    <row r="421" spans="1:28" x14ac:dyDescent="0.25">
      <c r="A421" t="s">
        <v>244</v>
      </c>
      <c r="B421" t="s">
        <v>472</v>
      </c>
      <c r="C421">
        <v>5.5</v>
      </c>
      <c r="D421" t="s">
        <v>473</v>
      </c>
      <c r="E421" t="s">
        <v>1401</v>
      </c>
      <c r="F421" t="s">
        <v>475</v>
      </c>
      <c r="G421" t="s">
        <v>476</v>
      </c>
      <c r="H421">
        <v>149.98500000000001</v>
      </c>
      <c r="I421">
        <v>27.27</v>
      </c>
      <c r="J421">
        <v>600</v>
      </c>
      <c r="K421">
        <v>0</v>
      </c>
      <c r="L421" s="3">
        <v>46240.076388888891</v>
      </c>
      <c r="M421" s="3">
        <v>46241.229166666664</v>
      </c>
      <c r="AA421" t="s">
        <v>25</v>
      </c>
      <c r="AB421" t="s">
        <v>26</v>
      </c>
    </row>
    <row r="422" spans="1:28" x14ac:dyDescent="0.25">
      <c r="A422" t="s">
        <v>244</v>
      </c>
      <c r="B422" t="s">
        <v>472</v>
      </c>
      <c r="C422">
        <v>5.5</v>
      </c>
      <c r="D422" t="s">
        <v>473</v>
      </c>
      <c r="E422" t="s">
        <v>1402</v>
      </c>
      <c r="F422" t="s">
        <v>475</v>
      </c>
      <c r="G422" t="s">
        <v>476</v>
      </c>
      <c r="H422">
        <v>149.98500000000001</v>
      </c>
      <c r="I422">
        <v>27.27</v>
      </c>
      <c r="J422">
        <v>600</v>
      </c>
      <c r="K422">
        <v>0</v>
      </c>
      <c r="L422" s="3">
        <v>46241.236111111109</v>
      </c>
      <c r="M422" s="3">
        <v>46244.388888888891</v>
      </c>
      <c r="AA422" t="s">
        <v>25</v>
      </c>
      <c r="AB422" t="s">
        <v>26</v>
      </c>
    </row>
    <row r="423" spans="1:28" x14ac:dyDescent="0.25">
      <c r="A423" t="s">
        <v>244</v>
      </c>
      <c r="B423" t="s">
        <v>472</v>
      </c>
      <c r="C423">
        <v>5.5</v>
      </c>
      <c r="D423" t="s">
        <v>473</v>
      </c>
      <c r="E423" t="s">
        <v>1403</v>
      </c>
      <c r="F423" t="s">
        <v>475</v>
      </c>
      <c r="G423" t="s">
        <v>476</v>
      </c>
      <c r="H423">
        <v>149.98500000000001</v>
      </c>
      <c r="I423">
        <v>27.27</v>
      </c>
      <c r="J423">
        <v>600</v>
      </c>
      <c r="K423">
        <v>0</v>
      </c>
      <c r="L423" s="3">
        <v>46244.395833333336</v>
      </c>
      <c r="M423" s="3">
        <v>46245.548611111109</v>
      </c>
      <c r="AA423" t="s">
        <v>25</v>
      </c>
      <c r="AB423" t="s">
        <v>26</v>
      </c>
    </row>
    <row r="424" spans="1:28" s="4" customFormat="1" ht="15.75" thickBot="1" x14ac:dyDescent="0.3">
      <c r="A424" s="4" t="s">
        <v>244</v>
      </c>
      <c r="B424" s="4" t="s">
        <v>472</v>
      </c>
      <c r="C424" s="4">
        <v>5.5</v>
      </c>
      <c r="D424" s="4" t="s">
        <v>473</v>
      </c>
      <c r="E424" s="4" t="s">
        <v>1404</v>
      </c>
      <c r="F424" s="4" t="s">
        <v>475</v>
      </c>
      <c r="G424" s="4" t="s">
        <v>476</v>
      </c>
      <c r="H424" s="4">
        <v>75.02</v>
      </c>
      <c r="I424" s="4">
        <v>13.64</v>
      </c>
      <c r="J424" s="4">
        <v>300</v>
      </c>
      <c r="K424" s="4">
        <v>0</v>
      </c>
      <c r="L424" s="40">
        <v>46245.555555555555</v>
      </c>
      <c r="M424" s="40">
        <v>46246.138888888891</v>
      </c>
      <c r="AA424" s="4" t="s">
        <v>25</v>
      </c>
      <c r="AB424" s="4" t="s">
        <v>26</v>
      </c>
    </row>
    <row r="425" spans="1:28" s="13" customFormat="1" x14ac:dyDescent="0.25">
      <c r="A425" s="13" t="s">
        <v>244</v>
      </c>
      <c r="B425" s="13" t="s">
        <v>492</v>
      </c>
      <c r="C425" s="13">
        <v>5.5</v>
      </c>
      <c r="D425" s="13" t="s">
        <v>493</v>
      </c>
      <c r="E425" s="13" t="s">
        <v>497</v>
      </c>
      <c r="F425" s="13" t="s">
        <v>498</v>
      </c>
      <c r="G425" s="13" t="s">
        <v>499</v>
      </c>
      <c r="H425" s="13">
        <v>75.02</v>
      </c>
      <c r="I425" s="13">
        <v>13.64</v>
      </c>
      <c r="J425" s="13">
        <v>300</v>
      </c>
      <c r="K425" s="13">
        <v>300</v>
      </c>
      <c r="L425" s="47">
        <v>46210.791666666664</v>
      </c>
      <c r="M425" s="47">
        <v>46211.375</v>
      </c>
      <c r="O425" s="13" t="s">
        <v>87</v>
      </c>
      <c r="AA425" s="13" t="s">
        <v>25</v>
      </c>
      <c r="AB425" s="13" t="s">
        <v>26</v>
      </c>
    </row>
    <row r="426" spans="1:28" s="13" customFormat="1" x14ac:dyDescent="0.25">
      <c r="A426" s="13" t="s">
        <v>244</v>
      </c>
      <c r="B426" s="13" t="s">
        <v>492</v>
      </c>
      <c r="C426" s="13">
        <v>5.5</v>
      </c>
      <c r="D426" s="13" t="s">
        <v>493</v>
      </c>
      <c r="E426" s="13" t="s">
        <v>504</v>
      </c>
      <c r="F426" s="13" t="s">
        <v>494</v>
      </c>
      <c r="G426" s="13" t="s">
        <v>495</v>
      </c>
      <c r="H426" s="13">
        <v>149.98500000000001</v>
      </c>
      <c r="I426" s="13">
        <v>27.27</v>
      </c>
      <c r="J426" s="13">
        <v>600</v>
      </c>
      <c r="K426" s="13">
        <v>600</v>
      </c>
      <c r="L426" s="47">
        <v>46209</v>
      </c>
      <c r="M426" s="47">
        <v>46210.152777777781</v>
      </c>
      <c r="O426" s="13" t="s">
        <v>87</v>
      </c>
      <c r="AA426" s="13" t="s">
        <v>25</v>
      </c>
      <c r="AB426" s="13" t="s">
        <v>26</v>
      </c>
    </row>
    <row r="427" spans="1:28" s="13" customFormat="1" x14ac:dyDescent="0.25">
      <c r="A427" s="13" t="s">
        <v>244</v>
      </c>
      <c r="B427" s="13" t="s">
        <v>492</v>
      </c>
      <c r="C427" s="13">
        <v>5.5</v>
      </c>
      <c r="D427" s="13" t="s">
        <v>493</v>
      </c>
      <c r="E427" s="13" t="s">
        <v>506</v>
      </c>
      <c r="F427" s="13" t="s">
        <v>494</v>
      </c>
      <c r="G427" s="13" t="s">
        <v>495</v>
      </c>
      <c r="H427" s="13">
        <v>75.02</v>
      </c>
      <c r="I427" s="13">
        <v>13.64</v>
      </c>
      <c r="J427" s="13">
        <v>300</v>
      </c>
      <c r="K427" s="13">
        <v>300</v>
      </c>
      <c r="L427" s="47">
        <v>46210.201388888891</v>
      </c>
      <c r="M427" s="47">
        <v>46210.784722222219</v>
      </c>
      <c r="O427" s="13" t="s">
        <v>87</v>
      </c>
      <c r="AA427" s="13" t="s">
        <v>25</v>
      </c>
      <c r="AB427" s="13" t="s">
        <v>26</v>
      </c>
    </row>
    <row r="428" spans="1:28" s="66" customFormat="1" x14ac:dyDescent="0.25">
      <c r="A428" s="66" t="s">
        <v>244</v>
      </c>
      <c r="B428" s="66" t="s">
        <v>492</v>
      </c>
      <c r="C428" s="66">
        <v>4</v>
      </c>
      <c r="E428" s="66" t="s">
        <v>503</v>
      </c>
      <c r="F428" s="66" t="s">
        <v>501</v>
      </c>
      <c r="G428" s="66" t="s">
        <v>502</v>
      </c>
      <c r="H428" s="66">
        <v>133.32</v>
      </c>
      <c r="I428" s="66">
        <v>33.33</v>
      </c>
      <c r="J428" s="66">
        <v>600</v>
      </c>
      <c r="K428" s="66" t="s">
        <v>1583</v>
      </c>
      <c r="L428" s="67">
        <v>46211.381944444445</v>
      </c>
      <c r="M428" s="67">
        <v>46212.784722222219</v>
      </c>
      <c r="O428" s="66" t="s">
        <v>87</v>
      </c>
      <c r="AA428" s="66" t="s">
        <v>25</v>
      </c>
      <c r="AB428" s="66" t="s">
        <v>26</v>
      </c>
    </row>
    <row r="429" spans="1:28" s="66" customFormat="1" x14ac:dyDescent="0.25">
      <c r="A429" s="66" t="s">
        <v>244</v>
      </c>
      <c r="B429" s="66" t="s">
        <v>492</v>
      </c>
      <c r="C429" s="66">
        <v>4</v>
      </c>
      <c r="E429" s="66" t="s">
        <v>505</v>
      </c>
      <c r="F429" s="66" t="s">
        <v>501</v>
      </c>
      <c r="G429" s="66" t="s">
        <v>502</v>
      </c>
      <c r="H429" s="66">
        <v>133.32</v>
      </c>
      <c r="I429" s="66">
        <v>33.33</v>
      </c>
      <c r="J429" s="66">
        <v>600</v>
      </c>
      <c r="K429" s="66" t="s">
        <v>1584</v>
      </c>
      <c r="L429" s="67">
        <v>46212.791666666664</v>
      </c>
      <c r="M429" s="67">
        <v>46216.194444444445</v>
      </c>
      <c r="O429" s="66" t="s">
        <v>87</v>
      </c>
      <c r="AA429" s="66" t="s">
        <v>25</v>
      </c>
      <c r="AB429" s="66" t="s">
        <v>26</v>
      </c>
    </row>
    <row r="430" spans="1:28" s="6" customFormat="1" x14ac:dyDescent="0.25">
      <c r="A430" s="6" t="s">
        <v>244</v>
      </c>
      <c r="B430" s="6" t="s">
        <v>492</v>
      </c>
      <c r="C430" s="6">
        <v>5.5</v>
      </c>
      <c r="E430" s="6" t="s">
        <v>500</v>
      </c>
      <c r="F430" s="6" t="s">
        <v>501</v>
      </c>
      <c r="G430" s="6" t="s">
        <v>502</v>
      </c>
      <c r="H430" s="6">
        <v>75.02</v>
      </c>
      <c r="I430" s="6">
        <v>13.64</v>
      </c>
      <c r="J430" s="6">
        <v>300</v>
      </c>
      <c r="K430" s="33">
        <v>50</v>
      </c>
      <c r="L430" s="45">
        <v>46216.201388888891</v>
      </c>
      <c r="M430" s="45">
        <v>46216.784722222219</v>
      </c>
      <c r="O430" s="6" t="s">
        <v>87</v>
      </c>
      <c r="AA430" s="6" t="s">
        <v>25</v>
      </c>
      <c r="AB430" s="6" t="s">
        <v>26</v>
      </c>
    </row>
    <row r="431" spans="1:28" x14ac:dyDescent="0.25">
      <c r="A431" t="s">
        <v>244</v>
      </c>
      <c r="B431" t="s">
        <v>492</v>
      </c>
      <c r="C431">
        <v>4</v>
      </c>
      <c r="E431" t="s">
        <v>1585</v>
      </c>
      <c r="F431" t="s">
        <v>501</v>
      </c>
      <c r="G431" t="s">
        <v>502</v>
      </c>
      <c r="H431">
        <v>133.32</v>
      </c>
      <c r="I431">
        <v>33.33</v>
      </c>
      <c r="J431" s="33">
        <v>600</v>
      </c>
      <c r="K431">
        <v>0</v>
      </c>
      <c r="L431" s="3">
        <v>46211.381944444445</v>
      </c>
      <c r="M431" s="3">
        <v>46212.784722222219</v>
      </c>
      <c r="O431" t="s">
        <v>87</v>
      </c>
      <c r="AA431" t="s">
        <v>25</v>
      </c>
      <c r="AB431" t="s">
        <v>26</v>
      </c>
    </row>
    <row r="432" spans="1:28" s="51" customFormat="1" x14ac:dyDescent="0.25">
      <c r="L432" s="52"/>
      <c r="M432" s="52"/>
    </row>
    <row r="433" spans="1:28" x14ac:dyDescent="0.25">
      <c r="A433" t="s">
        <v>244</v>
      </c>
      <c r="B433" t="s">
        <v>492</v>
      </c>
      <c r="C433">
        <v>4</v>
      </c>
      <c r="E433" t="s">
        <v>1587</v>
      </c>
      <c r="F433" t="s">
        <v>501</v>
      </c>
      <c r="G433" t="s">
        <v>502</v>
      </c>
      <c r="H433">
        <v>133.32</v>
      </c>
      <c r="I433">
        <v>33.33</v>
      </c>
      <c r="J433" s="33">
        <v>300</v>
      </c>
      <c r="K433">
        <v>0</v>
      </c>
      <c r="L433" s="3">
        <v>46212.791666666664</v>
      </c>
      <c r="M433" s="3">
        <v>46216.194444444445</v>
      </c>
      <c r="AA433" t="s">
        <v>25</v>
      </c>
      <c r="AB433" t="s">
        <v>26</v>
      </c>
    </row>
    <row r="434" spans="1:28" x14ac:dyDescent="0.25">
      <c r="A434" t="s">
        <v>244</v>
      </c>
      <c r="B434" t="s">
        <v>492</v>
      </c>
      <c r="C434">
        <v>5.5</v>
      </c>
      <c r="E434" s="58" t="s">
        <v>1586</v>
      </c>
      <c r="F434" s="58" t="s">
        <v>501</v>
      </c>
      <c r="G434" s="58" t="s">
        <v>1588</v>
      </c>
      <c r="H434" s="58">
        <v>75.02</v>
      </c>
      <c r="I434" s="58">
        <v>13.64</v>
      </c>
      <c r="J434" s="58">
        <v>600</v>
      </c>
      <c r="K434">
        <v>0</v>
      </c>
      <c r="L434" s="3">
        <v>46216.201388888891</v>
      </c>
      <c r="M434" s="3">
        <v>46216.784722222219</v>
      </c>
      <c r="AA434" t="s">
        <v>25</v>
      </c>
      <c r="AB434" t="s">
        <v>26</v>
      </c>
    </row>
    <row r="435" spans="1:28" x14ac:dyDescent="0.25">
      <c r="A435" t="s">
        <v>244</v>
      </c>
      <c r="B435" t="s">
        <v>492</v>
      </c>
      <c r="C435">
        <v>5.5</v>
      </c>
      <c r="D435" t="s">
        <v>493</v>
      </c>
      <c r="E435" t="s">
        <v>507</v>
      </c>
      <c r="F435" t="s">
        <v>494</v>
      </c>
      <c r="G435" t="s">
        <v>1589</v>
      </c>
      <c r="H435">
        <v>149.98500000000001</v>
      </c>
      <c r="I435">
        <v>27.27</v>
      </c>
      <c r="J435">
        <v>600</v>
      </c>
      <c r="K435">
        <v>0</v>
      </c>
      <c r="L435" s="3">
        <v>46216.791666666664</v>
      </c>
      <c r="M435" s="3">
        <v>46217.944444444445</v>
      </c>
      <c r="AA435" t="s">
        <v>25</v>
      </c>
      <c r="AB435" t="s">
        <v>26</v>
      </c>
    </row>
    <row r="436" spans="1:28" x14ac:dyDescent="0.25">
      <c r="A436" t="s">
        <v>244</v>
      </c>
      <c r="B436" t="s">
        <v>492</v>
      </c>
      <c r="C436">
        <v>5.5</v>
      </c>
      <c r="D436" t="s">
        <v>493</v>
      </c>
      <c r="E436" t="s">
        <v>508</v>
      </c>
      <c r="F436" t="s">
        <v>494</v>
      </c>
      <c r="G436" t="s">
        <v>495</v>
      </c>
      <c r="H436">
        <v>75.02</v>
      </c>
      <c r="I436">
        <v>13.64</v>
      </c>
      <c r="J436">
        <v>300</v>
      </c>
      <c r="K436">
        <v>0</v>
      </c>
      <c r="L436" s="3">
        <v>46219.111111111109</v>
      </c>
      <c r="M436" s="3">
        <v>46219.694444444445</v>
      </c>
      <c r="AA436" t="s">
        <v>25</v>
      </c>
      <c r="AB436" t="s">
        <v>26</v>
      </c>
    </row>
    <row r="437" spans="1:28" x14ac:dyDescent="0.25">
      <c r="A437" t="s">
        <v>244</v>
      </c>
      <c r="B437" t="s">
        <v>492</v>
      </c>
      <c r="C437">
        <v>5.5</v>
      </c>
      <c r="D437" t="s">
        <v>493</v>
      </c>
      <c r="E437" t="s">
        <v>509</v>
      </c>
      <c r="F437" t="s">
        <v>498</v>
      </c>
      <c r="G437" t="s">
        <v>499</v>
      </c>
      <c r="H437">
        <v>149.98500000000001</v>
      </c>
      <c r="I437">
        <v>27.27</v>
      </c>
      <c r="J437">
        <v>600</v>
      </c>
      <c r="K437">
        <v>0</v>
      </c>
      <c r="L437" s="3">
        <v>46219.701388888891</v>
      </c>
      <c r="M437" s="3">
        <v>46220.854166666664</v>
      </c>
      <c r="AA437" t="s">
        <v>25</v>
      </c>
      <c r="AB437" t="s">
        <v>26</v>
      </c>
    </row>
    <row r="438" spans="1:28" x14ac:dyDescent="0.25">
      <c r="A438" t="s">
        <v>244</v>
      </c>
      <c r="B438" t="s">
        <v>492</v>
      </c>
      <c r="C438">
        <v>5.5</v>
      </c>
      <c r="D438" t="s">
        <v>493</v>
      </c>
      <c r="E438" t="s">
        <v>510</v>
      </c>
      <c r="F438" t="s">
        <v>498</v>
      </c>
      <c r="G438" t="s">
        <v>499</v>
      </c>
      <c r="H438">
        <v>149.98500000000001</v>
      </c>
      <c r="I438">
        <v>27.27</v>
      </c>
      <c r="J438">
        <v>300</v>
      </c>
      <c r="K438">
        <v>0</v>
      </c>
      <c r="L438" s="3">
        <v>46220.861111111109</v>
      </c>
      <c r="M438" s="3">
        <v>46224.013888888891</v>
      </c>
      <c r="AA438" t="s">
        <v>25</v>
      </c>
      <c r="AB438" t="s">
        <v>26</v>
      </c>
    </row>
    <row r="439" spans="1:28" s="51" customFormat="1" x14ac:dyDescent="0.25">
      <c r="L439" s="52"/>
      <c r="M439" s="52"/>
    </row>
    <row r="440" spans="1:28" x14ac:dyDescent="0.25">
      <c r="A440" t="s">
        <v>244</v>
      </c>
      <c r="B440" t="s">
        <v>492</v>
      </c>
      <c r="C440">
        <v>5.5</v>
      </c>
      <c r="D440" t="s">
        <v>493</v>
      </c>
      <c r="E440" t="s">
        <v>514</v>
      </c>
      <c r="F440" t="s">
        <v>494</v>
      </c>
      <c r="G440" t="s">
        <v>495</v>
      </c>
      <c r="H440">
        <v>149.98500000000001</v>
      </c>
      <c r="I440">
        <v>27.27</v>
      </c>
      <c r="J440">
        <v>600</v>
      </c>
      <c r="K440">
        <v>0</v>
      </c>
      <c r="L440" s="3">
        <v>46227.555555555555</v>
      </c>
      <c r="M440" s="3">
        <v>46230.708333333336</v>
      </c>
      <c r="AA440" t="s">
        <v>25</v>
      </c>
      <c r="AB440" t="s">
        <v>26</v>
      </c>
    </row>
    <row r="441" spans="1:28" x14ac:dyDescent="0.25">
      <c r="A441" t="s">
        <v>244</v>
      </c>
      <c r="B441" t="s">
        <v>492</v>
      </c>
      <c r="C441">
        <v>5.5</v>
      </c>
      <c r="D441" t="s">
        <v>493</v>
      </c>
      <c r="E441" t="s">
        <v>1405</v>
      </c>
      <c r="F441" t="s">
        <v>494</v>
      </c>
      <c r="G441" t="s">
        <v>495</v>
      </c>
      <c r="H441">
        <v>149.98500000000001</v>
      </c>
      <c r="I441">
        <v>27.27</v>
      </c>
      <c r="J441">
        <v>600</v>
      </c>
      <c r="K441">
        <v>0</v>
      </c>
      <c r="L441" s="3">
        <v>46230.715277777781</v>
      </c>
      <c r="M441" s="3">
        <v>46231.868055555555</v>
      </c>
      <c r="AA441" t="s">
        <v>25</v>
      </c>
      <c r="AB441" t="s">
        <v>26</v>
      </c>
    </row>
    <row r="442" spans="1:28" x14ac:dyDescent="0.25">
      <c r="A442" t="s">
        <v>244</v>
      </c>
      <c r="B442" t="s">
        <v>492</v>
      </c>
      <c r="C442">
        <v>4</v>
      </c>
      <c r="E442" t="s">
        <v>511</v>
      </c>
      <c r="F442" t="s">
        <v>501</v>
      </c>
      <c r="G442" t="s">
        <v>502</v>
      </c>
      <c r="H442">
        <v>133.32</v>
      </c>
      <c r="I442">
        <v>33.33</v>
      </c>
      <c r="J442">
        <v>600</v>
      </c>
      <c r="K442">
        <v>0</v>
      </c>
      <c r="L442" s="3">
        <v>46224.020833333336</v>
      </c>
      <c r="M442" s="3">
        <v>46225.423611111109</v>
      </c>
      <c r="AA442" t="s">
        <v>25</v>
      </c>
      <c r="AB442" t="s">
        <v>26</v>
      </c>
    </row>
    <row r="443" spans="1:28" x14ac:dyDescent="0.25">
      <c r="A443" t="s">
        <v>244</v>
      </c>
      <c r="B443" t="s">
        <v>492</v>
      </c>
      <c r="C443">
        <v>4</v>
      </c>
      <c r="E443" t="s">
        <v>512</v>
      </c>
      <c r="F443" t="s">
        <v>501</v>
      </c>
      <c r="G443" t="s">
        <v>502</v>
      </c>
      <c r="H443">
        <v>133.32</v>
      </c>
      <c r="I443">
        <v>33.33</v>
      </c>
      <c r="J443">
        <v>600</v>
      </c>
      <c r="K443">
        <v>0</v>
      </c>
      <c r="L443" s="3">
        <v>46225.430555555555</v>
      </c>
      <c r="M443" s="3">
        <v>46226.833333333336</v>
      </c>
      <c r="AA443" t="s">
        <v>25</v>
      </c>
      <c r="AB443" t="s">
        <v>26</v>
      </c>
    </row>
    <row r="444" spans="1:28" x14ac:dyDescent="0.25">
      <c r="A444" t="s">
        <v>244</v>
      </c>
      <c r="B444" t="s">
        <v>492</v>
      </c>
      <c r="C444">
        <v>4</v>
      </c>
      <c r="E444" t="s">
        <v>513</v>
      </c>
      <c r="F444" t="s">
        <v>501</v>
      </c>
      <c r="G444" t="s">
        <v>502</v>
      </c>
      <c r="H444">
        <v>66.680000000000007</v>
      </c>
      <c r="I444">
        <v>16.670000000000002</v>
      </c>
      <c r="J444">
        <v>300</v>
      </c>
      <c r="K444">
        <v>0</v>
      </c>
      <c r="L444" s="3">
        <v>46226.840277777781</v>
      </c>
      <c r="M444" s="3">
        <v>46227.548611111109</v>
      </c>
      <c r="AA444" t="s">
        <v>25</v>
      </c>
      <c r="AB444" t="s">
        <v>26</v>
      </c>
    </row>
    <row r="445" spans="1:28" s="51" customFormat="1" x14ac:dyDescent="0.25">
      <c r="L445" s="52"/>
      <c r="M445" s="52"/>
    </row>
    <row r="446" spans="1:28" x14ac:dyDescent="0.25">
      <c r="A446" t="s">
        <v>244</v>
      </c>
      <c r="B446" t="s">
        <v>492</v>
      </c>
      <c r="C446">
        <v>5.5</v>
      </c>
      <c r="D446" t="s">
        <v>493</v>
      </c>
      <c r="E446" t="s">
        <v>1406</v>
      </c>
      <c r="F446" t="s">
        <v>494</v>
      </c>
      <c r="G446" t="s">
        <v>495</v>
      </c>
      <c r="H446">
        <v>149.98500000000001</v>
      </c>
      <c r="I446">
        <v>27.27</v>
      </c>
      <c r="J446">
        <v>600</v>
      </c>
      <c r="K446">
        <v>0</v>
      </c>
      <c r="L446" s="3">
        <v>46231.875</v>
      </c>
      <c r="M446" s="3">
        <v>46233.027777777781</v>
      </c>
      <c r="AA446" t="s">
        <v>25</v>
      </c>
      <c r="AB446" t="s">
        <v>26</v>
      </c>
    </row>
    <row r="447" spans="1:28" x14ac:dyDescent="0.25">
      <c r="A447" t="s">
        <v>244</v>
      </c>
      <c r="B447" t="s">
        <v>492</v>
      </c>
      <c r="C447">
        <v>5.5</v>
      </c>
      <c r="D447" t="s">
        <v>493</v>
      </c>
      <c r="E447" t="s">
        <v>1407</v>
      </c>
      <c r="F447" t="s">
        <v>494</v>
      </c>
      <c r="G447" t="s">
        <v>495</v>
      </c>
      <c r="H447">
        <v>149.98500000000001</v>
      </c>
      <c r="I447">
        <v>27.27</v>
      </c>
      <c r="J447">
        <v>600</v>
      </c>
      <c r="K447">
        <v>0</v>
      </c>
      <c r="L447" s="3">
        <v>46233.034722222219</v>
      </c>
      <c r="M447" s="3">
        <v>46234.1875</v>
      </c>
      <c r="AA447" t="s">
        <v>25</v>
      </c>
      <c r="AB447" t="s">
        <v>26</v>
      </c>
    </row>
    <row r="448" spans="1:28" x14ac:dyDescent="0.25">
      <c r="A448" t="s">
        <v>244</v>
      </c>
      <c r="B448" t="s">
        <v>492</v>
      </c>
      <c r="C448">
        <v>5.5</v>
      </c>
      <c r="D448" t="s">
        <v>493</v>
      </c>
      <c r="E448" t="s">
        <v>1408</v>
      </c>
      <c r="F448" t="s">
        <v>494</v>
      </c>
      <c r="G448" t="s">
        <v>495</v>
      </c>
      <c r="H448">
        <v>75.02</v>
      </c>
      <c r="I448">
        <v>13.64</v>
      </c>
      <c r="J448">
        <v>300</v>
      </c>
      <c r="K448">
        <v>0</v>
      </c>
      <c r="L448" s="3">
        <v>46234.194444444445</v>
      </c>
      <c r="M448" s="3">
        <v>46234.777777777781</v>
      </c>
      <c r="AA448" t="s">
        <v>25</v>
      </c>
      <c r="AB448" t="s">
        <v>26</v>
      </c>
    </row>
    <row r="449" spans="1:28" x14ac:dyDescent="0.25">
      <c r="A449" t="s">
        <v>244</v>
      </c>
      <c r="B449" t="s">
        <v>492</v>
      </c>
      <c r="C449">
        <v>5.5</v>
      </c>
      <c r="D449" t="s">
        <v>493</v>
      </c>
      <c r="E449" t="s">
        <v>1409</v>
      </c>
      <c r="F449" t="s">
        <v>498</v>
      </c>
      <c r="G449" t="s">
        <v>499</v>
      </c>
      <c r="H449">
        <v>149.98500000000001</v>
      </c>
      <c r="I449">
        <v>27.27</v>
      </c>
      <c r="J449">
        <v>600</v>
      </c>
      <c r="K449">
        <v>0</v>
      </c>
      <c r="L449" s="3">
        <v>46234.784722222219</v>
      </c>
      <c r="M449" s="3">
        <v>46238.9375</v>
      </c>
      <c r="AA449" t="s">
        <v>25</v>
      </c>
      <c r="AB449" t="s">
        <v>26</v>
      </c>
    </row>
    <row r="450" spans="1:28" x14ac:dyDescent="0.25">
      <c r="A450" t="s">
        <v>244</v>
      </c>
      <c r="B450" t="s">
        <v>492</v>
      </c>
      <c r="C450">
        <v>5.5</v>
      </c>
      <c r="D450" t="s">
        <v>493</v>
      </c>
      <c r="E450" t="s">
        <v>1410</v>
      </c>
      <c r="F450" t="s">
        <v>498</v>
      </c>
      <c r="G450" t="s">
        <v>499</v>
      </c>
      <c r="H450">
        <v>149.98500000000001</v>
      </c>
      <c r="I450">
        <v>27.27</v>
      </c>
      <c r="J450">
        <v>600</v>
      </c>
      <c r="K450">
        <v>0</v>
      </c>
      <c r="L450" s="3">
        <v>46238.944444444445</v>
      </c>
      <c r="M450" s="3">
        <v>46240.097222222219</v>
      </c>
      <c r="AA450" t="s">
        <v>25</v>
      </c>
      <c r="AB450" t="s">
        <v>26</v>
      </c>
    </row>
    <row r="451" spans="1:28" s="51" customFormat="1" x14ac:dyDescent="0.25">
      <c r="L451" s="52"/>
      <c r="M451" s="52"/>
    </row>
    <row r="452" spans="1:28" x14ac:dyDescent="0.25">
      <c r="A452" t="s">
        <v>244</v>
      </c>
      <c r="B452" t="s">
        <v>492</v>
      </c>
      <c r="C452">
        <v>4</v>
      </c>
      <c r="E452" t="s">
        <v>1411</v>
      </c>
      <c r="F452" t="s">
        <v>501</v>
      </c>
      <c r="G452" t="s">
        <v>502</v>
      </c>
      <c r="H452">
        <v>133.32</v>
      </c>
      <c r="I452">
        <v>33.33</v>
      </c>
      <c r="J452">
        <v>600</v>
      </c>
      <c r="K452">
        <v>0</v>
      </c>
      <c r="L452" s="3">
        <v>46240.104166666664</v>
      </c>
      <c r="M452" s="3">
        <v>46241.506944444445</v>
      </c>
      <c r="AA452" t="s">
        <v>25</v>
      </c>
      <c r="AB452" t="s">
        <v>26</v>
      </c>
    </row>
    <row r="453" spans="1:28" x14ac:dyDescent="0.25">
      <c r="A453" t="s">
        <v>244</v>
      </c>
      <c r="B453" t="s">
        <v>492</v>
      </c>
      <c r="C453">
        <v>4</v>
      </c>
      <c r="E453" t="s">
        <v>1412</v>
      </c>
      <c r="F453" t="s">
        <v>501</v>
      </c>
      <c r="G453" t="s">
        <v>502</v>
      </c>
      <c r="H453">
        <v>133.32</v>
      </c>
      <c r="I453">
        <v>33.33</v>
      </c>
      <c r="J453">
        <v>600</v>
      </c>
      <c r="K453">
        <v>0</v>
      </c>
      <c r="L453" s="3">
        <v>46241.513888888891</v>
      </c>
      <c r="M453" s="3">
        <v>46244.916666666664</v>
      </c>
      <c r="AA453" t="s">
        <v>25</v>
      </c>
      <c r="AB453" t="s">
        <v>26</v>
      </c>
    </row>
    <row r="454" spans="1:28" s="4" customFormat="1" ht="15.75" thickBot="1" x14ac:dyDescent="0.3">
      <c r="A454" s="4" t="s">
        <v>244</v>
      </c>
      <c r="B454" s="4" t="s">
        <v>492</v>
      </c>
      <c r="C454" s="4">
        <v>5.5</v>
      </c>
      <c r="D454" s="4" t="s">
        <v>493</v>
      </c>
      <c r="E454" s="4" t="s">
        <v>1413</v>
      </c>
      <c r="F454" s="4" t="s">
        <v>494</v>
      </c>
      <c r="G454" s="4" t="s">
        <v>495</v>
      </c>
      <c r="H454" s="4">
        <v>149.98500000000001</v>
      </c>
      <c r="I454" s="4">
        <v>27.27</v>
      </c>
      <c r="J454" s="4">
        <v>600</v>
      </c>
      <c r="K454" s="4">
        <v>0</v>
      </c>
      <c r="L454" s="40">
        <v>46244.923611111109</v>
      </c>
      <c r="M454" s="40">
        <v>46246.076388888891</v>
      </c>
      <c r="AA454" s="4" t="s">
        <v>25</v>
      </c>
      <c r="AB454" s="4" t="s">
        <v>26</v>
      </c>
    </row>
    <row r="455" spans="1:28" s="75" customFormat="1" x14ac:dyDescent="0.25">
      <c r="A455" s="75" t="s">
        <v>244</v>
      </c>
      <c r="B455" s="75" t="s">
        <v>515</v>
      </c>
      <c r="C455" s="75">
        <v>5.5</v>
      </c>
      <c r="D455" s="75" t="s">
        <v>516</v>
      </c>
      <c r="E455" s="75" t="s">
        <v>523</v>
      </c>
      <c r="F455" s="75" t="s">
        <v>517</v>
      </c>
      <c r="G455" s="75" t="s">
        <v>518</v>
      </c>
      <c r="H455" s="75">
        <v>149.98500000000001</v>
      </c>
      <c r="I455" s="75">
        <v>27.27</v>
      </c>
      <c r="J455" s="75">
        <v>600</v>
      </c>
      <c r="K455" s="75">
        <v>600</v>
      </c>
      <c r="L455" s="76">
        <v>46209.590277777781</v>
      </c>
      <c r="M455" s="76">
        <v>46210.743055555555</v>
      </c>
      <c r="O455" s="75" t="s">
        <v>87</v>
      </c>
      <c r="AA455" s="75" t="s">
        <v>25</v>
      </c>
      <c r="AB455" s="75" t="s">
        <v>26</v>
      </c>
    </row>
    <row r="456" spans="1:28" s="13" customFormat="1" x14ac:dyDescent="0.25">
      <c r="A456" s="13" t="s">
        <v>244</v>
      </c>
      <c r="B456" s="13" t="s">
        <v>515</v>
      </c>
      <c r="C456" s="13">
        <v>5.5</v>
      </c>
      <c r="D456" s="13" t="s">
        <v>516</v>
      </c>
      <c r="E456" s="13" t="s">
        <v>522</v>
      </c>
      <c r="F456" s="13" t="s">
        <v>517</v>
      </c>
      <c r="G456" s="13" t="s">
        <v>518</v>
      </c>
      <c r="H456" s="13">
        <v>112.47499999999999</v>
      </c>
      <c r="I456" s="13">
        <v>20.45</v>
      </c>
      <c r="J456" s="13">
        <v>450</v>
      </c>
      <c r="K456" s="13">
        <v>0</v>
      </c>
      <c r="L456" s="47">
        <v>46209</v>
      </c>
      <c r="M456" s="47">
        <v>46209.868055555555</v>
      </c>
      <c r="O456" s="13" t="s">
        <v>87</v>
      </c>
      <c r="AA456" s="13" t="s">
        <v>25</v>
      </c>
      <c r="AB456" s="13" t="s">
        <v>26</v>
      </c>
    </row>
    <row r="457" spans="1:28" x14ac:dyDescent="0.25">
      <c r="A457" t="s">
        <v>244</v>
      </c>
      <c r="B457" t="s">
        <v>515</v>
      </c>
      <c r="C457">
        <v>5.5</v>
      </c>
      <c r="D457" t="s">
        <v>516</v>
      </c>
      <c r="E457" s="6" t="s">
        <v>519</v>
      </c>
      <c r="F457" s="6" t="s">
        <v>520</v>
      </c>
      <c r="G457" s="6" t="s">
        <v>521</v>
      </c>
      <c r="H457" s="6">
        <v>75.02</v>
      </c>
      <c r="I457" s="6">
        <v>13.64</v>
      </c>
      <c r="J457" s="6">
        <v>300</v>
      </c>
      <c r="K457">
        <v>0</v>
      </c>
      <c r="L457" s="3">
        <v>46209</v>
      </c>
      <c r="M457" s="3">
        <v>46209.583333333336</v>
      </c>
      <c r="O457" t="s">
        <v>87</v>
      </c>
      <c r="AA457" t="s">
        <v>25</v>
      </c>
      <c r="AB457" t="s">
        <v>26</v>
      </c>
    </row>
    <row r="458" spans="1:28" s="51" customFormat="1" x14ac:dyDescent="0.25">
      <c r="L458" s="52"/>
      <c r="M458" s="52"/>
    </row>
    <row r="459" spans="1:28" x14ac:dyDescent="0.25">
      <c r="A459" t="s">
        <v>244</v>
      </c>
      <c r="B459" t="s">
        <v>515</v>
      </c>
      <c r="C459">
        <v>5.5</v>
      </c>
      <c r="D459" t="s">
        <v>516</v>
      </c>
      <c r="E459" t="s">
        <v>524</v>
      </c>
      <c r="F459" t="s">
        <v>517</v>
      </c>
      <c r="G459" t="s">
        <v>518</v>
      </c>
      <c r="H459">
        <v>112.47499999999999</v>
      </c>
      <c r="I459">
        <v>20.45</v>
      </c>
      <c r="J459">
        <v>450</v>
      </c>
      <c r="K459">
        <v>0</v>
      </c>
      <c r="L459" s="3">
        <v>46216</v>
      </c>
      <c r="M459" s="3">
        <v>46216.868055555555</v>
      </c>
      <c r="O459" t="s">
        <v>87</v>
      </c>
      <c r="AA459" t="s">
        <v>25</v>
      </c>
      <c r="AB459" t="s">
        <v>26</v>
      </c>
    </row>
    <row r="460" spans="1:28" x14ac:dyDescent="0.25">
      <c r="A460" t="s">
        <v>244</v>
      </c>
      <c r="B460" t="s">
        <v>515</v>
      </c>
      <c r="C460">
        <v>5.5</v>
      </c>
      <c r="D460" t="s">
        <v>516</v>
      </c>
      <c r="E460" t="s">
        <v>525</v>
      </c>
      <c r="F460" t="s">
        <v>517</v>
      </c>
      <c r="G460" t="s">
        <v>518</v>
      </c>
      <c r="H460">
        <v>149.98500000000001</v>
      </c>
      <c r="I460">
        <v>27.27</v>
      </c>
      <c r="J460">
        <v>600</v>
      </c>
      <c r="K460">
        <v>0</v>
      </c>
      <c r="L460" s="3">
        <v>46216</v>
      </c>
      <c r="M460" s="3">
        <v>46217.152777777781</v>
      </c>
      <c r="O460" t="s">
        <v>87</v>
      </c>
      <c r="AA460" t="s">
        <v>25</v>
      </c>
      <c r="AB460" t="s">
        <v>26</v>
      </c>
    </row>
    <row r="461" spans="1:28" x14ac:dyDescent="0.25">
      <c r="A461" t="s">
        <v>244</v>
      </c>
      <c r="B461" t="s">
        <v>515</v>
      </c>
      <c r="C461">
        <v>5.5</v>
      </c>
      <c r="D461" t="s">
        <v>516</v>
      </c>
      <c r="E461" t="s">
        <v>526</v>
      </c>
      <c r="F461" t="s">
        <v>520</v>
      </c>
      <c r="G461" t="s">
        <v>521</v>
      </c>
      <c r="H461">
        <v>75.02</v>
      </c>
      <c r="I461">
        <v>13.64</v>
      </c>
      <c r="J461">
        <v>300</v>
      </c>
      <c r="K461">
        <v>0</v>
      </c>
      <c r="L461" s="3">
        <v>46216.875</v>
      </c>
      <c r="M461" s="3">
        <v>46217.458333333336</v>
      </c>
      <c r="AA461" t="s">
        <v>25</v>
      </c>
      <c r="AB461" t="s">
        <v>26</v>
      </c>
    </row>
    <row r="462" spans="1:28" s="51" customFormat="1" x14ac:dyDescent="0.25">
      <c r="L462" s="52"/>
      <c r="M462" s="52"/>
    </row>
    <row r="463" spans="1:28" x14ac:dyDescent="0.25">
      <c r="A463" t="s">
        <v>244</v>
      </c>
      <c r="B463" t="s">
        <v>515</v>
      </c>
      <c r="C463">
        <v>5.5</v>
      </c>
      <c r="D463" t="s">
        <v>516</v>
      </c>
      <c r="E463" t="s">
        <v>527</v>
      </c>
      <c r="F463" t="s">
        <v>517</v>
      </c>
      <c r="G463" t="s">
        <v>518</v>
      </c>
      <c r="H463">
        <v>112.47499999999999</v>
      </c>
      <c r="I463">
        <v>20.45</v>
      </c>
      <c r="J463">
        <v>450</v>
      </c>
      <c r="K463">
        <v>0</v>
      </c>
      <c r="L463" s="3">
        <v>46223</v>
      </c>
      <c r="M463" s="3">
        <v>46223.868055555555</v>
      </c>
      <c r="AA463" t="s">
        <v>25</v>
      </c>
      <c r="AB463" t="s">
        <v>26</v>
      </c>
    </row>
    <row r="464" spans="1:28" x14ac:dyDescent="0.25">
      <c r="A464" t="s">
        <v>244</v>
      </c>
      <c r="B464" t="s">
        <v>515</v>
      </c>
      <c r="C464">
        <v>5.5</v>
      </c>
      <c r="D464" t="s">
        <v>516</v>
      </c>
      <c r="E464" t="s">
        <v>528</v>
      </c>
      <c r="F464" t="s">
        <v>517</v>
      </c>
      <c r="G464" t="s">
        <v>518</v>
      </c>
      <c r="H464">
        <v>149.98500000000001</v>
      </c>
      <c r="I464">
        <v>27.27</v>
      </c>
      <c r="J464">
        <v>600</v>
      </c>
      <c r="K464">
        <v>0</v>
      </c>
      <c r="L464" s="3">
        <v>46223</v>
      </c>
      <c r="M464" s="3">
        <v>46224.152777777781</v>
      </c>
      <c r="AA464" t="s">
        <v>25</v>
      </c>
      <c r="AB464" t="s">
        <v>26</v>
      </c>
    </row>
    <row r="465" spans="1:28" x14ac:dyDescent="0.25">
      <c r="A465" t="s">
        <v>244</v>
      </c>
      <c r="B465" t="s">
        <v>515</v>
      </c>
      <c r="C465">
        <v>5.5</v>
      </c>
      <c r="D465" t="s">
        <v>516</v>
      </c>
      <c r="E465" t="s">
        <v>529</v>
      </c>
      <c r="F465" t="s">
        <v>520</v>
      </c>
      <c r="G465" t="s">
        <v>521</v>
      </c>
      <c r="H465">
        <v>37.51</v>
      </c>
      <c r="I465">
        <v>6.82</v>
      </c>
      <c r="J465">
        <v>150</v>
      </c>
      <c r="K465">
        <v>0</v>
      </c>
      <c r="L465" s="3">
        <v>46223.875</v>
      </c>
      <c r="M465" s="3">
        <v>46224.173611111109</v>
      </c>
      <c r="AA465" t="s">
        <v>25</v>
      </c>
      <c r="AB465" t="s">
        <v>26</v>
      </c>
    </row>
    <row r="466" spans="1:28" s="51" customFormat="1" x14ac:dyDescent="0.25">
      <c r="L466" s="52"/>
      <c r="M466" s="52"/>
    </row>
    <row r="467" spans="1:28" x14ac:dyDescent="0.25">
      <c r="A467" t="s">
        <v>244</v>
      </c>
      <c r="B467" t="s">
        <v>515</v>
      </c>
      <c r="C467">
        <v>5.5</v>
      </c>
      <c r="D467" t="s">
        <v>516</v>
      </c>
      <c r="E467" t="s">
        <v>530</v>
      </c>
      <c r="F467" t="s">
        <v>517</v>
      </c>
      <c r="G467" t="s">
        <v>518</v>
      </c>
      <c r="H467">
        <v>112.47499999999999</v>
      </c>
      <c r="I467">
        <v>20.45</v>
      </c>
      <c r="J467">
        <v>450</v>
      </c>
      <c r="K467">
        <v>0</v>
      </c>
      <c r="L467" s="3">
        <v>46230</v>
      </c>
      <c r="M467" s="3">
        <v>46230.868055555555</v>
      </c>
      <c r="AA467" t="s">
        <v>25</v>
      </c>
      <c r="AB467" t="s">
        <v>26</v>
      </c>
    </row>
    <row r="468" spans="1:28" x14ac:dyDescent="0.25">
      <c r="A468" t="s">
        <v>244</v>
      </c>
      <c r="B468" t="s">
        <v>515</v>
      </c>
      <c r="C468">
        <v>5.5</v>
      </c>
      <c r="D468" t="s">
        <v>516</v>
      </c>
      <c r="E468" t="s">
        <v>531</v>
      </c>
      <c r="F468" t="s">
        <v>517</v>
      </c>
      <c r="G468" t="s">
        <v>518</v>
      </c>
      <c r="H468">
        <v>149.98500000000001</v>
      </c>
      <c r="I468">
        <v>27.27</v>
      </c>
      <c r="J468">
        <v>600</v>
      </c>
      <c r="K468">
        <v>0</v>
      </c>
      <c r="L468" s="3">
        <v>46230</v>
      </c>
      <c r="M468" s="3">
        <v>46231.152777777781</v>
      </c>
      <c r="AA468" t="s">
        <v>25</v>
      </c>
      <c r="AB468" t="s">
        <v>26</v>
      </c>
    </row>
    <row r="469" spans="1:28" x14ac:dyDescent="0.25">
      <c r="A469" t="s">
        <v>244</v>
      </c>
      <c r="B469" t="s">
        <v>515</v>
      </c>
      <c r="C469">
        <v>5.5</v>
      </c>
      <c r="D469" t="s">
        <v>516</v>
      </c>
      <c r="E469" t="s">
        <v>532</v>
      </c>
      <c r="F469" t="s">
        <v>520</v>
      </c>
      <c r="G469" t="s">
        <v>521</v>
      </c>
      <c r="H469">
        <v>75.02</v>
      </c>
      <c r="I469">
        <v>13.64</v>
      </c>
      <c r="J469">
        <v>300</v>
      </c>
      <c r="K469">
        <v>0</v>
      </c>
      <c r="L469" s="3">
        <v>46230.875</v>
      </c>
      <c r="M469" s="3">
        <v>46231.458333333336</v>
      </c>
      <c r="AA469" t="s">
        <v>25</v>
      </c>
      <c r="AB469" t="s">
        <v>26</v>
      </c>
    </row>
    <row r="470" spans="1:28" s="51" customFormat="1" x14ac:dyDescent="0.25">
      <c r="L470" s="52"/>
      <c r="M470" s="52"/>
    </row>
    <row r="471" spans="1:28" x14ac:dyDescent="0.25">
      <c r="A471" t="s">
        <v>244</v>
      </c>
      <c r="B471" t="s">
        <v>515</v>
      </c>
      <c r="C471">
        <v>5.5</v>
      </c>
      <c r="D471" t="s">
        <v>516</v>
      </c>
      <c r="E471" t="s">
        <v>1414</v>
      </c>
      <c r="F471" t="s">
        <v>517</v>
      </c>
      <c r="G471" t="s">
        <v>518</v>
      </c>
      <c r="H471">
        <v>112.47499999999999</v>
      </c>
      <c r="I471">
        <v>20.45</v>
      </c>
      <c r="J471">
        <v>450</v>
      </c>
      <c r="K471">
        <v>0</v>
      </c>
      <c r="L471" s="3">
        <v>46237.958333333336</v>
      </c>
      <c r="M471" s="3">
        <v>46238.826388888891</v>
      </c>
      <c r="AA471" t="s">
        <v>25</v>
      </c>
      <c r="AB471" t="s">
        <v>26</v>
      </c>
    </row>
    <row r="472" spans="1:28" x14ac:dyDescent="0.25">
      <c r="A472" t="s">
        <v>244</v>
      </c>
      <c r="B472" t="s">
        <v>515</v>
      </c>
      <c r="C472">
        <v>5.5</v>
      </c>
      <c r="D472" t="s">
        <v>516</v>
      </c>
      <c r="E472" t="s">
        <v>1415</v>
      </c>
      <c r="F472" t="s">
        <v>517</v>
      </c>
      <c r="G472" t="s">
        <v>518</v>
      </c>
      <c r="H472">
        <v>149.98500000000001</v>
      </c>
      <c r="I472">
        <v>27.27</v>
      </c>
      <c r="J472">
        <v>600</v>
      </c>
      <c r="K472">
        <v>0</v>
      </c>
      <c r="L472" s="3">
        <v>46237.958333333336</v>
      </c>
      <c r="M472" s="3">
        <v>46239.111111111109</v>
      </c>
      <c r="AA472" t="s">
        <v>25</v>
      </c>
      <c r="AB472" t="s">
        <v>26</v>
      </c>
    </row>
    <row r="473" spans="1:28" x14ac:dyDescent="0.25">
      <c r="A473" t="s">
        <v>244</v>
      </c>
      <c r="B473" t="s">
        <v>515</v>
      </c>
      <c r="C473">
        <v>5.5</v>
      </c>
      <c r="D473" t="s">
        <v>516</v>
      </c>
      <c r="E473" t="s">
        <v>1416</v>
      </c>
      <c r="F473" t="s">
        <v>520</v>
      </c>
      <c r="G473" t="s">
        <v>521</v>
      </c>
      <c r="H473">
        <v>75.02</v>
      </c>
      <c r="I473">
        <v>13.64</v>
      </c>
      <c r="J473">
        <v>300</v>
      </c>
      <c r="K473">
        <v>0</v>
      </c>
      <c r="L473" s="3">
        <v>46238.833333333336</v>
      </c>
      <c r="M473" s="3">
        <v>46239.416666666664</v>
      </c>
      <c r="AA473" t="s">
        <v>25</v>
      </c>
      <c r="AB473" t="s">
        <v>26</v>
      </c>
    </row>
    <row r="475" spans="1:28" x14ac:dyDescent="0.25">
      <c r="A475" t="s">
        <v>244</v>
      </c>
      <c r="B475" t="s">
        <v>515</v>
      </c>
      <c r="C475">
        <v>5.5</v>
      </c>
      <c r="D475" t="s">
        <v>516</v>
      </c>
      <c r="E475" t="s">
        <v>1417</v>
      </c>
      <c r="F475" t="s">
        <v>517</v>
      </c>
      <c r="G475" t="s">
        <v>518</v>
      </c>
      <c r="H475">
        <v>75.02</v>
      </c>
      <c r="I475">
        <v>13.64</v>
      </c>
      <c r="J475">
        <v>300</v>
      </c>
      <c r="K475">
        <v>0</v>
      </c>
      <c r="L475" s="3">
        <v>46244</v>
      </c>
      <c r="M475" s="3">
        <v>46244.583333333336</v>
      </c>
      <c r="AA475" t="s">
        <v>25</v>
      </c>
      <c r="AB475" t="s">
        <v>26</v>
      </c>
    </row>
    <row r="476" spans="1:28" x14ac:dyDescent="0.25">
      <c r="A476" t="s">
        <v>244</v>
      </c>
      <c r="B476" t="s">
        <v>515</v>
      </c>
      <c r="C476">
        <v>5.5</v>
      </c>
      <c r="D476" t="s">
        <v>516</v>
      </c>
      <c r="E476" t="s">
        <v>1418</v>
      </c>
      <c r="F476" t="s">
        <v>517</v>
      </c>
      <c r="G476" t="s">
        <v>518</v>
      </c>
      <c r="H476">
        <v>149.98500000000001</v>
      </c>
      <c r="I476">
        <v>27.27</v>
      </c>
      <c r="J476">
        <v>600</v>
      </c>
      <c r="K476">
        <v>0</v>
      </c>
      <c r="L476" s="3">
        <v>46244</v>
      </c>
      <c r="M476" s="3">
        <v>46245.152777777781</v>
      </c>
      <c r="AA476" t="s">
        <v>25</v>
      </c>
      <c r="AB476" t="s">
        <v>26</v>
      </c>
    </row>
    <row r="477" spans="1:28" s="4" customFormat="1" ht="15.75" thickBot="1" x14ac:dyDescent="0.3">
      <c r="A477" s="4" t="s">
        <v>244</v>
      </c>
      <c r="B477" s="4" t="s">
        <v>515</v>
      </c>
      <c r="C477" s="4">
        <v>5.5</v>
      </c>
      <c r="D477" s="4" t="s">
        <v>516</v>
      </c>
      <c r="E477" s="4" t="s">
        <v>1419</v>
      </c>
      <c r="F477" s="4" t="s">
        <v>520</v>
      </c>
      <c r="G477" s="4" t="s">
        <v>521</v>
      </c>
      <c r="H477" s="4">
        <v>75.02</v>
      </c>
      <c r="I477" s="4">
        <v>13.64</v>
      </c>
      <c r="J477" s="4">
        <v>300</v>
      </c>
      <c r="K477" s="4">
        <v>0</v>
      </c>
      <c r="L477" s="40">
        <v>46244.590277777781</v>
      </c>
      <c r="M477" s="40">
        <v>46245.173611111109</v>
      </c>
      <c r="AA477" s="4" t="s">
        <v>25</v>
      </c>
      <c r="AB477" s="4" t="s">
        <v>26</v>
      </c>
    </row>
    <row r="478" spans="1:28" s="13" customFormat="1" x14ac:dyDescent="0.25">
      <c r="A478" s="13" t="s">
        <v>244</v>
      </c>
      <c r="B478" s="13" t="s">
        <v>533</v>
      </c>
      <c r="C478" s="13">
        <v>5.5</v>
      </c>
      <c r="D478" s="13" t="s">
        <v>534</v>
      </c>
      <c r="E478" s="13" t="s">
        <v>542</v>
      </c>
      <c r="F478" s="13" t="s">
        <v>543</v>
      </c>
      <c r="G478" s="13" t="s">
        <v>544</v>
      </c>
      <c r="H478" s="13">
        <v>149.98500000000001</v>
      </c>
      <c r="I478" s="13">
        <v>27.27</v>
      </c>
      <c r="J478" s="13">
        <v>600</v>
      </c>
      <c r="K478" s="13">
        <v>0</v>
      </c>
      <c r="L478" s="47">
        <v>46209</v>
      </c>
      <c r="M478" s="47">
        <v>46210.152777777781</v>
      </c>
      <c r="O478" s="13" t="s">
        <v>78</v>
      </c>
      <c r="AA478" s="13" t="s">
        <v>25</v>
      </c>
      <c r="AB478" s="13" t="s">
        <v>26</v>
      </c>
    </row>
    <row r="479" spans="1:28" x14ac:dyDescent="0.25">
      <c r="A479" t="s">
        <v>244</v>
      </c>
      <c r="B479" t="s">
        <v>533</v>
      </c>
      <c r="C479">
        <v>5.5</v>
      </c>
      <c r="D479" t="s">
        <v>534</v>
      </c>
      <c r="E479" s="6" t="s">
        <v>546</v>
      </c>
      <c r="F479" s="6" t="s">
        <v>543</v>
      </c>
      <c r="G479" s="6" t="s">
        <v>544</v>
      </c>
      <c r="H479" s="6">
        <v>149.98500000000001</v>
      </c>
      <c r="I479" s="6">
        <v>27.27</v>
      </c>
      <c r="J479" s="6">
        <v>600</v>
      </c>
      <c r="K479">
        <v>0</v>
      </c>
      <c r="L479" s="3">
        <v>46216</v>
      </c>
      <c r="M479" s="3">
        <v>46217.152777777781</v>
      </c>
      <c r="O479" t="s">
        <v>87</v>
      </c>
      <c r="AA479" t="s">
        <v>25</v>
      </c>
      <c r="AB479" t="s">
        <v>26</v>
      </c>
    </row>
    <row r="480" spans="1:28" s="51" customFormat="1" x14ac:dyDescent="0.25">
      <c r="L480" s="52"/>
      <c r="M480" s="52"/>
    </row>
    <row r="481" spans="1:28" x14ac:dyDescent="0.25">
      <c r="A481" t="s">
        <v>244</v>
      </c>
      <c r="B481" t="s">
        <v>533</v>
      </c>
      <c r="C481">
        <v>5.5</v>
      </c>
      <c r="D481" t="s">
        <v>534</v>
      </c>
      <c r="E481" t="s">
        <v>545</v>
      </c>
      <c r="F481" t="s">
        <v>543</v>
      </c>
      <c r="G481" t="s">
        <v>544</v>
      </c>
      <c r="H481">
        <v>37.51</v>
      </c>
      <c r="I481">
        <v>6.82</v>
      </c>
      <c r="J481">
        <v>150</v>
      </c>
      <c r="K481">
        <v>0</v>
      </c>
      <c r="L481" s="3">
        <v>46216</v>
      </c>
      <c r="M481" s="3">
        <v>46216.298611111109</v>
      </c>
      <c r="O481" t="s">
        <v>87</v>
      </c>
      <c r="AA481" t="s">
        <v>25</v>
      </c>
      <c r="AB481" t="s">
        <v>26</v>
      </c>
    </row>
    <row r="482" spans="1:28" x14ac:dyDescent="0.25">
      <c r="A482" t="s">
        <v>244</v>
      </c>
      <c r="B482" t="s">
        <v>533</v>
      </c>
      <c r="C482">
        <v>5.5</v>
      </c>
      <c r="D482" t="s">
        <v>534</v>
      </c>
      <c r="E482" t="s">
        <v>548</v>
      </c>
      <c r="F482" t="s">
        <v>543</v>
      </c>
      <c r="G482" t="s">
        <v>544</v>
      </c>
      <c r="H482">
        <v>149.98500000000001</v>
      </c>
      <c r="I482">
        <v>27.27</v>
      </c>
      <c r="J482">
        <v>600</v>
      </c>
      <c r="K482">
        <v>0</v>
      </c>
      <c r="L482" s="3">
        <v>46223</v>
      </c>
      <c r="M482" s="3">
        <v>46224.152777777781</v>
      </c>
      <c r="O482" t="s">
        <v>87</v>
      </c>
      <c r="AA482" t="s">
        <v>25</v>
      </c>
      <c r="AB482" t="s">
        <v>26</v>
      </c>
    </row>
    <row r="483" spans="1:28" x14ac:dyDescent="0.25">
      <c r="A483" t="s">
        <v>244</v>
      </c>
      <c r="B483" t="s">
        <v>533</v>
      </c>
      <c r="C483">
        <v>4</v>
      </c>
      <c r="E483" s="58" t="s">
        <v>540</v>
      </c>
      <c r="F483" s="58" t="s">
        <v>541</v>
      </c>
      <c r="G483" s="58" t="s">
        <v>1498</v>
      </c>
      <c r="H483">
        <v>100</v>
      </c>
      <c r="I483">
        <v>25</v>
      </c>
      <c r="J483">
        <v>300</v>
      </c>
      <c r="K483">
        <v>0</v>
      </c>
      <c r="L483" s="3">
        <v>46216.305555555555</v>
      </c>
      <c r="M483" s="3">
        <v>46217.361111111109</v>
      </c>
      <c r="AA483" t="s">
        <v>25</v>
      </c>
      <c r="AB483" t="s">
        <v>26</v>
      </c>
    </row>
    <row r="484" spans="1:28" s="51" customFormat="1" x14ac:dyDescent="0.25">
      <c r="L484" s="52"/>
      <c r="M484" s="52"/>
    </row>
    <row r="485" spans="1:28" x14ac:dyDescent="0.25">
      <c r="A485" t="s">
        <v>244</v>
      </c>
      <c r="B485" t="s">
        <v>533</v>
      </c>
      <c r="C485">
        <v>5.5</v>
      </c>
      <c r="D485" t="s">
        <v>534</v>
      </c>
      <c r="E485" t="s">
        <v>547</v>
      </c>
      <c r="F485" t="s">
        <v>543</v>
      </c>
      <c r="G485" t="s">
        <v>544</v>
      </c>
      <c r="H485">
        <v>37.51</v>
      </c>
      <c r="I485">
        <v>6.82</v>
      </c>
      <c r="J485">
        <v>300</v>
      </c>
      <c r="K485">
        <v>0</v>
      </c>
      <c r="L485" s="3">
        <v>46223</v>
      </c>
      <c r="M485" s="3">
        <v>46223.298611111109</v>
      </c>
      <c r="AA485" t="s">
        <v>25</v>
      </c>
      <c r="AB485" t="s">
        <v>26</v>
      </c>
    </row>
    <row r="486" spans="1:28" x14ac:dyDescent="0.25">
      <c r="A486" t="s">
        <v>244</v>
      </c>
      <c r="B486" t="s">
        <v>533</v>
      </c>
      <c r="C486">
        <v>5.5</v>
      </c>
      <c r="D486" t="s">
        <v>534</v>
      </c>
      <c r="E486" t="s">
        <v>549</v>
      </c>
      <c r="F486" t="s">
        <v>535</v>
      </c>
      <c r="G486" t="s">
        <v>536</v>
      </c>
      <c r="H486">
        <v>37.51</v>
      </c>
      <c r="I486">
        <v>6.82</v>
      </c>
      <c r="J486">
        <v>300</v>
      </c>
      <c r="K486">
        <v>0</v>
      </c>
      <c r="L486" s="3">
        <v>46223.305555555555</v>
      </c>
      <c r="M486" s="3">
        <v>46223.604166666664</v>
      </c>
      <c r="AA486" t="s">
        <v>25</v>
      </c>
      <c r="AB486" t="s">
        <v>26</v>
      </c>
    </row>
    <row r="487" spans="1:28" x14ac:dyDescent="0.25">
      <c r="A487" t="s">
        <v>244</v>
      </c>
      <c r="B487" t="s">
        <v>533</v>
      </c>
      <c r="C487">
        <v>4</v>
      </c>
      <c r="E487" t="s">
        <v>537</v>
      </c>
      <c r="F487" t="s">
        <v>538</v>
      </c>
      <c r="G487" t="s">
        <v>539</v>
      </c>
      <c r="H487">
        <v>150</v>
      </c>
      <c r="I487">
        <v>37.5</v>
      </c>
      <c r="J487">
        <v>450</v>
      </c>
      <c r="K487">
        <v>0</v>
      </c>
      <c r="L487" s="3">
        <v>46209</v>
      </c>
      <c r="M487" s="3">
        <v>46210.576388888891</v>
      </c>
      <c r="O487" t="s">
        <v>87</v>
      </c>
      <c r="AA487" t="s">
        <v>25</v>
      </c>
      <c r="AB487" t="s">
        <v>26</v>
      </c>
    </row>
    <row r="488" spans="1:28" s="51" customFormat="1" x14ac:dyDescent="0.25">
      <c r="L488" s="52"/>
      <c r="M488" s="52"/>
    </row>
    <row r="489" spans="1:28" x14ac:dyDescent="0.25">
      <c r="A489" t="s">
        <v>244</v>
      </c>
      <c r="B489" t="s">
        <v>533</v>
      </c>
      <c r="C489">
        <v>5.5</v>
      </c>
      <c r="D489" t="s">
        <v>534</v>
      </c>
      <c r="E489" t="s">
        <v>550</v>
      </c>
      <c r="F489" t="s">
        <v>535</v>
      </c>
      <c r="G489" t="s">
        <v>536</v>
      </c>
      <c r="H489">
        <v>75.02</v>
      </c>
      <c r="I489">
        <v>13.64</v>
      </c>
      <c r="J489">
        <v>300</v>
      </c>
      <c r="K489">
        <v>0</v>
      </c>
      <c r="L489" s="3">
        <v>46230</v>
      </c>
      <c r="M489" s="3">
        <v>46230.583333333336</v>
      </c>
      <c r="AA489" t="s">
        <v>25</v>
      </c>
      <c r="AB489" t="s">
        <v>26</v>
      </c>
    </row>
    <row r="490" spans="1:28" x14ac:dyDescent="0.25">
      <c r="A490" t="s">
        <v>244</v>
      </c>
      <c r="B490" t="s">
        <v>533</v>
      </c>
      <c r="C490">
        <v>5.5</v>
      </c>
      <c r="D490" t="s">
        <v>534</v>
      </c>
      <c r="E490" t="s">
        <v>551</v>
      </c>
      <c r="F490" t="s">
        <v>543</v>
      </c>
      <c r="G490" t="s">
        <v>544</v>
      </c>
      <c r="H490">
        <v>149.98500000000001</v>
      </c>
      <c r="I490">
        <v>27.27</v>
      </c>
      <c r="J490">
        <v>600</v>
      </c>
      <c r="K490">
        <v>0</v>
      </c>
      <c r="L490" s="3">
        <v>46230</v>
      </c>
      <c r="M490" s="3">
        <v>46231.152777777781</v>
      </c>
      <c r="AA490" t="s">
        <v>25</v>
      </c>
      <c r="AB490" t="s">
        <v>26</v>
      </c>
    </row>
    <row r="492" spans="1:28" x14ac:dyDescent="0.25">
      <c r="A492" t="s">
        <v>244</v>
      </c>
      <c r="B492" t="s">
        <v>533</v>
      </c>
      <c r="C492">
        <v>5.5</v>
      </c>
      <c r="D492" t="s">
        <v>534</v>
      </c>
      <c r="E492" t="s">
        <v>1420</v>
      </c>
      <c r="F492" t="s">
        <v>535</v>
      </c>
      <c r="G492" t="s">
        <v>536</v>
      </c>
      <c r="H492">
        <v>75.02</v>
      </c>
      <c r="I492">
        <v>13.64</v>
      </c>
      <c r="J492">
        <v>300</v>
      </c>
      <c r="K492">
        <v>0</v>
      </c>
      <c r="L492" s="3">
        <v>46237.958333333336</v>
      </c>
      <c r="M492" s="3">
        <v>46238.541666666664</v>
      </c>
      <c r="AA492" t="s">
        <v>25</v>
      </c>
      <c r="AB492" t="s">
        <v>26</v>
      </c>
    </row>
    <row r="493" spans="1:28" x14ac:dyDescent="0.25">
      <c r="A493" t="s">
        <v>244</v>
      </c>
      <c r="B493" t="s">
        <v>533</v>
      </c>
      <c r="C493">
        <v>5.5</v>
      </c>
      <c r="D493" t="s">
        <v>534</v>
      </c>
      <c r="E493" t="s">
        <v>1421</v>
      </c>
      <c r="F493" t="s">
        <v>543</v>
      </c>
      <c r="G493" t="s">
        <v>544</v>
      </c>
      <c r="H493">
        <v>75.02</v>
      </c>
      <c r="I493">
        <v>13.64</v>
      </c>
      <c r="J493">
        <v>300</v>
      </c>
      <c r="K493">
        <v>0</v>
      </c>
      <c r="L493" s="3">
        <v>46237.958333333336</v>
      </c>
      <c r="M493" s="3">
        <v>46238.541666666664</v>
      </c>
      <c r="AA493" t="s">
        <v>25</v>
      </c>
      <c r="AB493" t="s">
        <v>26</v>
      </c>
    </row>
    <row r="494" spans="1:28" x14ac:dyDescent="0.25">
      <c r="A494" t="s">
        <v>244</v>
      </c>
      <c r="B494" t="s">
        <v>533</v>
      </c>
      <c r="C494">
        <v>4</v>
      </c>
      <c r="E494" t="s">
        <v>1422</v>
      </c>
      <c r="F494" t="s">
        <v>1423</v>
      </c>
      <c r="G494" t="s">
        <v>1424</v>
      </c>
      <c r="H494">
        <v>100</v>
      </c>
      <c r="I494">
        <v>25</v>
      </c>
      <c r="J494">
        <v>300</v>
      </c>
      <c r="K494">
        <v>0</v>
      </c>
      <c r="L494" s="3">
        <v>46238.548611111109</v>
      </c>
      <c r="M494" s="3">
        <v>46239.604166666664</v>
      </c>
      <c r="AA494" t="s">
        <v>25</v>
      </c>
      <c r="AB494" t="s">
        <v>26</v>
      </c>
    </row>
    <row r="495" spans="1:28" s="51" customFormat="1" x14ac:dyDescent="0.25">
      <c r="L495" s="52"/>
      <c r="M495" s="52"/>
    </row>
    <row r="496" spans="1:28" x14ac:dyDescent="0.25">
      <c r="A496" t="s">
        <v>244</v>
      </c>
      <c r="B496" t="s">
        <v>533</v>
      </c>
      <c r="C496">
        <v>5.5</v>
      </c>
      <c r="D496" t="s">
        <v>534</v>
      </c>
      <c r="E496" t="s">
        <v>1425</v>
      </c>
      <c r="F496" t="s">
        <v>535</v>
      </c>
      <c r="G496" t="s">
        <v>536</v>
      </c>
      <c r="H496">
        <v>75.02</v>
      </c>
      <c r="I496">
        <v>13.64</v>
      </c>
      <c r="J496">
        <v>300</v>
      </c>
      <c r="K496">
        <v>0</v>
      </c>
      <c r="L496" s="3">
        <v>46244</v>
      </c>
      <c r="M496" s="3">
        <v>46244.583333333336</v>
      </c>
      <c r="AA496" t="s">
        <v>25</v>
      </c>
      <c r="AB496" t="s">
        <v>26</v>
      </c>
    </row>
    <row r="497" spans="1:28" s="4" customFormat="1" ht="15.75" thickBot="1" x14ac:dyDescent="0.3">
      <c r="A497" s="4" t="s">
        <v>244</v>
      </c>
      <c r="B497" s="4" t="s">
        <v>533</v>
      </c>
      <c r="C497" s="4">
        <v>5.5</v>
      </c>
      <c r="D497" s="4" t="s">
        <v>534</v>
      </c>
      <c r="E497" s="4" t="s">
        <v>1426</v>
      </c>
      <c r="F497" s="4" t="s">
        <v>543</v>
      </c>
      <c r="G497" s="4" t="s">
        <v>544</v>
      </c>
      <c r="H497" s="4">
        <v>149.98500000000001</v>
      </c>
      <c r="I497" s="4">
        <v>27.27</v>
      </c>
      <c r="J497" s="4">
        <v>600</v>
      </c>
      <c r="K497" s="4">
        <v>0</v>
      </c>
      <c r="L497" s="40">
        <v>46244</v>
      </c>
      <c r="M497" s="40">
        <v>46245.152777777781</v>
      </c>
      <c r="AA497" s="4" t="s">
        <v>25</v>
      </c>
      <c r="AB497" s="4" t="s">
        <v>26</v>
      </c>
    </row>
    <row r="498" spans="1:28" s="13" customFormat="1" x14ac:dyDescent="0.25">
      <c r="A498" s="13" t="s">
        <v>244</v>
      </c>
      <c r="B498" s="13" t="s">
        <v>565</v>
      </c>
      <c r="C498" s="13">
        <v>7</v>
      </c>
      <c r="E498" s="13" t="s">
        <v>566</v>
      </c>
      <c r="F498" s="13" t="s">
        <v>567</v>
      </c>
      <c r="G498" s="13" t="s">
        <v>568</v>
      </c>
      <c r="H498" s="13">
        <v>188.16</v>
      </c>
      <c r="I498" s="13">
        <v>24.58</v>
      </c>
      <c r="J498" s="13">
        <v>840</v>
      </c>
      <c r="K498" s="13">
        <v>72</v>
      </c>
      <c r="L498" s="47">
        <v>46208.958333333336</v>
      </c>
      <c r="M498" s="47">
        <v>46209.979166666664</v>
      </c>
      <c r="AA498" s="13" t="s">
        <v>25</v>
      </c>
      <c r="AB498" s="13" t="s">
        <v>26</v>
      </c>
    </row>
    <row r="499" spans="1:28" x14ac:dyDescent="0.25">
      <c r="A499" t="s">
        <v>244</v>
      </c>
      <c r="B499" t="s">
        <v>565</v>
      </c>
      <c r="C499">
        <v>7</v>
      </c>
      <c r="E499" s="6" t="s">
        <v>569</v>
      </c>
      <c r="F499" s="6" t="s">
        <v>567</v>
      </c>
      <c r="G499" s="6" t="s">
        <v>568</v>
      </c>
      <c r="H499" s="6">
        <v>188.16</v>
      </c>
      <c r="I499" s="6">
        <v>26.88</v>
      </c>
      <c r="J499" s="6">
        <v>840</v>
      </c>
      <c r="K499">
        <v>0</v>
      </c>
      <c r="L499" s="3">
        <v>46209.986111111109</v>
      </c>
      <c r="M499" s="3">
        <v>46211.4375</v>
      </c>
      <c r="O499" t="s">
        <v>87</v>
      </c>
      <c r="AA499" t="s">
        <v>25</v>
      </c>
      <c r="AB499" t="s">
        <v>26</v>
      </c>
    </row>
    <row r="500" spans="1:28" x14ac:dyDescent="0.25">
      <c r="A500" t="s">
        <v>244</v>
      </c>
      <c r="B500" t="s">
        <v>565</v>
      </c>
      <c r="C500">
        <v>7</v>
      </c>
      <c r="E500" t="s">
        <v>570</v>
      </c>
      <c r="F500" t="s">
        <v>567</v>
      </c>
      <c r="G500" t="s">
        <v>568</v>
      </c>
      <c r="H500">
        <v>188.16</v>
      </c>
      <c r="I500">
        <v>26.88</v>
      </c>
      <c r="J500">
        <v>840</v>
      </c>
      <c r="K500">
        <v>0</v>
      </c>
      <c r="L500" s="3">
        <v>46211.444444444445</v>
      </c>
      <c r="M500" s="3">
        <v>46212.895833333336</v>
      </c>
      <c r="O500" t="s">
        <v>87</v>
      </c>
      <c r="AA500" t="s">
        <v>25</v>
      </c>
      <c r="AB500" t="s">
        <v>26</v>
      </c>
    </row>
    <row r="501" spans="1:28" x14ac:dyDescent="0.25">
      <c r="A501" t="s">
        <v>244</v>
      </c>
      <c r="B501" t="s">
        <v>565</v>
      </c>
      <c r="C501">
        <v>7</v>
      </c>
      <c r="E501" t="s">
        <v>1430</v>
      </c>
      <c r="F501" t="s">
        <v>567</v>
      </c>
      <c r="G501" t="s">
        <v>568</v>
      </c>
      <c r="H501">
        <v>134.4</v>
      </c>
      <c r="I501">
        <v>19.2</v>
      </c>
      <c r="J501">
        <v>600</v>
      </c>
      <c r="K501">
        <v>0</v>
      </c>
      <c r="L501" s="3">
        <v>46212.902777777781</v>
      </c>
      <c r="M501" s="3">
        <v>46214.034722222219</v>
      </c>
      <c r="AA501" t="s">
        <v>25</v>
      </c>
      <c r="AB501" t="s">
        <v>26</v>
      </c>
    </row>
    <row r="502" spans="1:28" x14ac:dyDescent="0.25">
      <c r="A502" t="s">
        <v>244</v>
      </c>
      <c r="B502" t="s">
        <v>565</v>
      </c>
      <c r="C502">
        <v>2</v>
      </c>
      <c r="E502" t="s">
        <v>573</v>
      </c>
      <c r="F502" t="s">
        <v>574</v>
      </c>
      <c r="G502" t="s">
        <v>575</v>
      </c>
      <c r="H502">
        <v>30</v>
      </c>
      <c r="I502">
        <v>15</v>
      </c>
      <c r="J502">
        <v>600</v>
      </c>
      <c r="K502">
        <v>0</v>
      </c>
      <c r="L502" s="3">
        <v>46216</v>
      </c>
      <c r="M502" s="3">
        <v>46216.618055555555</v>
      </c>
      <c r="AA502" t="s">
        <v>25</v>
      </c>
      <c r="AB502" t="s">
        <v>26</v>
      </c>
    </row>
    <row r="503" spans="1:28" x14ac:dyDescent="0.25">
      <c r="A503" t="s">
        <v>244</v>
      </c>
      <c r="B503" t="s">
        <v>565</v>
      </c>
      <c r="C503">
        <v>2</v>
      </c>
      <c r="E503" t="s">
        <v>576</v>
      </c>
      <c r="F503" t="s">
        <v>574</v>
      </c>
      <c r="G503" t="s">
        <v>575</v>
      </c>
      <c r="H503">
        <v>30</v>
      </c>
      <c r="I503">
        <v>15</v>
      </c>
      <c r="J503">
        <v>600</v>
      </c>
      <c r="K503">
        <v>0</v>
      </c>
      <c r="L503" s="3">
        <v>46216.625</v>
      </c>
      <c r="M503" s="3">
        <v>46217.243055555555</v>
      </c>
      <c r="AA503" t="s">
        <v>25</v>
      </c>
      <c r="AB503" t="s">
        <v>26</v>
      </c>
    </row>
    <row r="504" spans="1:28" x14ac:dyDescent="0.25">
      <c r="A504" t="s">
        <v>244</v>
      </c>
      <c r="B504" t="s">
        <v>565</v>
      </c>
      <c r="C504">
        <v>2</v>
      </c>
      <c r="E504" t="s">
        <v>577</v>
      </c>
      <c r="F504" t="s">
        <v>574</v>
      </c>
      <c r="G504" t="s">
        <v>575</v>
      </c>
      <c r="H504">
        <v>30</v>
      </c>
      <c r="I504">
        <v>15</v>
      </c>
      <c r="J504">
        <v>600</v>
      </c>
      <c r="K504">
        <v>0</v>
      </c>
      <c r="L504" s="3">
        <v>46217.25</v>
      </c>
      <c r="M504" s="3">
        <v>46217.868055555555</v>
      </c>
      <c r="AA504" t="s">
        <v>25</v>
      </c>
      <c r="AB504" t="s">
        <v>26</v>
      </c>
    </row>
    <row r="505" spans="1:28" x14ac:dyDescent="0.25">
      <c r="A505" t="s">
        <v>244</v>
      </c>
      <c r="B505" t="s">
        <v>565</v>
      </c>
      <c r="C505">
        <v>2</v>
      </c>
      <c r="E505" t="s">
        <v>578</v>
      </c>
      <c r="F505" t="s">
        <v>579</v>
      </c>
      <c r="G505" t="s">
        <v>580</v>
      </c>
      <c r="H505">
        <v>30</v>
      </c>
      <c r="I505">
        <v>15</v>
      </c>
      <c r="J505">
        <v>600</v>
      </c>
      <c r="K505">
        <v>0</v>
      </c>
      <c r="L505" s="3">
        <v>46217.875</v>
      </c>
      <c r="M505" s="3">
        <v>46218.493055555555</v>
      </c>
      <c r="AA505" t="s">
        <v>25</v>
      </c>
      <c r="AB505" t="s">
        <v>26</v>
      </c>
    </row>
    <row r="506" spans="1:28" x14ac:dyDescent="0.25">
      <c r="A506" t="s">
        <v>244</v>
      </c>
      <c r="B506" t="s">
        <v>565</v>
      </c>
      <c r="C506">
        <v>2</v>
      </c>
      <c r="E506" t="s">
        <v>581</v>
      </c>
      <c r="F506" t="s">
        <v>579</v>
      </c>
      <c r="G506" t="s">
        <v>580</v>
      </c>
      <c r="H506">
        <v>30</v>
      </c>
      <c r="I506">
        <v>15</v>
      </c>
      <c r="J506">
        <v>600</v>
      </c>
      <c r="K506">
        <v>0</v>
      </c>
      <c r="L506" s="3">
        <v>46218.5</v>
      </c>
      <c r="M506" s="3">
        <v>46219.118055555555</v>
      </c>
      <c r="AA506" t="s">
        <v>25</v>
      </c>
      <c r="AB506" t="s">
        <v>26</v>
      </c>
    </row>
    <row r="507" spans="1:28" x14ac:dyDescent="0.25">
      <c r="A507" t="s">
        <v>244</v>
      </c>
      <c r="B507" t="s">
        <v>565</v>
      </c>
      <c r="C507">
        <v>2</v>
      </c>
      <c r="E507" t="s">
        <v>582</v>
      </c>
      <c r="F507" t="s">
        <v>579</v>
      </c>
      <c r="G507" t="s">
        <v>580</v>
      </c>
      <c r="H507">
        <v>30</v>
      </c>
      <c r="I507">
        <v>15</v>
      </c>
      <c r="J507">
        <v>600</v>
      </c>
      <c r="K507">
        <v>0</v>
      </c>
      <c r="L507" s="3">
        <v>46219.125</v>
      </c>
      <c r="M507" s="3">
        <v>46219.743055555555</v>
      </c>
      <c r="AA507" t="s">
        <v>25</v>
      </c>
      <c r="AB507" t="s">
        <v>26</v>
      </c>
    </row>
    <row r="508" spans="1:28" x14ac:dyDescent="0.25">
      <c r="A508" t="s">
        <v>244</v>
      </c>
      <c r="B508" t="s">
        <v>565</v>
      </c>
      <c r="C508">
        <v>2</v>
      </c>
      <c r="E508" t="s">
        <v>583</v>
      </c>
      <c r="F508" t="s">
        <v>584</v>
      </c>
      <c r="G508" t="s">
        <v>585</v>
      </c>
      <c r="H508">
        <v>66.66</v>
      </c>
      <c r="I508">
        <v>33.33</v>
      </c>
      <c r="J508">
        <v>1200</v>
      </c>
      <c r="K508">
        <v>0</v>
      </c>
      <c r="L508" s="3">
        <v>46223</v>
      </c>
      <c r="M508" s="3">
        <v>46224.381944444445</v>
      </c>
      <c r="AA508" t="s">
        <v>25</v>
      </c>
      <c r="AB508" t="s">
        <v>26</v>
      </c>
    </row>
    <row r="509" spans="1:28" x14ac:dyDescent="0.25">
      <c r="A509" t="s">
        <v>244</v>
      </c>
      <c r="B509" t="s">
        <v>565</v>
      </c>
      <c r="C509">
        <v>2</v>
      </c>
      <c r="E509" t="s">
        <v>586</v>
      </c>
      <c r="F509" t="s">
        <v>584</v>
      </c>
      <c r="G509" t="s">
        <v>585</v>
      </c>
      <c r="H509">
        <v>66.66</v>
      </c>
      <c r="I509">
        <v>33.33</v>
      </c>
      <c r="J509">
        <v>1200</v>
      </c>
      <c r="K509">
        <v>0</v>
      </c>
      <c r="L509" s="3">
        <v>46224.388888888891</v>
      </c>
      <c r="M509" s="3">
        <v>46225.770833333336</v>
      </c>
      <c r="AA509" t="s">
        <v>25</v>
      </c>
      <c r="AB509" t="s">
        <v>26</v>
      </c>
    </row>
    <row r="510" spans="1:28" x14ac:dyDescent="0.25">
      <c r="A510" t="s">
        <v>244</v>
      </c>
      <c r="B510" t="s">
        <v>565</v>
      </c>
      <c r="C510">
        <v>6</v>
      </c>
      <c r="E510" t="s">
        <v>587</v>
      </c>
      <c r="F510" t="s">
        <v>588</v>
      </c>
      <c r="G510" t="s">
        <v>589</v>
      </c>
      <c r="H510">
        <v>49.98</v>
      </c>
      <c r="I510">
        <v>8.33</v>
      </c>
      <c r="J510">
        <v>1000</v>
      </c>
      <c r="K510">
        <v>0</v>
      </c>
      <c r="L510" s="3">
        <v>46225.777777777781</v>
      </c>
      <c r="M510" s="3">
        <v>46226.118055555555</v>
      </c>
      <c r="AA510" t="s">
        <v>25</v>
      </c>
      <c r="AB510" t="s">
        <v>26</v>
      </c>
    </row>
    <row r="511" spans="1:28" x14ac:dyDescent="0.25">
      <c r="A511" t="s">
        <v>244</v>
      </c>
      <c r="B511" t="s">
        <v>565</v>
      </c>
      <c r="C511">
        <v>2</v>
      </c>
      <c r="E511" t="s">
        <v>590</v>
      </c>
      <c r="F511" t="s">
        <v>571</v>
      </c>
      <c r="G511" t="s">
        <v>572</v>
      </c>
      <c r="H511">
        <v>66.66</v>
      </c>
      <c r="I511">
        <v>33.33</v>
      </c>
      <c r="J511">
        <v>1200</v>
      </c>
      <c r="K511">
        <v>0</v>
      </c>
      <c r="L511" s="3">
        <v>46230</v>
      </c>
      <c r="M511" s="3">
        <v>46231.381944444445</v>
      </c>
      <c r="AA511" t="s">
        <v>25</v>
      </c>
      <c r="AB511" t="s">
        <v>26</v>
      </c>
    </row>
    <row r="512" spans="1:28" x14ac:dyDescent="0.25">
      <c r="A512" t="s">
        <v>244</v>
      </c>
      <c r="B512" t="s">
        <v>565</v>
      </c>
      <c r="C512">
        <v>2</v>
      </c>
      <c r="E512" t="s">
        <v>1431</v>
      </c>
      <c r="F512" t="s">
        <v>571</v>
      </c>
      <c r="G512" t="s">
        <v>572</v>
      </c>
      <c r="H512">
        <v>66.66</v>
      </c>
      <c r="I512">
        <v>33.33</v>
      </c>
      <c r="J512">
        <v>1200</v>
      </c>
      <c r="K512">
        <v>0</v>
      </c>
      <c r="L512" s="3">
        <v>46231.388888888891</v>
      </c>
      <c r="M512" s="3">
        <v>46232.770833333336</v>
      </c>
      <c r="AA512" t="s">
        <v>25</v>
      </c>
      <c r="AB512" t="s">
        <v>26</v>
      </c>
    </row>
    <row r="513" spans="1:28" x14ac:dyDescent="0.25">
      <c r="A513" t="s">
        <v>244</v>
      </c>
      <c r="B513" t="s">
        <v>565</v>
      </c>
      <c r="C513">
        <v>2</v>
      </c>
      <c r="E513" t="s">
        <v>1432</v>
      </c>
      <c r="F513" t="s">
        <v>571</v>
      </c>
      <c r="G513" t="s">
        <v>572</v>
      </c>
      <c r="H513">
        <v>66.66</v>
      </c>
      <c r="I513">
        <v>33.33</v>
      </c>
      <c r="J513">
        <v>1200</v>
      </c>
      <c r="K513">
        <v>0</v>
      </c>
      <c r="L513" s="3">
        <v>46232.777777777781</v>
      </c>
      <c r="M513" s="3">
        <v>46234.159722222219</v>
      </c>
      <c r="AA513" t="s">
        <v>25</v>
      </c>
      <c r="AB513" t="s">
        <v>26</v>
      </c>
    </row>
    <row r="514" spans="1:28" x14ac:dyDescent="0.25">
      <c r="A514" t="s">
        <v>244</v>
      </c>
      <c r="B514" t="s">
        <v>565</v>
      </c>
      <c r="C514">
        <v>2</v>
      </c>
      <c r="E514" t="s">
        <v>1433</v>
      </c>
      <c r="F514" t="s">
        <v>1434</v>
      </c>
      <c r="G514" t="s">
        <v>1435</v>
      </c>
      <c r="H514">
        <v>30</v>
      </c>
      <c r="I514">
        <v>15</v>
      </c>
      <c r="J514">
        <v>600</v>
      </c>
      <c r="K514">
        <v>0</v>
      </c>
      <c r="L514" s="3">
        <v>46234.166666666664</v>
      </c>
      <c r="M514" s="3">
        <v>46234.784722222219</v>
      </c>
      <c r="AA514" t="s">
        <v>25</v>
      </c>
      <c r="AB514" t="s">
        <v>26</v>
      </c>
    </row>
    <row r="515" spans="1:28" x14ac:dyDescent="0.25">
      <c r="A515" t="s">
        <v>244</v>
      </c>
      <c r="B515" t="s">
        <v>565</v>
      </c>
      <c r="C515">
        <v>2</v>
      </c>
      <c r="E515" t="s">
        <v>1436</v>
      </c>
      <c r="F515" t="s">
        <v>584</v>
      </c>
      <c r="G515" t="s">
        <v>585</v>
      </c>
      <c r="H515">
        <v>66.66</v>
      </c>
      <c r="I515">
        <v>33.33</v>
      </c>
      <c r="J515">
        <v>1200</v>
      </c>
      <c r="K515">
        <v>0</v>
      </c>
      <c r="L515" s="3">
        <v>46237.958333333336</v>
      </c>
      <c r="M515" s="3">
        <v>46239.340277777781</v>
      </c>
      <c r="AA515" t="s">
        <v>25</v>
      </c>
      <c r="AB515" t="s">
        <v>26</v>
      </c>
    </row>
    <row r="516" spans="1:28" x14ac:dyDescent="0.25">
      <c r="A516" t="s">
        <v>244</v>
      </c>
      <c r="B516" t="s">
        <v>565</v>
      </c>
      <c r="C516">
        <v>2</v>
      </c>
      <c r="E516" t="s">
        <v>1437</v>
      </c>
      <c r="F516" t="s">
        <v>584</v>
      </c>
      <c r="G516" t="s">
        <v>585</v>
      </c>
      <c r="H516">
        <v>66.66</v>
      </c>
      <c r="I516">
        <v>33.33</v>
      </c>
      <c r="J516">
        <v>1200</v>
      </c>
      <c r="K516">
        <v>0</v>
      </c>
      <c r="L516" s="3">
        <v>46239.347222222219</v>
      </c>
      <c r="M516" s="3">
        <v>46240.729166666664</v>
      </c>
      <c r="AA516" t="s">
        <v>25</v>
      </c>
      <c r="AB516" t="s">
        <v>26</v>
      </c>
    </row>
    <row r="517" spans="1:28" s="4" customFormat="1" ht="15.75" thickBot="1" x14ac:dyDescent="0.3">
      <c r="A517" s="4" t="s">
        <v>244</v>
      </c>
      <c r="B517" s="4" t="s">
        <v>565</v>
      </c>
      <c r="C517" s="4">
        <v>2</v>
      </c>
      <c r="E517" s="4" t="s">
        <v>1438</v>
      </c>
      <c r="F517" s="4" t="s">
        <v>584</v>
      </c>
      <c r="G517" s="4" t="s">
        <v>585</v>
      </c>
      <c r="H517" s="4">
        <v>66.66</v>
      </c>
      <c r="I517" s="4">
        <v>33.33</v>
      </c>
      <c r="J517" s="4">
        <v>1200</v>
      </c>
      <c r="K517" s="4">
        <v>0</v>
      </c>
      <c r="L517" s="40">
        <v>46240.736111111109</v>
      </c>
      <c r="M517" s="40">
        <v>46242.118055555555</v>
      </c>
      <c r="AA517" s="4" t="s">
        <v>25</v>
      </c>
      <c r="AB517" s="4" t="s">
        <v>26</v>
      </c>
    </row>
    <row r="518" spans="1:28" s="10" customFormat="1" x14ac:dyDescent="0.25">
      <c r="A518" s="10" t="s">
        <v>707</v>
      </c>
      <c r="B518" s="10">
        <v>39</v>
      </c>
      <c r="C518" s="10">
        <v>2</v>
      </c>
      <c r="E518" s="6" t="s">
        <v>938</v>
      </c>
      <c r="F518" s="6" t="s">
        <v>936</v>
      </c>
      <c r="G518" s="6" t="s">
        <v>937</v>
      </c>
      <c r="H518" s="6">
        <v>157.9</v>
      </c>
      <c r="I518" s="6">
        <v>78.95</v>
      </c>
      <c r="J518" s="6">
        <v>30000</v>
      </c>
      <c r="K518" s="10">
        <v>0</v>
      </c>
      <c r="L518" s="37">
        <v>46209.576388888891</v>
      </c>
      <c r="M518" s="37">
        <v>46212.881944444445</v>
      </c>
      <c r="AA518" s="10" t="s">
        <v>25</v>
      </c>
      <c r="AB518" s="10" t="s">
        <v>26</v>
      </c>
    </row>
    <row r="519" spans="1:28" x14ac:dyDescent="0.25">
      <c r="A519" t="s">
        <v>707</v>
      </c>
      <c r="B519">
        <v>39</v>
      </c>
      <c r="C519">
        <v>2</v>
      </c>
      <c r="E519" t="s">
        <v>939</v>
      </c>
      <c r="F519" t="s">
        <v>936</v>
      </c>
      <c r="G519" t="s">
        <v>937</v>
      </c>
      <c r="H519">
        <v>157.9</v>
      </c>
      <c r="I519">
        <v>78.95</v>
      </c>
      <c r="J519">
        <v>30000</v>
      </c>
      <c r="K519">
        <v>0</v>
      </c>
      <c r="L519" s="3">
        <v>46212.888888888891</v>
      </c>
      <c r="M519" s="3">
        <v>46216.194444444445</v>
      </c>
      <c r="AA519" t="s">
        <v>25</v>
      </c>
      <c r="AB519" t="s">
        <v>26</v>
      </c>
    </row>
    <row r="520" spans="1:28" x14ac:dyDescent="0.25">
      <c r="A520" t="s">
        <v>707</v>
      </c>
      <c r="B520">
        <v>39</v>
      </c>
      <c r="C520">
        <v>2</v>
      </c>
      <c r="E520" t="s">
        <v>940</v>
      </c>
      <c r="F520" t="s">
        <v>936</v>
      </c>
      <c r="G520" t="s">
        <v>937</v>
      </c>
      <c r="H520">
        <v>157.9</v>
      </c>
      <c r="I520">
        <v>78.95</v>
      </c>
      <c r="J520">
        <v>30000</v>
      </c>
      <c r="K520">
        <v>0</v>
      </c>
      <c r="L520" s="3">
        <v>46216.201388888891</v>
      </c>
      <c r="M520" s="3">
        <v>46219.506944444445</v>
      </c>
      <c r="AA520" t="s">
        <v>25</v>
      </c>
      <c r="AB520" t="s">
        <v>26</v>
      </c>
    </row>
    <row r="521" spans="1:28" x14ac:dyDescent="0.25">
      <c r="A521" t="s">
        <v>707</v>
      </c>
      <c r="B521">
        <v>39</v>
      </c>
      <c r="C521">
        <v>2</v>
      </c>
      <c r="E521" t="s">
        <v>941</v>
      </c>
      <c r="F521" t="s">
        <v>936</v>
      </c>
      <c r="G521" t="s">
        <v>937</v>
      </c>
      <c r="H521">
        <v>157.9</v>
      </c>
      <c r="I521">
        <v>78.95</v>
      </c>
      <c r="J521">
        <v>30000</v>
      </c>
      <c r="K521">
        <v>0</v>
      </c>
      <c r="L521" s="3">
        <v>46219.513888888891</v>
      </c>
      <c r="M521" s="3">
        <v>46222.819444444445</v>
      </c>
      <c r="AA521" t="s">
        <v>25</v>
      </c>
      <c r="AB521" t="s">
        <v>26</v>
      </c>
    </row>
    <row r="522" spans="1:28" x14ac:dyDescent="0.25">
      <c r="A522" t="s">
        <v>707</v>
      </c>
      <c r="B522">
        <v>39</v>
      </c>
      <c r="C522">
        <v>1</v>
      </c>
      <c r="D522" t="s">
        <v>1471</v>
      </c>
      <c r="E522" t="s">
        <v>1472</v>
      </c>
      <c r="F522" t="s">
        <v>1473</v>
      </c>
      <c r="G522" t="s">
        <v>1474</v>
      </c>
      <c r="H522">
        <v>13.33</v>
      </c>
      <c r="I522">
        <v>13.33</v>
      </c>
      <c r="J522">
        <v>4000</v>
      </c>
      <c r="K522">
        <v>0</v>
      </c>
      <c r="L522" s="3">
        <v>46209</v>
      </c>
      <c r="M522" s="3">
        <v>46209.569444444445</v>
      </c>
      <c r="AA522" t="s">
        <v>25</v>
      </c>
      <c r="AB522" t="s">
        <v>26</v>
      </c>
    </row>
    <row r="523" spans="1:28" x14ac:dyDescent="0.25">
      <c r="A523" t="s">
        <v>707</v>
      </c>
      <c r="B523">
        <v>39</v>
      </c>
      <c r="C523">
        <v>2</v>
      </c>
      <c r="E523" t="s">
        <v>942</v>
      </c>
      <c r="F523" t="s">
        <v>936</v>
      </c>
      <c r="G523" t="s">
        <v>937</v>
      </c>
      <c r="H523">
        <v>157.9</v>
      </c>
      <c r="I523">
        <v>78.95</v>
      </c>
      <c r="J523">
        <v>30000</v>
      </c>
      <c r="K523">
        <v>0</v>
      </c>
      <c r="L523" s="3">
        <v>46222.826388888891</v>
      </c>
      <c r="M523" s="3">
        <v>46226.131944444445</v>
      </c>
      <c r="AA523" t="s">
        <v>25</v>
      </c>
      <c r="AB523" t="s">
        <v>26</v>
      </c>
    </row>
    <row r="524" spans="1:28" x14ac:dyDescent="0.25">
      <c r="A524" t="s">
        <v>707</v>
      </c>
      <c r="B524">
        <v>39</v>
      </c>
      <c r="C524">
        <v>2</v>
      </c>
      <c r="E524" t="s">
        <v>943</v>
      </c>
      <c r="F524" t="s">
        <v>936</v>
      </c>
      <c r="G524" t="s">
        <v>937</v>
      </c>
      <c r="H524">
        <v>157.9</v>
      </c>
      <c r="I524">
        <v>78.95</v>
      </c>
      <c r="J524">
        <v>30000</v>
      </c>
      <c r="K524">
        <v>0</v>
      </c>
      <c r="L524" s="3">
        <v>46226.138888888891</v>
      </c>
      <c r="M524" s="3">
        <v>46229.444444444445</v>
      </c>
      <c r="AA524" t="s">
        <v>25</v>
      </c>
      <c r="AB524" t="s">
        <v>26</v>
      </c>
    </row>
    <row r="525" spans="1:28" x14ac:dyDescent="0.25">
      <c r="A525" t="s">
        <v>707</v>
      </c>
      <c r="B525">
        <v>39</v>
      </c>
      <c r="C525">
        <v>2</v>
      </c>
      <c r="E525" t="s">
        <v>1475</v>
      </c>
      <c r="F525" t="s">
        <v>936</v>
      </c>
      <c r="G525" t="s">
        <v>937</v>
      </c>
      <c r="H525">
        <v>157.9</v>
      </c>
      <c r="I525">
        <v>78.95</v>
      </c>
      <c r="J525">
        <v>30000</v>
      </c>
      <c r="K525">
        <v>0</v>
      </c>
      <c r="L525" s="3">
        <v>46229.451388888891</v>
      </c>
      <c r="M525" s="3">
        <v>46232.756944444445</v>
      </c>
      <c r="AA525" t="s">
        <v>25</v>
      </c>
      <c r="AB525" t="s">
        <v>26</v>
      </c>
    </row>
    <row r="526" spans="1:28" x14ac:dyDescent="0.25">
      <c r="A526" t="s">
        <v>707</v>
      </c>
      <c r="B526">
        <v>39</v>
      </c>
      <c r="C526">
        <v>2</v>
      </c>
      <c r="E526" t="s">
        <v>1476</v>
      </c>
      <c r="F526" t="s">
        <v>936</v>
      </c>
      <c r="G526" t="s">
        <v>937</v>
      </c>
      <c r="H526">
        <v>157.9</v>
      </c>
      <c r="I526">
        <v>78.95</v>
      </c>
      <c r="J526">
        <v>30000</v>
      </c>
      <c r="K526">
        <v>0</v>
      </c>
      <c r="L526" s="3">
        <v>46232.763888888891</v>
      </c>
      <c r="M526" s="3">
        <v>46236.069444444445</v>
      </c>
      <c r="AA526" t="s">
        <v>25</v>
      </c>
      <c r="AB526" t="s">
        <v>26</v>
      </c>
    </row>
    <row r="527" spans="1:28" x14ac:dyDescent="0.25">
      <c r="A527" t="s">
        <v>707</v>
      </c>
      <c r="B527">
        <v>39</v>
      </c>
      <c r="C527">
        <v>2</v>
      </c>
      <c r="E527" t="s">
        <v>1477</v>
      </c>
      <c r="F527" t="s">
        <v>936</v>
      </c>
      <c r="G527" t="s">
        <v>937</v>
      </c>
      <c r="H527">
        <v>157.9</v>
      </c>
      <c r="I527">
        <v>78.95</v>
      </c>
      <c r="J527">
        <v>30000</v>
      </c>
      <c r="K527">
        <v>0</v>
      </c>
      <c r="L527" s="3">
        <v>46236.076388888891</v>
      </c>
      <c r="M527" s="3">
        <v>46240.381944444445</v>
      </c>
      <c r="AA527" t="s">
        <v>25</v>
      </c>
      <c r="AB527" t="s">
        <v>26</v>
      </c>
    </row>
    <row r="528" spans="1:28" x14ac:dyDescent="0.25">
      <c r="A528" t="s">
        <v>707</v>
      </c>
      <c r="B528">
        <v>39</v>
      </c>
      <c r="C528">
        <v>2</v>
      </c>
      <c r="E528" t="s">
        <v>1478</v>
      </c>
      <c r="F528" t="s">
        <v>936</v>
      </c>
      <c r="G528" t="s">
        <v>937</v>
      </c>
      <c r="H528">
        <v>157.9</v>
      </c>
      <c r="I528">
        <v>78.95</v>
      </c>
      <c r="J528">
        <v>30000</v>
      </c>
      <c r="K528">
        <v>0</v>
      </c>
      <c r="L528" s="3">
        <v>46240.388888888891</v>
      </c>
      <c r="M528" s="3">
        <v>46243.694444444445</v>
      </c>
      <c r="AA528" t="s">
        <v>25</v>
      </c>
      <c r="AB528" t="s">
        <v>26</v>
      </c>
    </row>
    <row r="529" spans="1:28" s="4" customFormat="1" ht="15.75" thickBot="1" x14ac:dyDescent="0.3">
      <c r="A529" s="4" t="s">
        <v>707</v>
      </c>
      <c r="B529" s="4">
        <v>39</v>
      </c>
      <c r="C529" s="4">
        <v>2</v>
      </c>
      <c r="E529" s="4" t="s">
        <v>1479</v>
      </c>
      <c r="F529" s="4" t="s">
        <v>936</v>
      </c>
      <c r="G529" s="4" t="s">
        <v>937</v>
      </c>
      <c r="H529" s="4">
        <v>157.9</v>
      </c>
      <c r="I529" s="4">
        <v>78.95</v>
      </c>
      <c r="J529" s="4">
        <v>30000</v>
      </c>
      <c r="K529" s="4">
        <v>0</v>
      </c>
      <c r="L529" s="40">
        <v>46243.701388888891</v>
      </c>
      <c r="M529" s="40">
        <v>46247.006944444445</v>
      </c>
      <c r="AA529" s="4" t="s">
        <v>25</v>
      </c>
      <c r="AB529" s="4" t="s">
        <v>26</v>
      </c>
    </row>
    <row r="530" spans="1:28" s="13" customFormat="1" x14ac:dyDescent="0.25">
      <c r="A530" s="13" t="s">
        <v>244</v>
      </c>
      <c r="B530" s="13" t="s">
        <v>591</v>
      </c>
      <c r="C530" s="13">
        <v>4</v>
      </c>
      <c r="E530" s="13" t="s">
        <v>592</v>
      </c>
      <c r="F530" s="13" t="s">
        <v>593</v>
      </c>
      <c r="G530" s="13" t="s">
        <v>594</v>
      </c>
      <c r="H530" s="13">
        <v>106.68</v>
      </c>
      <c r="I530" s="13">
        <v>26.67</v>
      </c>
      <c r="J530" s="13">
        <v>1500</v>
      </c>
      <c r="K530" s="13">
        <v>0</v>
      </c>
      <c r="L530" s="47">
        <v>46209</v>
      </c>
      <c r="M530" s="47">
        <v>46210.104166666664</v>
      </c>
      <c r="O530" s="13" t="s">
        <v>87</v>
      </c>
      <c r="AA530" s="13" t="s">
        <v>25</v>
      </c>
      <c r="AB530" s="13" t="s">
        <v>26</v>
      </c>
    </row>
    <row r="531" spans="1:28" s="13" customFormat="1" x14ac:dyDescent="0.25">
      <c r="A531" s="13" t="s">
        <v>244</v>
      </c>
      <c r="B531" s="13" t="s">
        <v>591</v>
      </c>
      <c r="C531" s="13">
        <v>4</v>
      </c>
      <c r="E531" s="13" t="s">
        <v>595</v>
      </c>
      <c r="F531" s="13" t="s">
        <v>593</v>
      </c>
      <c r="G531" s="13" t="s">
        <v>594</v>
      </c>
      <c r="H531" s="13">
        <v>106.68</v>
      </c>
      <c r="I531" s="13">
        <v>26.67</v>
      </c>
      <c r="J531" s="13">
        <v>1500</v>
      </c>
      <c r="K531" s="13">
        <v>0</v>
      </c>
      <c r="L531" s="47">
        <v>46210.111111111109</v>
      </c>
      <c r="M531" s="47">
        <v>46211.215277777781</v>
      </c>
      <c r="O531" s="13" t="s">
        <v>87</v>
      </c>
      <c r="AA531" s="13" t="s">
        <v>25</v>
      </c>
      <c r="AB531" s="13" t="s">
        <v>26</v>
      </c>
    </row>
    <row r="532" spans="1:28" x14ac:dyDescent="0.25">
      <c r="A532" t="s">
        <v>244</v>
      </c>
      <c r="B532" t="s">
        <v>591</v>
      </c>
      <c r="C532">
        <v>4</v>
      </c>
      <c r="E532" s="6" t="s">
        <v>596</v>
      </c>
      <c r="F532" s="6" t="s">
        <v>593</v>
      </c>
      <c r="G532" s="6" t="s">
        <v>594</v>
      </c>
      <c r="H532" s="6">
        <v>106.68</v>
      </c>
      <c r="I532" s="6">
        <v>26.67</v>
      </c>
      <c r="J532" s="6">
        <v>1500</v>
      </c>
      <c r="K532">
        <v>0</v>
      </c>
      <c r="L532" s="3">
        <v>46211.222222222219</v>
      </c>
      <c r="M532" s="3">
        <v>46212.326388888891</v>
      </c>
      <c r="O532" t="s">
        <v>87</v>
      </c>
      <c r="AA532" t="s">
        <v>25</v>
      </c>
      <c r="AB532" t="s">
        <v>26</v>
      </c>
    </row>
    <row r="533" spans="1:28" x14ac:dyDescent="0.25">
      <c r="A533" t="s">
        <v>244</v>
      </c>
      <c r="B533" t="s">
        <v>591</v>
      </c>
      <c r="C533">
        <v>4</v>
      </c>
      <c r="E533" t="s">
        <v>597</v>
      </c>
      <c r="F533" t="s">
        <v>593</v>
      </c>
      <c r="G533" t="s">
        <v>594</v>
      </c>
      <c r="H533">
        <v>106.68</v>
      </c>
      <c r="I533">
        <v>26.67</v>
      </c>
      <c r="J533">
        <v>1500</v>
      </c>
      <c r="K533">
        <v>0</v>
      </c>
      <c r="L533" s="3">
        <v>46212.333333333336</v>
      </c>
      <c r="M533" s="3">
        <v>46213.4375</v>
      </c>
      <c r="O533" t="s">
        <v>87</v>
      </c>
      <c r="AA533" t="s">
        <v>25</v>
      </c>
      <c r="AB533" t="s">
        <v>26</v>
      </c>
    </row>
    <row r="534" spans="1:28" x14ac:dyDescent="0.25">
      <c r="A534" t="s">
        <v>244</v>
      </c>
      <c r="B534" t="s">
        <v>591</v>
      </c>
      <c r="C534">
        <v>4</v>
      </c>
      <c r="E534" t="s">
        <v>598</v>
      </c>
      <c r="F534" t="s">
        <v>593</v>
      </c>
      <c r="G534" t="s">
        <v>594</v>
      </c>
      <c r="H534">
        <v>106.68</v>
      </c>
      <c r="I534">
        <v>26.67</v>
      </c>
      <c r="J534">
        <v>1500</v>
      </c>
      <c r="K534">
        <v>0</v>
      </c>
      <c r="L534" s="3">
        <v>46213.444444444445</v>
      </c>
      <c r="M534" s="3">
        <v>46214.548611111109</v>
      </c>
      <c r="O534" t="s">
        <v>87</v>
      </c>
      <c r="AA534" t="s">
        <v>25</v>
      </c>
      <c r="AB534" t="s">
        <v>26</v>
      </c>
    </row>
    <row r="535" spans="1:28" x14ac:dyDescent="0.25">
      <c r="A535" t="s">
        <v>244</v>
      </c>
      <c r="B535" t="s">
        <v>591</v>
      </c>
      <c r="C535">
        <v>4</v>
      </c>
      <c r="E535" t="s">
        <v>599</v>
      </c>
      <c r="F535" t="s">
        <v>593</v>
      </c>
      <c r="G535" t="s">
        <v>594</v>
      </c>
      <c r="H535">
        <v>106.68</v>
      </c>
      <c r="I535">
        <v>26.67</v>
      </c>
      <c r="J535">
        <v>1500</v>
      </c>
      <c r="K535">
        <v>0</v>
      </c>
      <c r="L535" s="3">
        <v>46216</v>
      </c>
      <c r="M535" s="3">
        <v>46217.104166666664</v>
      </c>
      <c r="AA535" t="s">
        <v>25</v>
      </c>
      <c r="AB535" t="s">
        <v>26</v>
      </c>
    </row>
    <row r="536" spans="1:28" x14ac:dyDescent="0.25">
      <c r="A536" t="s">
        <v>244</v>
      </c>
      <c r="B536" t="s">
        <v>591</v>
      </c>
      <c r="C536">
        <v>4</v>
      </c>
      <c r="E536" t="s">
        <v>600</v>
      </c>
      <c r="F536" t="s">
        <v>593</v>
      </c>
      <c r="G536" t="s">
        <v>594</v>
      </c>
      <c r="H536">
        <v>106.68</v>
      </c>
      <c r="I536">
        <v>26.67</v>
      </c>
      <c r="J536">
        <v>1500</v>
      </c>
      <c r="K536">
        <v>0</v>
      </c>
      <c r="L536" s="3">
        <v>46217.111111111109</v>
      </c>
      <c r="M536" s="3">
        <v>46218.215277777781</v>
      </c>
      <c r="AA536" t="s">
        <v>25</v>
      </c>
      <c r="AB536" t="s">
        <v>26</v>
      </c>
    </row>
    <row r="537" spans="1:28" x14ac:dyDescent="0.25">
      <c r="A537" t="s">
        <v>244</v>
      </c>
      <c r="B537" t="s">
        <v>591</v>
      </c>
      <c r="C537">
        <v>4</v>
      </c>
      <c r="E537" t="s">
        <v>601</v>
      </c>
      <c r="F537" t="s">
        <v>593</v>
      </c>
      <c r="G537" t="s">
        <v>594</v>
      </c>
      <c r="H537">
        <v>106.68</v>
      </c>
      <c r="I537">
        <v>26.67</v>
      </c>
      <c r="J537">
        <v>1500</v>
      </c>
      <c r="K537">
        <v>0</v>
      </c>
      <c r="L537" s="3">
        <v>46218.222222222219</v>
      </c>
      <c r="M537" s="3">
        <v>46219.326388888891</v>
      </c>
      <c r="AA537" t="s">
        <v>25</v>
      </c>
      <c r="AB537" t="s">
        <v>26</v>
      </c>
    </row>
    <row r="538" spans="1:28" x14ac:dyDescent="0.25">
      <c r="A538" t="s">
        <v>244</v>
      </c>
      <c r="B538" t="s">
        <v>591</v>
      </c>
      <c r="C538">
        <v>4</v>
      </c>
      <c r="E538" t="s">
        <v>602</v>
      </c>
      <c r="F538" t="s">
        <v>593</v>
      </c>
      <c r="G538" t="s">
        <v>594</v>
      </c>
      <c r="H538">
        <v>106.68</v>
      </c>
      <c r="I538">
        <v>26.67</v>
      </c>
      <c r="J538">
        <v>1500</v>
      </c>
      <c r="K538">
        <v>0</v>
      </c>
      <c r="L538" s="3">
        <v>46219.333333333336</v>
      </c>
      <c r="M538" s="3">
        <v>46220.4375</v>
      </c>
      <c r="AA538" t="s">
        <v>25</v>
      </c>
      <c r="AB538" t="s">
        <v>26</v>
      </c>
    </row>
    <row r="539" spans="1:28" x14ac:dyDescent="0.25">
      <c r="A539" t="s">
        <v>244</v>
      </c>
      <c r="B539" t="s">
        <v>591</v>
      </c>
      <c r="C539">
        <v>4</v>
      </c>
      <c r="E539" t="s">
        <v>603</v>
      </c>
      <c r="F539" t="s">
        <v>593</v>
      </c>
      <c r="G539" t="s">
        <v>594</v>
      </c>
      <c r="H539">
        <v>106.68</v>
      </c>
      <c r="I539">
        <v>26.67</v>
      </c>
      <c r="J539">
        <v>1500</v>
      </c>
      <c r="K539">
        <v>0</v>
      </c>
      <c r="L539" s="3">
        <v>46220.444444444445</v>
      </c>
      <c r="M539" s="3">
        <v>46221.548611111109</v>
      </c>
      <c r="AA539" t="s">
        <v>25</v>
      </c>
      <c r="AB539" t="s">
        <v>26</v>
      </c>
    </row>
    <row r="540" spans="1:28" x14ac:dyDescent="0.25">
      <c r="A540" t="s">
        <v>244</v>
      </c>
      <c r="B540" t="s">
        <v>591</v>
      </c>
      <c r="C540">
        <v>6</v>
      </c>
      <c r="E540" s="74" t="s">
        <v>604</v>
      </c>
      <c r="F540" s="74" t="s">
        <v>605</v>
      </c>
      <c r="G540" s="74" t="s">
        <v>606</v>
      </c>
      <c r="H540" s="74">
        <v>0.3</v>
      </c>
      <c r="I540" s="74">
        <v>0.05</v>
      </c>
      <c r="J540" s="74">
        <v>5</v>
      </c>
      <c r="K540">
        <v>0</v>
      </c>
      <c r="L540" s="3">
        <v>46208.958333333336</v>
      </c>
      <c r="M540" s="3">
        <v>46208.958333333336</v>
      </c>
      <c r="AA540" t="s">
        <v>25</v>
      </c>
      <c r="AB540" t="s">
        <v>26</v>
      </c>
    </row>
    <row r="541" spans="1:28" x14ac:dyDescent="0.25">
      <c r="A541" t="s">
        <v>244</v>
      </c>
      <c r="B541" t="s">
        <v>591</v>
      </c>
      <c r="C541">
        <v>4</v>
      </c>
      <c r="E541" t="s">
        <v>607</v>
      </c>
      <c r="F541" t="s">
        <v>593</v>
      </c>
      <c r="G541" t="s">
        <v>594</v>
      </c>
      <c r="H541">
        <v>106.68</v>
      </c>
      <c r="I541">
        <v>26.67</v>
      </c>
      <c r="J541">
        <v>1500</v>
      </c>
      <c r="K541">
        <v>0</v>
      </c>
      <c r="L541" s="3">
        <v>46223</v>
      </c>
      <c r="M541" s="3">
        <v>46224.104166666664</v>
      </c>
      <c r="AA541" t="s">
        <v>25</v>
      </c>
      <c r="AB541" t="s">
        <v>26</v>
      </c>
    </row>
    <row r="542" spans="1:28" x14ac:dyDescent="0.25">
      <c r="A542" t="s">
        <v>244</v>
      </c>
      <c r="B542" t="s">
        <v>591</v>
      </c>
      <c r="C542">
        <v>4</v>
      </c>
      <c r="E542" t="s">
        <v>608</v>
      </c>
      <c r="F542" t="s">
        <v>593</v>
      </c>
      <c r="G542" t="s">
        <v>594</v>
      </c>
      <c r="H542">
        <v>106.68</v>
      </c>
      <c r="I542">
        <v>26.67</v>
      </c>
      <c r="J542">
        <v>1500</v>
      </c>
      <c r="K542">
        <v>0</v>
      </c>
      <c r="L542" s="3">
        <v>46224.111111111109</v>
      </c>
      <c r="M542" s="3">
        <v>46225.215277777781</v>
      </c>
      <c r="AA542" t="s">
        <v>25</v>
      </c>
      <c r="AB542" t="s">
        <v>26</v>
      </c>
    </row>
    <row r="543" spans="1:28" x14ac:dyDescent="0.25">
      <c r="A543" t="s">
        <v>244</v>
      </c>
      <c r="B543" t="s">
        <v>591</v>
      </c>
      <c r="C543">
        <v>4</v>
      </c>
      <c r="E543" t="s">
        <v>609</v>
      </c>
      <c r="F543" t="s">
        <v>593</v>
      </c>
      <c r="G543" t="s">
        <v>594</v>
      </c>
      <c r="H543">
        <v>106.68</v>
      </c>
      <c r="I543">
        <v>26.67</v>
      </c>
      <c r="J543">
        <v>1500</v>
      </c>
      <c r="K543">
        <v>0</v>
      </c>
      <c r="L543" s="3">
        <v>46225.222222222219</v>
      </c>
      <c r="M543" s="3">
        <v>46226.326388888891</v>
      </c>
      <c r="AA543" t="s">
        <v>25</v>
      </c>
      <c r="AB543" t="s">
        <v>26</v>
      </c>
    </row>
    <row r="544" spans="1:28" x14ac:dyDescent="0.25">
      <c r="A544" t="s">
        <v>244</v>
      </c>
      <c r="B544" t="s">
        <v>591</v>
      </c>
      <c r="C544">
        <v>4</v>
      </c>
      <c r="E544" t="s">
        <v>610</v>
      </c>
      <c r="F544" t="s">
        <v>593</v>
      </c>
      <c r="G544" t="s">
        <v>594</v>
      </c>
      <c r="H544">
        <v>106.68</v>
      </c>
      <c r="I544">
        <v>26.67</v>
      </c>
      <c r="J544">
        <v>1500</v>
      </c>
      <c r="K544">
        <v>0</v>
      </c>
      <c r="L544" s="3">
        <v>46226.333333333336</v>
      </c>
      <c r="M544" s="3">
        <v>46227.4375</v>
      </c>
      <c r="AA544" t="s">
        <v>25</v>
      </c>
      <c r="AB544" t="s">
        <v>26</v>
      </c>
    </row>
    <row r="545" spans="1:28" x14ac:dyDescent="0.25">
      <c r="A545" t="s">
        <v>244</v>
      </c>
      <c r="B545" t="s">
        <v>591</v>
      </c>
      <c r="C545">
        <v>4</v>
      </c>
      <c r="E545" t="s">
        <v>611</v>
      </c>
      <c r="F545" t="s">
        <v>593</v>
      </c>
      <c r="G545" t="s">
        <v>594</v>
      </c>
      <c r="H545">
        <v>106.68</v>
      </c>
      <c r="I545">
        <v>26.67</v>
      </c>
      <c r="J545">
        <v>1500</v>
      </c>
      <c r="K545">
        <v>0</v>
      </c>
      <c r="L545" s="3">
        <v>46227.444444444445</v>
      </c>
      <c r="M545" s="3">
        <v>46228.548611111109</v>
      </c>
      <c r="AA545" t="s">
        <v>25</v>
      </c>
      <c r="AB545" t="s">
        <v>26</v>
      </c>
    </row>
    <row r="546" spans="1:28" x14ac:dyDescent="0.25">
      <c r="A546" t="s">
        <v>244</v>
      </c>
      <c r="B546" t="s">
        <v>591</v>
      </c>
      <c r="C546">
        <v>4</v>
      </c>
      <c r="E546" t="s">
        <v>612</v>
      </c>
      <c r="F546" t="s">
        <v>613</v>
      </c>
      <c r="G546" t="s">
        <v>614</v>
      </c>
      <c r="H546">
        <v>50</v>
      </c>
      <c r="I546">
        <v>12.5</v>
      </c>
      <c r="J546">
        <v>300</v>
      </c>
      <c r="K546">
        <v>0</v>
      </c>
      <c r="L546" s="3">
        <v>46228.555555555555</v>
      </c>
      <c r="M546" s="3">
        <v>46229.069444444445</v>
      </c>
      <c r="AA546" t="s">
        <v>25</v>
      </c>
      <c r="AB546" t="s">
        <v>26</v>
      </c>
    </row>
    <row r="547" spans="1:28" x14ac:dyDescent="0.25">
      <c r="A547" t="s">
        <v>244</v>
      </c>
      <c r="B547" t="s">
        <v>591</v>
      </c>
      <c r="C547">
        <v>4</v>
      </c>
      <c r="E547" t="s">
        <v>615</v>
      </c>
      <c r="F547" t="s">
        <v>613</v>
      </c>
      <c r="G547" t="s">
        <v>614</v>
      </c>
      <c r="H547">
        <v>50</v>
      </c>
      <c r="I547">
        <v>12.5</v>
      </c>
      <c r="J547">
        <v>300</v>
      </c>
      <c r="K547">
        <v>0</v>
      </c>
      <c r="L547" s="3">
        <v>46229.076388888891</v>
      </c>
      <c r="M547" s="3">
        <v>46229.590277777781</v>
      </c>
      <c r="AA547" t="s">
        <v>25</v>
      </c>
      <c r="AB547" t="s">
        <v>26</v>
      </c>
    </row>
    <row r="548" spans="1:28" x14ac:dyDescent="0.25">
      <c r="A548" t="s">
        <v>244</v>
      </c>
      <c r="B548" t="s">
        <v>591</v>
      </c>
      <c r="C548">
        <v>4</v>
      </c>
      <c r="E548" t="s">
        <v>616</v>
      </c>
      <c r="F548" t="s">
        <v>593</v>
      </c>
      <c r="G548" t="s">
        <v>594</v>
      </c>
      <c r="H548">
        <v>106.68</v>
      </c>
      <c r="I548">
        <v>26.67</v>
      </c>
      <c r="J548">
        <v>1500</v>
      </c>
      <c r="K548">
        <v>0</v>
      </c>
      <c r="L548" s="3">
        <v>46230</v>
      </c>
      <c r="M548" s="3">
        <v>46231.104166666664</v>
      </c>
      <c r="AA548" t="s">
        <v>25</v>
      </c>
      <c r="AB548" t="s">
        <v>26</v>
      </c>
    </row>
    <row r="549" spans="1:28" x14ac:dyDescent="0.25">
      <c r="A549" t="s">
        <v>244</v>
      </c>
      <c r="B549" t="s">
        <v>591</v>
      </c>
      <c r="C549">
        <v>4</v>
      </c>
      <c r="E549" t="s">
        <v>1439</v>
      </c>
      <c r="F549" t="s">
        <v>593</v>
      </c>
      <c r="G549" t="s">
        <v>594</v>
      </c>
      <c r="H549">
        <v>106.68</v>
      </c>
      <c r="I549">
        <v>26.67</v>
      </c>
      <c r="J549">
        <v>1500</v>
      </c>
      <c r="K549">
        <v>0</v>
      </c>
      <c r="L549" s="3">
        <v>46231.111111111109</v>
      </c>
      <c r="M549" s="3">
        <v>46232.215277777781</v>
      </c>
      <c r="AA549" t="s">
        <v>25</v>
      </c>
      <c r="AB549" t="s">
        <v>26</v>
      </c>
    </row>
    <row r="550" spans="1:28" x14ac:dyDescent="0.25">
      <c r="A550" t="s">
        <v>244</v>
      </c>
      <c r="B550" t="s">
        <v>591</v>
      </c>
      <c r="C550">
        <v>4</v>
      </c>
      <c r="E550" t="s">
        <v>1440</v>
      </c>
      <c r="F550" t="s">
        <v>593</v>
      </c>
      <c r="G550" t="s">
        <v>594</v>
      </c>
      <c r="H550">
        <v>106.68</v>
      </c>
      <c r="I550">
        <v>26.67</v>
      </c>
      <c r="J550">
        <v>1500</v>
      </c>
      <c r="K550">
        <v>0</v>
      </c>
      <c r="L550" s="3">
        <v>46232.222222222219</v>
      </c>
      <c r="M550" s="3">
        <v>46233.326388888891</v>
      </c>
      <c r="AA550" t="s">
        <v>25</v>
      </c>
      <c r="AB550" t="s">
        <v>26</v>
      </c>
    </row>
    <row r="551" spans="1:28" x14ac:dyDescent="0.25">
      <c r="A551" t="s">
        <v>244</v>
      </c>
      <c r="B551" t="s">
        <v>591</v>
      </c>
      <c r="C551">
        <v>4</v>
      </c>
      <c r="E551" t="s">
        <v>1441</v>
      </c>
      <c r="F551" t="s">
        <v>593</v>
      </c>
      <c r="G551" t="s">
        <v>594</v>
      </c>
      <c r="H551">
        <v>106.68</v>
      </c>
      <c r="I551">
        <v>26.67</v>
      </c>
      <c r="J551">
        <v>1500</v>
      </c>
      <c r="K551">
        <v>0</v>
      </c>
      <c r="L551" s="3">
        <v>46233.333333333336</v>
      </c>
      <c r="M551" s="3">
        <v>46234.4375</v>
      </c>
      <c r="AA551" t="s">
        <v>25</v>
      </c>
      <c r="AB551" t="s">
        <v>26</v>
      </c>
    </row>
    <row r="552" spans="1:28" x14ac:dyDescent="0.25">
      <c r="A552" t="s">
        <v>244</v>
      </c>
      <c r="B552" t="s">
        <v>591</v>
      </c>
      <c r="C552">
        <v>4</v>
      </c>
      <c r="E552" t="s">
        <v>1442</v>
      </c>
      <c r="F552" t="s">
        <v>593</v>
      </c>
      <c r="G552" t="s">
        <v>594</v>
      </c>
      <c r="H552">
        <v>106.68</v>
      </c>
      <c r="I552">
        <v>26.67</v>
      </c>
      <c r="J552">
        <v>1500</v>
      </c>
      <c r="K552">
        <v>0</v>
      </c>
      <c r="L552" s="3">
        <v>46234.444444444445</v>
      </c>
      <c r="M552" s="3">
        <v>46235.548611111109</v>
      </c>
      <c r="AA552" t="s">
        <v>25</v>
      </c>
      <c r="AB552" t="s">
        <v>26</v>
      </c>
    </row>
    <row r="553" spans="1:28" x14ac:dyDescent="0.25">
      <c r="A553" t="s">
        <v>244</v>
      </c>
      <c r="B553" t="s">
        <v>591</v>
      </c>
      <c r="C553">
        <v>4</v>
      </c>
      <c r="E553" t="s">
        <v>1443</v>
      </c>
      <c r="F553" t="s">
        <v>593</v>
      </c>
      <c r="G553" t="s">
        <v>594</v>
      </c>
      <c r="H553">
        <v>106.68</v>
      </c>
      <c r="I553">
        <v>26.67</v>
      </c>
      <c r="J553">
        <v>1500</v>
      </c>
      <c r="K553">
        <v>0</v>
      </c>
      <c r="L553" s="3">
        <v>46237.958333333336</v>
      </c>
      <c r="M553" s="3">
        <v>46239.0625</v>
      </c>
      <c r="AA553" t="s">
        <v>25</v>
      </c>
      <c r="AB553" t="s">
        <v>26</v>
      </c>
    </row>
    <row r="554" spans="1:28" x14ac:dyDescent="0.25">
      <c r="A554" t="s">
        <v>244</v>
      </c>
      <c r="B554" t="s">
        <v>591</v>
      </c>
      <c r="C554">
        <v>4</v>
      </c>
      <c r="E554" t="s">
        <v>1444</v>
      </c>
      <c r="F554" t="s">
        <v>593</v>
      </c>
      <c r="G554" t="s">
        <v>594</v>
      </c>
      <c r="H554">
        <v>106.68</v>
      </c>
      <c r="I554">
        <v>26.67</v>
      </c>
      <c r="J554">
        <v>1500</v>
      </c>
      <c r="K554">
        <v>0</v>
      </c>
      <c r="L554" s="3">
        <v>46239.069444444445</v>
      </c>
      <c r="M554" s="3">
        <v>46240.173611111109</v>
      </c>
      <c r="AA554" t="s">
        <v>25</v>
      </c>
      <c r="AB554" t="s">
        <v>26</v>
      </c>
    </row>
    <row r="555" spans="1:28" x14ac:dyDescent="0.25">
      <c r="A555" t="s">
        <v>244</v>
      </c>
      <c r="B555" t="s">
        <v>591</v>
      </c>
      <c r="C555">
        <v>4</v>
      </c>
      <c r="E555" t="s">
        <v>1445</v>
      </c>
      <c r="F555" t="s">
        <v>593</v>
      </c>
      <c r="G555" t="s">
        <v>594</v>
      </c>
      <c r="H555">
        <v>106.68</v>
      </c>
      <c r="I555">
        <v>26.67</v>
      </c>
      <c r="J555">
        <v>1500</v>
      </c>
      <c r="K555">
        <v>0</v>
      </c>
      <c r="L555" s="3">
        <v>46240.180555555555</v>
      </c>
      <c r="M555" s="3">
        <v>46241.284722222219</v>
      </c>
      <c r="AA555" t="s">
        <v>25</v>
      </c>
      <c r="AB555" t="s">
        <v>26</v>
      </c>
    </row>
    <row r="556" spans="1:28" x14ac:dyDescent="0.25">
      <c r="A556" t="s">
        <v>244</v>
      </c>
      <c r="B556" t="s">
        <v>591</v>
      </c>
      <c r="C556">
        <v>4</v>
      </c>
      <c r="E556" t="s">
        <v>1446</v>
      </c>
      <c r="F556" t="s">
        <v>593</v>
      </c>
      <c r="G556" t="s">
        <v>594</v>
      </c>
      <c r="H556">
        <v>106.68</v>
      </c>
      <c r="I556">
        <v>26.67</v>
      </c>
      <c r="J556">
        <v>1500</v>
      </c>
      <c r="K556">
        <v>0</v>
      </c>
      <c r="L556" s="3">
        <v>46241.291666666664</v>
      </c>
      <c r="M556" s="3">
        <v>46242.395833333336</v>
      </c>
      <c r="AA556" t="s">
        <v>25</v>
      </c>
      <c r="AB556" t="s">
        <v>26</v>
      </c>
    </row>
    <row r="557" spans="1:28" x14ac:dyDescent="0.25">
      <c r="A557" t="s">
        <v>244</v>
      </c>
      <c r="B557" t="s">
        <v>591</v>
      </c>
      <c r="C557">
        <v>4</v>
      </c>
      <c r="E557" t="s">
        <v>1447</v>
      </c>
      <c r="F557" t="s">
        <v>593</v>
      </c>
      <c r="G557" t="s">
        <v>594</v>
      </c>
      <c r="H557">
        <v>106.68</v>
      </c>
      <c r="I557">
        <v>26.67</v>
      </c>
      <c r="J557">
        <v>1500</v>
      </c>
      <c r="K557">
        <v>0</v>
      </c>
      <c r="L557" s="3">
        <v>46244</v>
      </c>
      <c r="M557" s="3">
        <v>46245.104166666664</v>
      </c>
      <c r="AA557" t="s">
        <v>25</v>
      </c>
      <c r="AB557" t="s">
        <v>26</v>
      </c>
    </row>
    <row r="558" spans="1:28" s="4" customFormat="1" ht="15.75" thickBot="1" x14ac:dyDescent="0.3">
      <c r="A558" s="4" t="s">
        <v>244</v>
      </c>
      <c r="B558" s="4" t="s">
        <v>591</v>
      </c>
      <c r="C558" s="4">
        <v>4</v>
      </c>
      <c r="E558" s="4" t="s">
        <v>1448</v>
      </c>
      <c r="F558" s="4" t="s">
        <v>593</v>
      </c>
      <c r="G558" s="4" t="s">
        <v>594</v>
      </c>
      <c r="H558" s="4">
        <v>106.68</v>
      </c>
      <c r="I558" s="4">
        <v>26.67</v>
      </c>
      <c r="J558" s="4">
        <v>1500</v>
      </c>
      <c r="K558" s="4">
        <v>0</v>
      </c>
      <c r="L558" s="40">
        <v>46245.111111111109</v>
      </c>
      <c r="M558" s="40">
        <v>46246.215277777781</v>
      </c>
      <c r="AA558" s="4" t="s">
        <v>25</v>
      </c>
      <c r="AB558" s="4" t="s">
        <v>26</v>
      </c>
    </row>
    <row r="559" spans="1:28" x14ac:dyDescent="0.25">
      <c r="A559" t="s">
        <v>244</v>
      </c>
      <c r="B559" t="s">
        <v>627</v>
      </c>
      <c r="C559">
        <v>1</v>
      </c>
      <c r="E559" t="s">
        <v>628</v>
      </c>
      <c r="F559" t="s">
        <v>629</v>
      </c>
      <c r="G559" t="s">
        <v>630</v>
      </c>
      <c r="H559">
        <v>0.1</v>
      </c>
      <c r="I559">
        <v>0.1</v>
      </c>
      <c r="J559">
        <v>150</v>
      </c>
      <c r="K559">
        <v>0</v>
      </c>
      <c r="L559" s="3">
        <v>46208.958333333336</v>
      </c>
      <c r="M559" s="3">
        <v>46208.958333333336</v>
      </c>
      <c r="AA559" t="s">
        <v>25</v>
      </c>
      <c r="AB559" t="s">
        <v>26</v>
      </c>
    </row>
    <row r="560" spans="1:28" x14ac:dyDescent="0.25">
      <c r="A560" t="s">
        <v>244</v>
      </c>
      <c r="B560" t="s">
        <v>627</v>
      </c>
      <c r="C560">
        <v>1</v>
      </c>
      <c r="E560" t="s">
        <v>632</v>
      </c>
      <c r="F560" t="s">
        <v>633</v>
      </c>
      <c r="G560" t="s">
        <v>634</v>
      </c>
      <c r="H560">
        <v>0.1</v>
      </c>
      <c r="I560">
        <v>0.1</v>
      </c>
      <c r="J560">
        <v>100</v>
      </c>
      <c r="K560">
        <v>0</v>
      </c>
      <c r="L560" s="3">
        <v>46208.958333333336</v>
      </c>
      <c r="M560" s="3">
        <v>46208.958333333336</v>
      </c>
      <c r="AA560" t="s">
        <v>25</v>
      </c>
      <c r="AB560" t="s">
        <v>26</v>
      </c>
    </row>
    <row r="561" spans="1:28" x14ac:dyDescent="0.25">
      <c r="A561" t="s">
        <v>244</v>
      </c>
      <c r="B561" t="s">
        <v>627</v>
      </c>
      <c r="C561">
        <v>1</v>
      </c>
      <c r="E561" t="s">
        <v>635</v>
      </c>
      <c r="F561" t="s">
        <v>633</v>
      </c>
      <c r="G561" t="s">
        <v>634</v>
      </c>
      <c r="H561">
        <v>0.1</v>
      </c>
      <c r="I561">
        <v>0.1</v>
      </c>
      <c r="J561">
        <v>100</v>
      </c>
      <c r="K561">
        <v>0</v>
      </c>
      <c r="L561" s="3">
        <v>46208.958333333336</v>
      </c>
      <c r="M561" s="3">
        <v>46208.958333333336</v>
      </c>
      <c r="AA561" t="s">
        <v>25</v>
      </c>
      <c r="AB561" t="s">
        <v>26</v>
      </c>
    </row>
    <row r="562" spans="1:28" x14ac:dyDescent="0.25">
      <c r="A562" t="s">
        <v>244</v>
      </c>
      <c r="B562" t="s">
        <v>627</v>
      </c>
      <c r="C562">
        <v>1</v>
      </c>
      <c r="E562" t="s">
        <v>636</v>
      </c>
      <c r="F562" t="s">
        <v>633</v>
      </c>
      <c r="G562" t="s">
        <v>634</v>
      </c>
      <c r="H562">
        <v>0.1</v>
      </c>
      <c r="I562">
        <v>0.1</v>
      </c>
      <c r="J562">
        <v>100</v>
      </c>
      <c r="K562">
        <v>0</v>
      </c>
      <c r="L562" s="3">
        <v>46208.958333333336</v>
      </c>
      <c r="M562" s="3">
        <v>46208.958333333336</v>
      </c>
      <c r="AA562" t="s">
        <v>25</v>
      </c>
      <c r="AB562" t="s">
        <v>26</v>
      </c>
    </row>
    <row r="563" spans="1:28" x14ac:dyDescent="0.25">
      <c r="A563" t="s">
        <v>244</v>
      </c>
      <c r="B563" t="s">
        <v>627</v>
      </c>
      <c r="C563">
        <v>1</v>
      </c>
      <c r="E563" t="s">
        <v>637</v>
      </c>
      <c r="F563" t="s">
        <v>633</v>
      </c>
      <c r="G563" t="s">
        <v>634</v>
      </c>
      <c r="H563">
        <v>0.1</v>
      </c>
      <c r="I563">
        <v>0.1</v>
      </c>
      <c r="J563">
        <v>100</v>
      </c>
      <c r="K563">
        <v>0</v>
      </c>
      <c r="L563" s="3">
        <v>46208.958333333336</v>
      </c>
      <c r="M563" s="3">
        <v>46208.958333333336</v>
      </c>
      <c r="AA563" t="s">
        <v>25</v>
      </c>
      <c r="AB563" t="s">
        <v>26</v>
      </c>
    </row>
    <row r="564" spans="1:28" x14ac:dyDescent="0.25">
      <c r="A564" t="s">
        <v>244</v>
      </c>
      <c r="B564" t="s">
        <v>627</v>
      </c>
      <c r="C564">
        <v>1</v>
      </c>
      <c r="E564" t="s">
        <v>638</v>
      </c>
      <c r="F564" t="s">
        <v>633</v>
      </c>
      <c r="G564" t="s">
        <v>634</v>
      </c>
      <c r="H564">
        <v>0.1</v>
      </c>
      <c r="I564">
        <v>0.1</v>
      </c>
      <c r="J564">
        <v>100</v>
      </c>
      <c r="K564">
        <v>0</v>
      </c>
      <c r="L564" s="3">
        <v>46208.958333333336</v>
      </c>
      <c r="M564" s="3">
        <v>46208.958333333336</v>
      </c>
      <c r="AA564" t="s">
        <v>25</v>
      </c>
      <c r="AB564" t="s">
        <v>26</v>
      </c>
    </row>
    <row r="565" spans="1:28" x14ac:dyDescent="0.25">
      <c r="A565" t="s">
        <v>244</v>
      </c>
      <c r="B565" t="s">
        <v>627</v>
      </c>
      <c r="C565">
        <v>1</v>
      </c>
      <c r="E565" t="s">
        <v>639</v>
      </c>
      <c r="F565" t="s">
        <v>633</v>
      </c>
      <c r="G565" t="s">
        <v>634</v>
      </c>
      <c r="H565">
        <v>0.1</v>
      </c>
      <c r="I565">
        <v>0.1</v>
      </c>
      <c r="J565">
        <v>100</v>
      </c>
      <c r="K565">
        <v>0</v>
      </c>
      <c r="L565" s="3">
        <v>46208.958333333336</v>
      </c>
      <c r="M565" s="3">
        <v>46208.958333333336</v>
      </c>
      <c r="AA565" t="s">
        <v>25</v>
      </c>
      <c r="AB565" t="s">
        <v>26</v>
      </c>
    </row>
    <row r="566" spans="1:28" x14ac:dyDescent="0.25">
      <c r="A566" t="s">
        <v>244</v>
      </c>
      <c r="B566" t="s">
        <v>627</v>
      </c>
      <c r="C566">
        <v>1</v>
      </c>
      <c r="E566" t="s">
        <v>640</v>
      </c>
      <c r="F566" t="s">
        <v>633</v>
      </c>
      <c r="G566" t="s">
        <v>634</v>
      </c>
      <c r="H566">
        <v>0.1</v>
      </c>
      <c r="I566">
        <v>0.1</v>
      </c>
      <c r="J566">
        <v>100</v>
      </c>
      <c r="K566">
        <v>0</v>
      </c>
      <c r="L566" s="3">
        <v>46208.958333333336</v>
      </c>
      <c r="M566" s="3">
        <v>46208.958333333336</v>
      </c>
      <c r="AA566" t="s">
        <v>25</v>
      </c>
      <c r="AB566" t="s">
        <v>26</v>
      </c>
    </row>
    <row r="567" spans="1:28" x14ac:dyDescent="0.25">
      <c r="A567" t="s">
        <v>244</v>
      </c>
      <c r="B567" t="s">
        <v>627</v>
      </c>
      <c r="C567">
        <v>1</v>
      </c>
      <c r="E567" t="s">
        <v>641</v>
      </c>
      <c r="F567" t="s">
        <v>633</v>
      </c>
      <c r="G567" t="s">
        <v>634</v>
      </c>
      <c r="H567">
        <v>0.1</v>
      </c>
      <c r="I567">
        <v>0.1</v>
      </c>
      <c r="J567">
        <v>100</v>
      </c>
      <c r="K567">
        <v>0</v>
      </c>
      <c r="L567" s="3">
        <v>46208.958333333336</v>
      </c>
      <c r="M567" s="3">
        <v>46208.958333333336</v>
      </c>
      <c r="AA567" t="s">
        <v>25</v>
      </c>
      <c r="AB567" t="s">
        <v>26</v>
      </c>
    </row>
    <row r="568" spans="1:28" x14ac:dyDescent="0.25">
      <c r="A568" t="s">
        <v>244</v>
      </c>
      <c r="B568" t="s">
        <v>627</v>
      </c>
      <c r="C568">
        <v>1</v>
      </c>
      <c r="E568" t="s">
        <v>642</v>
      </c>
      <c r="F568" t="s">
        <v>633</v>
      </c>
      <c r="G568" t="s">
        <v>634</v>
      </c>
      <c r="H568">
        <v>0.15</v>
      </c>
      <c r="I568">
        <v>0.15</v>
      </c>
      <c r="J568">
        <v>150</v>
      </c>
      <c r="K568">
        <v>0</v>
      </c>
      <c r="L568" s="3">
        <v>46208.958333333336</v>
      </c>
      <c r="M568" s="3">
        <v>46208.958333333336</v>
      </c>
      <c r="AA568" t="s">
        <v>25</v>
      </c>
      <c r="AB568" t="s">
        <v>26</v>
      </c>
    </row>
    <row r="569" spans="1:28" x14ac:dyDescent="0.25">
      <c r="A569" t="s">
        <v>244</v>
      </c>
      <c r="B569" t="s">
        <v>627</v>
      </c>
      <c r="C569">
        <v>1</v>
      </c>
      <c r="E569" t="s">
        <v>643</v>
      </c>
      <c r="F569" t="s">
        <v>629</v>
      </c>
      <c r="G569" t="s">
        <v>630</v>
      </c>
      <c r="H569">
        <v>0.1</v>
      </c>
      <c r="I569">
        <v>0.1</v>
      </c>
      <c r="J569">
        <v>100</v>
      </c>
      <c r="K569">
        <v>0</v>
      </c>
      <c r="L569" s="3">
        <v>46208.958333333336</v>
      </c>
      <c r="M569" s="3">
        <v>46208.958333333336</v>
      </c>
      <c r="AA569" t="s">
        <v>25</v>
      </c>
      <c r="AB569" t="s">
        <v>26</v>
      </c>
    </row>
    <row r="570" spans="1:28" x14ac:dyDescent="0.25">
      <c r="A570" t="s">
        <v>244</v>
      </c>
      <c r="B570" t="s">
        <v>627</v>
      </c>
      <c r="C570">
        <v>1</v>
      </c>
      <c r="E570" t="s">
        <v>644</v>
      </c>
      <c r="F570" t="s">
        <v>629</v>
      </c>
      <c r="G570" t="s">
        <v>630</v>
      </c>
      <c r="H570">
        <v>0.1</v>
      </c>
      <c r="I570">
        <v>0.1</v>
      </c>
      <c r="J570">
        <v>100</v>
      </c>
      <c r="K570">
        <v>0</v>
      </c>
      <c r="L570" s="3">
        <v>46208.958333333336</v>
      </c>
      <c r="M570" s="3">
        <v>46208.958333333336</v>
      </c>
      <c r="AA570" t="s">
        <v>25</v>
      </c>
      <c r="AB570" t="s">
        <v>26</v>
      </c>
    </row>
    <row r="571" spans="1:28" x14ac:dyDescent="0.25">
      <c r="A571" t="s">
        <v>244</v>
      </c>
      <c r="B571" t="s">
        <v>627</v>
      </c>
      <c r="C571">
        <v>1</v>
      </c>
      <c r="E571" t="s">
        <v>645</v>
      </c>
      <c r="F571" t="s">
        <v>629</v>
      </c>
      <c r="G571" t="s">
        <v>630</v>
      </c>
      <c r="H571">
        <v>0.1</v>
      </c>
      <c r="I571">
        <v>0.1</v>
      </c>
      <c r="J571">
        <v>100</v>
      </c>
      <c r="K571">
        <v>0</v>
      </c>
      <c r="L571" s="3">
        <v>46208.958333333336</v>
      </c>
      <c r="M571" s="3">
        <v>46208.958333333336</v>
      </c>
      <c r="AA571" t="s">
        <v>25</v>
      </c>
      <c r="AB571" t="s">
        <v>26</v>
      </c>
    </row>
    <row r="572" spans="1:28" x14ac:dyDescent="0.25">
      <c r="A572" t="s">
        <v>244</v>
      </c>
      <c r="B572" t="s">
        <v>627</v>
      </c>
      <c r="C572">
        <v>1</v>
      </c>
      <c r="E572" t="s">
        <v>646</v>
      </c>
      <c r="F572" t="s">
        <v>629</v>
      </c>
      <c r="G572" t="s">
        <v>630</v>
      </c>
      <c r="H572">
        <v>0.1</v>
      </c>
      <c r="I572">
        <v>0.1</v>
      </c>
      <c r="J572">
        <v>100</v>
      </c>
      <c r="K572">
        <v>0</v>
      </c>
      <c r="L572" s="3">
        <v>46208.958333333336</v>
      </c>
      <c r="M572" s="3">
        <v>46208.958333333336</v>
      </c>
      <c r="AA572" t="s">
        <v>25</v>
      </c>
      <c r="AB572" t="s">
        <v>26</v>
      </c>
    </row>
    <row r="573" spans="1:28" x14ac:dyDescent="0.25">
      <c r="A573" t="s">
        <v>244</v>
      </c>
      <c r="B573" t="s">
        <v>627</v>
      </c>
      <c r="C573">
        <v>1</v>
      </c>
      <c r="E573" t="s">
        <v>647</v>
      </c>
      <c r="F573" t="s">
        <v>629</v>
      </c>
      <c r="G573" t="s">
        <v>630</v>
      </c>
      <c r="H573">
        <v>0.1</v>
      </c>
      <c r="I573">
        <v>0.1</v>
      </c>
      <c r="J573">
        <v>100</v>
      </c>
      <c r="K573">
        <v>0</v>
      </c>
      <c r="L573" s="3">
        <v>46208.958333333336</v>
      </c>
      <c r="M573" s="3">
        <v>46208.958333333336</v>
      </c>
      <c r="AA573" t="s">
        <v>25</v>
      </c>
      <c r="AB573" t="s">
        <v>26</v>
      </c>
    </row>
    <row r="574" spans="1:28" s="4" customFormat="1" ht="15.75" thickBot="1" x14ac:dyDescent="0.3">
      <c r="A574" s="4" t="s">
        <v>244</v>
      </c>
      <c r="B574" s="4" t="s">
        <v>627</v>
      </c>
      <c r="C574" s="4">
        <v>1</v>
      </c>
      <c r="E574" s="4" t="s">
        <v>648</v>
      </c>
      <c r="F574" s="4" t="s">
        <v>629</v>
      </c>
      <c r="G574" s="4" t="s">
        <v>630</v>
      </c>
      <c r="H574" s="4">
        <v>0.15</v>
      </c>
      <c r="I574" s="4">
        <v>0.15</v>
      </c>
      <c r="J574" s="4">
        <v>150</v>
      </c>
      <c r="K574" s="4">
        <v>0</v>
      </c>
      <c r="L574" s="40">
        <v>46208.958333333336</v>
      </c>
      <c r="M574" s="40">
        <v>46208.958333333336</v>
      </c>
      <c r="AA574" s="4" t="s">
        <v>25</v>
      </c>
      <c r="AB574" s="4" t="s">
        <v>26</v>
      </c>
    </row>
    <row r="575" spans="1:28" x14ac:dyDescent="0.25">
      <c r="A575" t="s">
        <v>244</v>
      </c>
      <c r="B575" t="s">
        <v>627</v>
      </c>
      <c r="C575">
        <v>1</v>
      </c>
      <c r="E575" t="s">
        <v>652</v>
      </c>
      <c r="F575" t="s">
        <v>651</v>
      </c>
      <c r="G575" t="s">
        <v>1198</v>
      </c>
      <c r="J575">
        <v>60</v>
      </c>
      <c r="K575">
        <v>0</v>
      </c>
    </row>
    <row r="576" spans="1:28" x14ac:dyDescent="0.25">
      <c r="A576" t="s">
        <v>244</v>
      </c>
      <c r="B576" t="s">
        <v>627</v>
      </c>
      <c r="C576">
        <v>1</v>
      </c>
      <c r="E576" t="s">
        <v>658</v>
      </c>
      <c r="F576" t="s">
        <v>659</v>
      </c>
      <c r="G576" t="s">
        <v>1199</v>
      </c>
      <c r="J576">
        <v>48</v>
      </c>
      <c r="K576">
        <v>0</v>
      </c>
    </row>
    <row r="577" spans="1:13" x14ac:dyDescent="0.25">
      <c r="A577" t="s">
        <v>244</v>
      </c>
      <c r="B577" t="s">
        <v>627</v>
      </c>
      <c r="C577">
        <v>1</v>
      </c>
      <c r="E577" t="s">
        <v>655</v>
      </c>
      <c r="F577" t="s">
        <v>651</v>
      </c>
      <c r="G577" t="s">
        <v>1198</v>
      </c>
      <c r="J577">
        <v>48</v>
      </c>
      <c r="K577">
        <v>0</v>
      </c>
    </row>
    <row r="578" spans="1:13" x14ac:dyDescent="0.25">
      <c r="A578" t="s">
        <v>244</v>
      </c>
      <c r="B578" t="s">
        <v>627</v>
      </c>
      <c r="C578">
        <v>1</v>
      </c>
      <c r="E578" t="s">
        <v>662</v>
      </c>
      <c r="F578" t="s">
        <v>663</v>
      </c>
      <c r="G578" t="s">
        <v>1200</v>
      </c>
      <c r="J578">
        <v>34</v>
      </c>
      <c r="K578">
        <v>0</v>
      </c>
    </row>
    <row r="579" spans="1:13" x14ac:dyDescent="0.25">
      <c r="A579" t="s">
        <v>244</v>
      </c>
      <c r="B579" t="s">
        <v>627</v>
      </c>
      <c r="C579">
        <v>1</v>
      </c>
      <c r="E579" t="s">
        <v>1550</v>
      </c>
      <c r="F579" t="s">
        <v>651</v>
      </c>
      <c r="G579" t="s">
        <v>1198</v>
      </c>
      <c r="J579">
        <v>48</v>
      </c>
      <c r="K579">
        <v>0</v>
      </c>
    </row>
    <row r="580" spans="1:13" x14ac:dyDescent="0.25">
      <c r="A580" t="s">
        <v>244</v>
      </c>
      <c r="B580" t="s">
        <v>627</v>
      </c>
      <c r="C580">
        <v>1</v>
      </c>
      <c r="E580" t="s">
        <v>1216</v>
      </c>
      <c r="F580" t="s">
        <v>663</v>
      </c>
      <c r="G580" t="s">
        <v>1200</v>
      </c>
      <c r="J580">
        <v>40</v>
      </c>
      <c r="K580">
        <v>0</v>
      </c>
    </row>
    <row r="581" spans="1:13" x14ac:dyDescent="0.25">
      <c r="A581" t="s">
        <v>244</v>
      </c>
      <c r="B581" t="s">
        <v>627</v>
      </c>
      <c r="C581">
        <v>1</v>
      </c>
      <c r="E581" t="s">
        <v>1219</v>
      </c>
      <c r="F581" t="s">
        <v>1211</v>
      </c>
      <c r="G581" t="s">
        <v>1212</v>
      </c>
      <c r="J581">
        <v>24</v>
      </c>
      <c r="K581">
        <v>0</v>
      </c>
    </row>
    <row r="582" spans="1:13" x14ac:dyDescent="0.25">
      <c r="A582" t="s">
        <v>244</v>
      </c>
      <c r="B582" t="s">
        <v>627</v>
      </c>
      <c r="C582">
        <v>1</v>
      </c>
      <c r="E582" t="s">
        <v>1220</v>
      </c>
      <c r="F582" t="s">
        <v>1214</v>
      </c>
      <c r="G582" t="s">
        <v>1213</v>
      </c>
      <c r="J582">
        <v>24</v>
      </c>
      <c r="K582">
        <v>0</v>
      </c>
    </row>
    <row r="583" spans="1:13" x14ac:dyDescent="0.25">
      <c r="A583" t="s">
        <v>244</v>
      </c>
      <c r="B583" t="s">
        <v>627</v>
      </c>
      <c r="C583">
        <v>1</v>
      </c>
      <c r="E583" t="s">
        <v>1218</v>
      </c>
      <c r="F583" t="s">
        <v>651</v>
      </c>
      <c r="G583" t="s">
        <v>1198</v>
      </c>
      <c r="J583">
        <v>48</v>
      </c>
      <c r="K583">
        <v>0</v>
      </c>
    </row>
    <row r="584" spans="1:13" x14ac:dyDescent="0.25">
      <c r="A584" t="s">
        <v>244</v>
      </c>
      <c r="B584" t="s">
        <v>627</v>
      </c>
      <c r="C584">
        <v>1</v>
      </c>
      <c r="E584" t="s">
        <v>1217</v>
      </c>
      <c r="F584" t="s">
        <v>651</v>
      </c>
      <c r="G584" t="s">
        <v>1198</v>
      </c>
      <c r="J584">
        <v>16</v>
      </c>
      <c r="K584">
        <v>0</v>
      </c>
    </row>
    <row r="585" spans="1:13" s="4" customFormat="1" ht="15.75" thickBot="1" x14ac:dyDescent="0.3">
      <c r="A585" s="4" t="s">
        <v>244</v>
      </c>
      <c r="B585" s="4" t="s">
        <v>627</v>
      </c>
      <c r="C585" s="4">
        <v>1</v>
      </c>
      <c r="E585" s="4" t="s">
        <v>1215</v>
      </c>
      <c r="F585" s="4" t="s">
        <v>663</v>
      </c>
      <c r="G585" s="4" t="s">
        <v>1200</v>
      </c>
      <c r="J585" s="4">
        <v>32</v>
      </c>
      <c r="K585" s="4">
        <v>0</v>
      </c>
      <c r="L585" s="40"/>
      <c r="M585" s="40"/>
    </row>
    <row r="586" spans="1:13" s="5" customFormat="1" x14ac:dyDescent="0.25">
      <c r="A586" s="5" t="s">
        <v>244</v>
      </c>
      <c r="B586" s="5" t="s">
        <v>627</v>
      </c>
      <c r="C586" s="5">
        <v>1</v>
      </c>
      <c r="E586" s="5" t="s">
        <v>649</v>
      </c>
      <c r="F586" s="5" t="s">
        <v>631</v>
      </c>
      <c r="G586" s="5" t="s">
        <v>1201</v>
      </c>
      <c r="J586" s="5">
        <v>23</v>
      </c>
      <c r="K586" s="5">
        <v>23</v>
      </c>
      <c r="L586" s="61"/>
      <c r="M586" s="61"/>
    </row>
    <row r="587" spans="1:13" s="5" customFormat="1" x14ac:dyDescent="0.25">
      <c r="A587" s="5" t="s">
        <v>244</v>
      </c>
      <c r="B587" s="5" t="s">
        <v>627</v>
      </c>
      <c r="C587" s="5">
        <v>1</v>
      </c>
      <c r="E587" s="5" t="s">
        <v>653</v>
      </c>
      <c r="F587" s="5" t="s">
        <v>654</v>
      </c>
      <c r="G587" s="5" t="s">
        <v>1202</v>
      </c>
      <c r="J587" s="5">
        <v>60</v>
      </c>
      <c r="K587" s="5">
        <v>60</v>
      </c>
      <c r="L587" s="61"/>
      <c r="M587" s="61"/>
    </row>
    <row r="588" spans="1:13" x14ac:dyDescent="0.25">
      <c r="A588" t="s">
        <v>244</v>
      </c>
      <c r="B588" t="s">
        <v>627</v>
      </c>
      <c r="C588">
        <v>1</v>
      </c>
      <c r="E588" t="s">
        <v>656</v>
      </c>
      <c r="F588" t="s">
        <v>654</v>
      </c>
      <c r="G588" t="s">
        <v>1202</v>
      </c>
      <c r="J588">
        <v>32</v>
      </c>
      <c r="K588">
        <v>0</v>
      </c>
    </row>
    <row r="589" spans="1:13" x14ac:dyDescent="0.25">
      <c r="A589" t="s">
        <v>244</v>
      </c>
      <c r="B589" t="s">
        <v>627</v>
      </c>
      <c r="C589">
        <v>1</v>
      </c>
      <c r="E589" t="s">
        <v>657</v>
      </c>
      <c r="F589" t="s">
        <v>650</v>
      </c>
      <c r="G589" t="s">
        <v>1203</v>
      </c>
      <c r="J589">
        <v>60</v>
      </c>
      <c r="K589">
        <v>0</v>
      </c>
    </row>
    <row r="590" spans="1:13" x14ac:dyDescent="0.25">
      <c r="A590" t="s">
        <v>244</v>
      </c>
      <c r="B590" t="s">
        <v>627</v>
      </c>
      <c r="C590">
        <v>1</v>
      </c>
      <c r="E590" t="s">
        <v>661</v>
      </c>
      <c r="F590" t="s">
        <v>631</v>
      </c>
      <c r="G590" t="s">
        <v>1201</v>
      </c>
      <c r="J590">
        <v>48</v>
      </c>
      <c r="K590">
        <v>0</v>
      </c>
    </row>
    <row r="591" spans="1:13" x14ac:dyDescent="0.25">
      <c r="A591" t="s">
        <v>244</v>
      </c>
      <c r="B591" t="s">
        <v>627</v>
      </c>
      <c r="C591">
        <v>1</v>
      </c>
      <c r="E591" t="s">
        <v>660</v>
      </c>
      <c r="F591" t="s">
        <v>650</v>
      </c>
      <c r="G591" t="s">
        <v>1203</v>
      </c>
      <c r="J591">
        <v>48</v>
      </c>
      <c r="K591">
        <v>0</v>
      </c>
    </row>
    <row r="592" spans="1:13" x14ac:dyDescent="0.25">
      <c r="A592" t="s">
        <v>244</v>
      </c>
      <c r="B592" t="s">
        <v>627</v>
      </c>
      <c r="C592">
        <v>1</v>
      </c>
      <c r="E592" t="s">
        <v>1204</v>
      </c>
      <c r="F592" t="s">
        <v>654</v>
      </c>
      <c r="G592" t="s">
        <v>1202</v>
      </c>
      <c r="J592">
        <v>34</v>
      </c>
      <c r="K592">
        <v>0</v>
      </c>
    </row>
    <row r="593" spans="1:28" x14ac:dyDescent="0.25">
      <c r="A593" t="s">
        <v>244</v>
      </c>
      <c r="B593" t="s">
        <v>627</v>
      </c>
      <c r="C593">
        <v>1</v>
      </c>
      <c r="E593" t="s">
        <v>1550</v>
      </c>
      <c r="F593" t="s">
        <v>650</v>
      </c>
      <c r="G593" t="s">
        <v>1203</v>
      </c>
      <c r="J593">
        <v>48</v>
      </c>
      <c r="K593">
        <v>0</v>
      </c>
    </row>
    <row r="594" spans="1:28" x14ac:dyDescent="0.25">
      <c r="A594" t="s">
        <v>244</v>
      </c>
      <c r="B594" t="s">
        <v>627</v>
      </c>
      <c r="C594">
        <v>1</v>
      </c>
      <c r="E594" t="s">
        <v>1235</v>
      </c>
      <c r="F594" t="s">
        <v>654</v>
      </c>
      <c r="G594" t="s">
        <v>1202</v>
      </c>
      <c r="J594">
        <v>40</v>
      </c>
      <c r="K594">
        <v>0</v>
      </c>
    </row>
    <row r="595" spans="1:28" x14ac:dyDescent="0.25">
      <c r="A595" t="s">
        <v>244</v>
      </c>
      <c r="B595" t="s">
        <v>627</v>
      </c>
      <c r="C595">
        <v>1</v>
      </c>
      <c r="E595" t="s">
        <v>1236</v>
      </c>
      <c r="F595" t="s">
        <v>1551</v>
      </c>
      <c r="G595" t="s">
        <v>1233</v>
      </c>
      <c r="J595">
        <v>24</v>
      </c>
      <c r="K595">
        <v>0</v>
      </c>
    </row>
    <row r="596" spans="1:28" x14ac:dyDescent="0.25">
      <c r="A596" t="s">
        <v>244</v>
      </c>
      <c r="B596" t="s">
        <v>627</v>
      </c>
      <c r="C596">
        <v>1</v>
      </c>
      <c r="E596" t="s">
        <v>1238</v>
      </c>
      <c r="F596" t="s">
        <v>1552</v>
      </c>
      <c r="G596" t="s">
        <v>1234</v>
      </c>
      <c r="J596">
        <v>24</v>
      </c>
      <c r="K596">
        <v>0</v>
      </c>
    </row>
    <row r="597" spans="1:28" x14ac:dyDescent="0.25">
      <c r="A597" t="s">
        <v>244</v>
      </c>
      <c r="B597" t="s">
        <v>627</v>
      </c>
      <c r="C597">
        <v>1</v>
      </c>
      <c r="E597" t="s">
        <v>1237</v>
      </c>
      <c r="F597" t="s">
        <v>650</v>
      </c>
      <c r="G597" t="s">
        <v>1203</v>
      </c>
      <c r="J597">
        <v>48</v>
      </c>
      <c r="K597">
        <v>0</v>
      </c>
    </row>
    <row r="598" spans="1:28" x14ac:dyDescent="0.25">
      <c r="A598" t="s">
        <v>244</v>
      </c>
      <c r="B598" t="s">
        <v>627</v>
      </c>
      <c r="C598">
        <v>1</v>
      </c>
      <c r="E598" t="s">
        <v>1239</v>
      </c>
      <c r="F598" t="s">
        <v>650</v>
      </c>
      <c r="G598" t="s">
        <v>1203</v>
      </c>
      <c r="J598">
        <v>16</v>
      </c>
      <c r="K598">
        <v>0</v>
      </c>
    </row>
    <row r="599" spans="1:28" s="4" customFormat="1" ht="15.75" thickBot="1" x14ac:dyDescent="0.3">
      <c r="A599" s="4" t="s">
        <v>244</v>
      </c>
      <c r="B599" s="4" t="s">
        <v>627</v>
      </c>
      <c r="C599" s="4">
        <v>1</v>
      </c>
      <c r="E599" s="4" t="s">
        <v>1240</v>
      </c>
      <c r="F599" s="4" t="s">
        <v>654</v>
      </c>
      <c r="G599" s="4" t="s">
        <v>1202</v>
      </c>
      <c r="J599" s="4">
        <v>32</v>
      </c>
      <c r="K599" s="4">
        <v>0</v>
      </c>
      <c r="L599" s="40"/>
      <c r="M599" s="40"/>
    </row>
    <row r="600" spans="1:28" s="6" customFormat="1" x14ac:dyDescent="0.25">
      <c r="A600" s="6" t="s">
        <v>244</v>
      </c>
      <c r="B600" s="6" t="s">
        <v>664</v>
      </c>
      <c r="C600" s="6">
        <v>1</v>
      </c>
      <c r="E600" s="6" t="s">
        <v>665</v>
      </c>
      <c r="F600" s="6" t="s">
        <v>666</v>
      </c>
      <c r="G600" s="6" t="s">
        <v>667</v>
      </c>
      <c r="H600" s="6">
        <v>44.8</v>
      </c>
      <c r="I600" s="6">
        <v>44.8</v>
      </c>
      <c r="J600" s="6">
        <v>22400</v>
      </c>
      <c r="K600" s="6">
        <v>0</v>
      </c>
      <c r="L600" s="45">
        <v>46208.958333333336</v>
      </c>
      <c r="M600" s="45">
        <v>46210.833333333336</v>
      </c>
      <c r="AA600" s="6" t="s">
        <v>25</v>
      </c>
      <c r="AB600" s="6" t="s">
        <v>26</v>
      </c>
    </row>
    <row r="601" spans="1:28" x14ac:dyDescent="0.25">
      <c r="A601" t="s">
        <v>244</v>
      </c>
      <c r="B601" t="s">
        <v>664</v>
      </c>
      <c r="C601">
        <v>1</v>
      </c>
      <c r="E601" t="s">
        <v>668</v>
      </c>
      <c r="F601" t="s">
        <v>669</v>
      </c>
      <c r="G601" t="s">
        <v>670</v>
      </c>
      <c r="H601">
        <v>2.8</v>
      </c>
      <c r="I601">
        <v>2.8</v>
      </c>
      <c r="J601">
        <v>1400</v>
      </c>
      <c r="K601">
        <v>0</v>
      </c>
      <c r="L601" s="3">
        <v>46210.840277777781</v>
      </c>
      <c r="M601" s="3">
        <v>46210.965277777781</v>
      </c>
      <c r="AA601" t="s">
        <v>25</v>
      </c>
      <c r="AB601" t="s">
        <v>26</v>
      </c>
    </row>
    <row r="602" spans="1:28" x14ac:dyDescent="0.25">
      <c r="A602" t="s">
        <v>244</v>
      </c>
      <c r="B602" t="s">
        <v>664</v>
      </c>
      <c r="C602">
        <v>1</v>
      </c>
      <c r="E602" t="s">
        <v>671</v>
      </c>
      <c r="F602" t="s">
        <v>672</v>
      </c>
      <c r="G602" t="s">
        <v>673</v>
      </c>
      <c r="H602">
        <v>11.2</v>
      </c>
      <c r="I602">
        <v>11.2</v>
      </c>
      <c r="J602">
        <v>5600</v>
      </c>
      <c r="K602">
        <v>0</v>
      </c>
      <c r="L602" s="3">
        <v>46210.972222222219</v>
      </c>
      <c r="M602" s="3">
        <v>46211.451388888891</v>
      </c>
      <c r="AA602" t="s">
        <v>25</v>
      </c>
      <c r="AB602" t="s">
        <v>26</v>
      </c>
    </row>
    <row r="603" spans="1:28" x14ac:dyDescent="0.25">
      <c r="A603" t="s">
        <v>244</v>
      </c>
      <c r="B603" t="s">
        <v>674</v>
      </c>
      <c r="C603">
        <v>2</v>
      </c>
      <c r="E603" t="s">
        <v>675</v>
      </c>
      <c r="F603" t="s">
        <v>676</v>
      </c>
      <c r="G603" t="s">
        <v>677</v>
      </c>
      <c r="H603">
        <v>16</v>
      </c>
      <c r="I603">
        <v>8</v>
      </c>
      <c r="J603">
        <v>22400</v>
      </c>
      <c r="K603">
        <v>0</v>
      </c>
      <c r="L603" s="3">
        <v>46209.291666666664</v>
      </c>
      <c r="M603" s="3">
        <v>46209.631944444445</v>
      </c>
      <c r="AA603" t="s">
        <v>25</v>
      </c>
      <c r="AB603" t="s">
        <v>26</v>
      </c>
    </row>
    <row r="604" spans="1:28" x14ac:dyDescent="0.25">
      <c r="A604" t="s">
        <v>244</v>
      </c>
      <c r="B604" t="s">
        <v>674</v>
      </c>
      <c r="C604">
        <v>2</v>
      </c>
      <c r="E604" t="s">
        <v>678</v>
      </c>
      <c r="F604" t="s">
        <v>679</v>
      </c>
      <c r="G604" t="s">
        <v>680</v>
      </c>
      <c r="H604">
        <v>16</v>
      </c>
      <c r="I604">
        <v>8</v>
      </c>
      <c r="J604">
        <v>22400</v>
      </c>
      <c r="K604">
        <v>0</v>
      </c>
      <c r="L604" s="3">
        <v>46209.638888888891</v>
      </c>
      <c r="M604" s="3">
        <v>46210.3125</v>
      </c>
      <c r="AA604" t="s">
        <v>25</v>
      </c>
      <c r="AB604" t="s">
        <v>26</v>
      </c>
    </row>
    <row r="605" spans="1:28" s="4" customFormat="1" ht="15.75" thickBot="1" x14ac:dyDescent="0.3">
      <c r="A605" s="4" t="s">
        <v>244</v>
      </c>
      <c r="B605" s="4" t="s">
        <v>674</v>
      </c>
      <c r="C605" s="4">
        <v>2</v>
      </c>
      <c r="E605" s="4" t="s">
        <v>681</v>
      </c>
      <c r="F605" s="4" t="s">
        <v>676</v>
      </c>
      <c r="G605" s="4" t="s">
        <v>677</v>
      </c>
      <c r="H605" s="4">
        <v>16</v>
      </c>
      <c r="I605" s="4">
        <v>8</v>
      </c>
      <c r="J605" s="4">
        <v>22400</v>
      </c>
      <c r="K605" s="4">
        <v>0</v>
      </c>
      <c r="L605" s="40">
        <v>46210.319444444445</v>
      </c>
      <c r="M605" s="40">
        <v>46210.659722222219</v>
      </c>
      <c r="AA605" s="4" t="s">
        <v>25</v>
      </c>
      <c r="AB605" s="4" t="s">
        <v>26</v>
      </c>
    </row>
    <row r="606" spans="1:28" s="10" customFormat="1" x14ac:dyDescent="0.25">
      <c r="A606" s="10" t="s">
        <v>244</v>
      </c>
      <c r="B606" s="10" t="s">
        <v>682</v>
      </c>
      <c r="C606" s="10">
        <v>3</v>
      </c>
      <c r="E606" s="10" t="s">
        <v>685</v>
      </c>
      <c r="F606" s="10" t="s">
        <v>686</v>
      </c>
      <c r="G606" s="10" t="s">
        <v>687</v>
      </c>
      <c r="H606" s="10">
        <v>216</v>
      </c>
      <c r="I606" s="10">
        <v>9</v>
      </c>
      <c r="J606" s="10">
        <v>5760</v>
      </c>
      <c r="K606" s="10">
        <v>5040</v>
      </c>
      <c r="L606" s="37">
        <v>46209.291666666664</v>
      </c>
      <c r="M606" s="37">
        <v>46209.659722222219</v>
      </c>
      <c r="O606" s="10" t="s">
        <v>87</v>
      </c>
      <c r="AA606" s="10" t="s">
        <v>25</v>
      </c>
      <c r="AB606" s="10" t="s">
        <v>26</v>
      </c>
    </row>
    <row r="607" spans="1:28" x14ac:dyDescent="0.25">
      <c r="A607" t="s">
        <v>244</v>
      </c>
      <c r="B607" t="s">
        <v>682</v>
      </c>
      <c r="C607">
        <v>3</v>
      </c>
      <c r="E607" t="s">
        <v>1449</v>
      </c>
      <c r="F607" t="s">
        <v>1450</v>
      </c>
      <c r="G607" t="s">
        <v>1451</v>
      </c>
      <c r="H607">
        <v>116.67</v>
      </c>
      <c r="I607">
        <v>38.89</v>
      </c>
      <c r="J607">
        <v>2800</v>
      </c>
      <c r="K607">
        <v>0</v>
      </c>
      <c r="L607" s="3">
        <v>46209.736111111109</v>
      </c>
      <c r="M607" s="3">
        <v>46212.354166666664</v>
      </c>
      <c r="AA607" t="s">
        <v>25</v>
      </c>
      <c r="AB607" t="s">
        <v>26</v>
      </c>
    </row>
    <row r="608" spans="1:28" x14ac:dyDescent="0.25">
      <c r="A608" t="s">
        <v>244</v>
      </c>
      <c r="B608" t="s">
        <v>682</v>
      </c>
      <c r="C608">
        <v>2</v>
      </c>
      <c r="E608" t="s">
        <v>688</v>
      </c>
      <c r="F608" t="s">
        <v>689</v>
      </c>
      <c r="G608" t="s">
        <v>690</v>
      </c>
      <c r="H608">
        <v>56</v>
      </c>
      <c r="I608">
        <v>28</v>
      </c>
      <c r="J608">
        <v>4200</v>
      </c>
      <c r="K608">
        <v>0</v>
      </c>
      <c r="L608" s="3">
        <v>46212.361111111109</v>
      </c>
      <c r="M608" s="3">
        <v>46213.854166666664</v>
      </c>
      <c r="AA608" t="s">
        <v>25</v>
      </c>
      <c r="AB608" t="s">
        <v>26</v>
      </c>
    </row>
    <row r="609" spans="1:28" x14ac:dyDescent="0.25">
      <c r="A609" t="s">
        <v>244</v>
      </c>
      <c r="B609" t="s">
        <v>682</v>
      </c>
      <c r="C609">
        <v>2</v>
      </c>
      <c r="E609" s="73" t="s">
        <v>1452</v>
      </c>
      <c r="F609" s="73" t="s">
        <v>689</v>
      </c>
      <c r="G609" s="73" t="s">
        <v>690</v>
      </c>
      <c r="H609" s="73">
        <v>2</v>
      </c>
      <c r="I609" s="73">
        <v>1</v>
      </c>
      <c r="J609" s="73">
        <v>150</v>
      </c>
      <c r="K609">
        <v>0</v>
      </c>
      <c r="L609" s="3">
        <v>46216.291666666664</v>
      </c>
      <c r="M609" s="3">
        <v>46216.326388888891</v>
      </c>
      <c r="AA609" t="s">
        <v>227</v>
      </c>
      <c r="AB609" t="s">
        <v>26</v>
      </c>
    </row>
    <row r="610" spans="1:28" x14ac:dyDescent="0.25">
      <c r="A610" t="s">
        <v>244</v>
      </c>
      <c r="B610" t="s">
        <v>682</v>
      </c>
      <c r="C610">
        <v>2</v>
      </c>
      <c r="E610" s="72" t="s">
        <v>1453</v>
      </c>
      <c r="F610" s="72" t="s">
        <v>1454</v>
      </c>
      <c r="G610" s="72" t="s">
        <v>1455</v>
      </c>
      <c r="H610" s="72">
        <v>6.66</v>
      </c>
      <c r="I610" s="72">
        <v>3.33</v>
      </c>
      <c r="J610" s="72">
        <v>500</v>
      </c>
      <c r="K610">
        <v>0</v>
      </c>
      <c r="L610" s="3">
        <v>46216.333333333336</v>
      </c>
      <c r="M610" s="3">
        <v>46216.465277777781</v>
      </c>
      <c r="AA610" t="s">
        <v>1044</v>
      </c>
      <c r="AB610" t="s">
        <v>26</v>
      </c>
    </row>
    <row r="611" spans="1:28" x14ac:dyDescent="0.25">
      <c r="A611" t="s">
        <v>244</v>
      </c>
      <c r="B611" t="s">
        <v>682</v>
      </c>
      <c r="C611">
        <v>2</v>
      </c>
      <c r="E611" s="72" t="s">
        <v>1456</v>
      </c>
      <c r="F611" s="72" t="s">
        <v>1454</v>
      </c>
      <c r="G611" s="72" t="s">
        <v>1455</v>
      </c>
      <c r="H611" s="72">
        <v>6.66</v>
      </c>
      <c r="I611" s="72">
        <v>3.33</v>
      </c>
      <c r="J611" s="72">
        <v>500</v>
      </c>
      <c r="K611">
        <v>0</v>
      </c>
      <c r="L611" s="3">
        <v>46216.472222222219</v>
      </c>
      <c r="M611" s="3">
        <v>46216.604166666664</v>
      </c>
      <c r="AA611" t="s">
        <v>1457</v>
      </c>
      <c r="AB611" t="s">
        <v>26</v>
      </c>
    </row>
    <row r="612" spans="1:28" x14ac:dyDescent="0.25">
      <c r="A612" t="s">
        <v>244</v>
      </c>
      <c r="B612" t="s">
        <v>682</v>
      </c>
      <c r="C612">
        <v>2</v>
      </c>
      <c r="E612" s="72" t="s">
        <v>1458</v>
      </c>
      <c r="F612" s="72" t="s">
        <v>1454</v>
      </c>
      <c r="G612" s="72" t="s">
        <v>1455</v>
      </c>
      <c r="H612" s="72">
        <v>6.66</v>
      </c>
      <c r="I612" s="72">
        <v>3.33</v>
      </c>
      <c r="J612" s="72">
        <v>500</v>
      </c>
      <c r="K612">
        <v>0</v>
      </c>
      <c r="L612" s="3">
        <v>46216.611111111109</v>
      </c>
      <c r="M612" s="3">
        <v>46216.743055555555</v>
      </c>
      <c r="AA612" t="s">
        <v>1459</v>
      </c>
      <c r="AB612" t="s">
        <v>26</v>
      </c>
    </row>
    <row r="613" spans="1:28" s="6" customFormat="1" x14ac:dyDescent="0.25">
      <c r="A613" s="6" t="s">
        <v>244</v>
      </c>
      <c r="B613" s="6" t="s">
        <v>682</v>
      </c>
      <c r="C613" s="6">
        <v>2</v>
      </c>
      <c r="E613" s="6" t="s">
        <v>683</v>
      </c>
      <c r="F613" s="6" t="s">
        <v>684</v>
      </c>
      <c r="G613" s="6" t="s">
        <v>1554</v>
      </c>
      <c r="H613" s="6">
        <v>2.8</v>
      </c>
      <c r="I613" s="6">
        <v>1.4</v>
      </c>
      <c r="J613" s="6">
        <v>210</v>
      </c>
      <c r="K613" s="6">
        <v>0</v>
      </c>
      <c r="L613" s="45">
        <v>46209.666666666664</v>
      </c>
      <c r="M613" s="45">
        <v>46209.722222222219</v>
      </c>
      <c r="AA613" s="6" t="s">
        <v>25</v>
      </c>
      <c r="AB613" s="6" t="s">
        <v>26</v>
      </c>
    </row>
    <row r="614" spans="1:28" x14ac:dyDescent="0.25">
      <c r="A614" t="s">
        <v>244</v>
      </c>
      <c r="B614" t="s">
        <v>682</v>
      </c>
      <c r="C614">
        <v>2</v>
      </c>
      <c r="E614" t="s">
        <v>1460</v>
      </c>
      <c r="F614" t="s">
        <v>1461</v>
      </c>
      <c r="G614" t="s">
        <v>1462</v>
      </c>
      <c r="H614">
        <v>75</v>
      </c>
      <c r="I614">
        <v>37.5</v>
      </c>
      <c r="J614">
        <v>3000</v>
      </c>
      <c r="K614">
        <v>0</v>
      </c>
      <c r="L614" s="3">
        <v>46238.291666666664</v>
      </c>
      <c r="M614" s="3">
        <v>46240.513888888891</v>
      </c>
      <c r="AA614" t="s">
        <v>25</v>
      </c>
      <c r="AB614" t="s">
        <v>26</v>
      </c>
    </row>
    <row r="615" spans="1:28" x14ac:dyDescent="0.25">
      <c r="A615" t="s">
        <v>244</v>
      </c>
      <c r="B615" t="s">
        <v>682</v>
      </c>
      <c r="C615">
        <v>3</v>
      </c>
      <c r="E615" t="s">
        <v>691</v>
      </c>
      <c r="F615" t="s">
        <v>686</v>
      </c>
      <c r="G615" t="s">
        <v>687</v>
      </c>
      <c r="H615">
        <v>108</v>
      </c>
      <c r="I615">
        <v>36</v>
      </c>
      <c r="J615">
        <v>2880</v>
      </c>
      <c r="K615">
        <v>0</v>
      </c>
      <c r="L615" s="3">
        <v>46230.291666666664</v>
      </c>
      <c r="M615" s="3">
        <v>46232.451388888891</v>
      </c>
      <c r="AA615" t="s">
        <v>25</v>
      </c>
      <c r="AB615" t="s">
        <v>26</v>
      </c>
    </row>
    <row r="616" spans="1:28" s="4" customFormat="1" ht="15.75" thickBot="1" x14ac:dyDescent="0.3">
      <c r="A616" s="4" t="s">
        <v>244</v>
      </c>
      <c r="B616" s="4" t="s">
        <v>682</v>
      </c>
      <c r="C616" s="4">
        <v>3</v>
      </c>
      <c r="E616" s="4" t="s">
        <v>1463</v>
      </c>
      <c r="F616" s="4" t="s">
        <v>1464</v>
      </c>
      <c r="G616" s="4" t="s">
        <v>1465</v>
      </c>
      <c r="H616" s="4">
        <v>69.989999999999995</v>
      </c>
      <c r="I616" s="4">
        <v>23.33</v>
      </c>
      <c r="J616" s="4">
        <v>420</v>
      </c>
      <c r="K616" s="4">
        <v>0</v>
      </c>
      <c r="L616" s="40">
        <v>46244.291666666664</v>
      </c>
      <c r="M616" s="40">
        <v>46245.611111111109</v>
      </c>
      <c r="AA616" s="4" t="s">
        <v>25</v>
      </c>
      <c r="AB616" s="4" t="s">
        <v>26</v>
      </c>
    </row>
    <row r="617" spans="1:28" x14ac:dyDescent="0.25">
      <c r="A617" t="s">
        <v>244</v>
      </c>
      <c r="B617" t="s">
        <v>692</v>
      </c>
      <c r="E617" t="s">
        <v>693</v>
      </c>
      <c r="F617" t="s">
        <v>694</v>
      </c>
      <c r="G617" t="s">
        <v>695</v>
      </c>
      <c r="I617">
        <v>840</v>
      </c>
      <c r="J617">
        <v>10000</v>
      </c>
      <c r="K617">
        <v>0</v>
      </c>
      <c r="L617" s="3">
        <v>46208.958333333336</v>
      </c>
      <c r="M617" s="3">
        <v>46258.951388888891</v>
      </c>
      <c r="N617" t="s">
        <v>696</v>
      </c>
      <c r="AA617" t="s">
        <v>25</v>
      </c>
      <c r="AB617" t="s">
        <v>26</v>
      </c>
    </row>
    <row r="618" spans="1:28" x14ac:dyDescent="0.25">
      <c r="A618" t="s">
        <v>244</v>
      </c>
      <c r="B618" t="s">
        <v>697</v>
      </c>
      <c r="C618">
        <v>0</v>
      </c>
      <c r="E618" s="12" t="s">
        <v>698</v>
      </c>
      <c r="F618" t="s">
        <v>699</v>
      </c>
      <c r="G618" t="s">
        <v>700</v>
      </c>
      <c r="H618">
        <v>0</v>
      </c>
      <c r="I618">
        <v>12</v>
      </c>
      <c r="J618" s="5">
        <v>108</v>
      </c>
      <c r="K618" s="5">
        <v>108</v>
      </c>
      <c r="L618" s="3">
        <v>46208.958333333336</v>
      </c>
      <c r="M618" s="3">
        <v>46209.451388888891</v>
      </c>
      <c r="N618" s="12"/>
      <c r="O618" s="12" t="s">
        <v>87</v>
      </c>
      <c r="P618" s="12" t="s">
        <v>701</v>
      </c>
      <c r="Q618" s="14">
        <v>46112</v>
      </c>
      <c r="R618" s="12"/>
      <c r="S618" s="12"/>
      <c r="AA618" t="s">
        <v>25</v>
      </c>
      <c r="AB618" t="s">
        <v>26</v>
      </c>
    </row>
    <row r="619" spans="1:28" x14ac:dyDescent="0.25">
      <c r="A619" t="s">
        <v>244</v>
      </c>
      <c r="B619" t="s">
        <v>702</v>
      </c>
      <c r="C619">
        <v>4</v>
      </c>
      <c r="E619" t="s">
        <v>703</v>
      </c>
      <c r="F619" t="s">
        <v>704</v>
      </c>
      <c r="G619" t="s">
        <v>705</v>
      </c>
      <c r="H619">
        <v>100</v>
      </c>
      <c r="I619">
        <v>25</v>
      </c>
      <c r="J619">
        <v>1000</v>
      </c>
      <c r="K619">
        <v>0</v>
      </c>
      <c r="L619" s="3">
        <v>46209.291666666664</v>
      </c>
      <c r="M619" s="3">
        <v>46212.347222222219</v>
      </c>
      <c r="N619" t="s">
        <v>706</v>
      </c>
      <c r="AA619" t="s">
        <v>25</v>
      </c>
      <c r="AB619" t="s">
        <v>26</v>
      </c>
    </row>
    <row r="620" spans="1:28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9"/>
      <c r="M620" s="9"/>
      <c r="N620" s="8"/>
      <c r="O620" s="8"/>
      <c r="P620" s="8"/>
      <c r="Q620" s="8"/>
      <c r="R620" s="8"/>
      <c r="S620" s="8"/>
    </row>
    <row r="621" spans="1:28" x14ac:dyDescent="0.25">
      <c r="A621" t="s">
        <v>707</v>
      </c>
      <c r="B621">
        <v>2</v>
      </c>
      <c r="C621">
        <v>0.5</v>
      </c>
      <c r="E621" s="15" t="s">
        <v>782</v>
      </c>
      <c r="F621" t="s">
        <v>783</v>
      </c>
      <c r="G621" t="s">
        <v>784</v>
      </c>
      <c r="H621">
        <v>12.5</v>
      </c>
      <c r="I621">
        <v>25</v>
      </c>
      <c r="J621">
        <v>12000</v>
      </c>
      <c r="K621">
        <v>0</v>
      </c>
      <c r="L621" s="3">
        <v>46210.854166666664</v>
      </c>
      <c r="M621" s="3">
        <v>46211.923611111109</v>
      </c>
      <c r="N621" s="16" t="s">
        <v>86</v>
      </c>
      <c r="O621" s="17"/>
      <c r="P621" s="17"/>
      <c r="Q621" s="17"/>
      <c r="R621" s="16"/>
      <c r="S621" s="16"/>
      <c r="AA621" t="s">
        <v>25</v>
      </c>
      <c r="AB621" t="s">
        <v>26</v>
      </c>
    </row>
    <row r="622" spans="1:28" x14ac:dyDescent="0.25">
      <c r="A622" t="s">
        <v>707</v>
      </c>
      <c r="B622">
        <v>2</v>
      </c>
      <c r="C622">
        <v>1</v>
      </c>
      <c r="D622" t="s">
        <v>785</v>
      </c>
      <c r="E622" s="15" t="s">
        <v>786</v>
      </c>
      <c r="F622" t="s">
        <v>787</v>
      </c>
      <c r="G622" t="s">
        <v>788</v>
      </c>
      <c r="H622">
        <v>70.180000000000007</v>
      </c>
      <c r="I622">
        <v>70.180000000000007</v>
      </c>
      <c r="J622">
        <v>12000</v>
      </c>
      <c r="K622">
        <v>0</v>
      </c>
      <c r="L622" s="3">
        <v>46211.930555555555</v>
      </c>
      <c r="M622" s="3">
        <v>46214.888888888891</v>
      </c>
      <c r="N622" s="16" t="s">
        <v>86</v>
      </c>
      <c r="O622" s="17"/>
      <c r="P622" s="17"/>
      <c r="Q622" s="17"/>
      <c r="R622" s="16"/>
      <c r="S622" s="16"/>
      <c r="AA622" t="s">
        <v>25</v>
      </c>
      <c r="AB622" t="s">
        <v>25</v>
      </c>
    </row>
    <row r="623" spans="1:28" s="29" customFormat="1" ht="15.75" thickBot="1" x14ac:dyDescent="0.3">
      <c r="A623" s="29" t="s">
        <v>707</v>
      </c>
      <c r="B623" s="29">
        <v>2</v>
      </c>
      <c r="C623" s="29">
        <v>1</v>
      </c>
      <c r="D623" s="29" t="s">
        <v>785</v>
      </c>
      <c r="E623" s="18" t="s">
        <v>789</v>
      </c>
      <c r="F623" s="29" t="s">
        <v>787</v>
      </c>
      <c r="G623" s="29" t="s">
        <v>788</v>
      </c>
      <c r="H623" s="29">
        <v>70.180000000000007</v>
      </c>
      <c r="I623" s="29">
        <v>70.180000000000007</v>
      </c>
      <c r="J623" s="29">
        <v>12000</v>
      </c>
      <c r="K623" s="29">
        <v>0</v>
      </c>
      <c r="L623" s="30">
        <v>46214.895833333336</v>
      </c>
      <c r="M623" s="30">
        <v>46217.854166666664</v>
      </c>
      <c r="N623" s="19" t="s">
        <v>86</v>
      </c>
      <c r="O623" s="20"/>
      <c r="P623" s="20"/>
      <c r="Q623" s="20"/>
      <c r="R623" s="19"/>
      <c r="S623" s="19"/>
      <c r="AA623" s="29" t="s">
        <v>25</v>
      </c>
      <c r="AB623" s="29" t="s">
        <v>25</v>
      </c>
    </row>
    <row r="624" spans="1:28" ht="15.75" thickTop="1" x14ac:dyDescent="0.25">
      <c r="A624" t="s">
        <v>707</v>
      </c>
      <c r="B624" s="28" t="s">
        <v>848</v>
      </c>
      <c r="C624">
        <v>1</v>
      </c>
      <c r="E624" t="s">
        <v>849</v>
      </c>
      <c r="F624" t="s">
        <v>783</v>
      </c>
      <c r="G624" t="s">
        <v>784</v>
      </c>
      <c r="H624">
        <v>70.180000000000007</v>
      </c>
      <c r="I624">
        <v>70.180000000000007</v>
      </c>
      <c r="J624">
        <v>12000</v>
      </c>
      <c r="K624">
        <v>0</v>
      </c>
      <c r="L624" s="3">
        <v>46208.958333333336</v>
      </c>
      <c r="M624" s="3">
        <v>46211.916666666664</v>
      </c>
      <c r="N624" t="s">
        <v>86</v>
      </c>
      <c r="AA624" t="s">
        <v>25</v>
      </c>
      <c r="AB624" t="s">
        <v>25</v>
      </c>
    </row>
    <row r="625" spans="1:28" x14ac:dyDescent="0.25">
      <c r="A625" t="s">
        <v>707</v>
      </c>
      <c r="B625" s="28" t="s">
        <v>848</v>
      </c>
      <c r="C625">
        <v>0.5</v>
      </c>
      <c r="D625" t="s">
        <v>850</v>
      </c>
      <c r="E625" t="s">
        <v>851</v>
      </c>
      <c r="F625" t="s">
        <v>787</v>
      </c>
      <c r="G625" t="s">
        <v>788</v>
      </c>
      <c r="H625">
        <v>14.6</v>
      </c>
      <c r="I625">
        <v>29.2</v>
      </c>
      <c r="J625">
        <v>12000</v>
      </c>
      <c r="K625">
        <v>0</v>
      </c>
      <c r="L625" s="3">
        <v>46213.645833333336</v>
      </c>
      <c r="M625" s="3">
        <v>46216.895833333336</v>
      </c>
      <c r="N625" t="s">
        <v>86</v>
      </c>
      <c r="AA625" t="s">
        <v>25</v>
      </c>
      <c r="AB625" t="s">
        <v>26</v>
      </c>
    </row>
    <row r="626" spans="1:28" s="12" customFormat="1" x14ac:dyDescent="0.25">
      <c r="A626" s="12" t="s">
        <v>707</v>
      </c>
      <c r="B626" s="31" t="s">
        <v>848</v>
      </c>
      <c r="C626" s="12">
        <v>0.5</v>
      </c>
      <c r="D626" s="12" t="s">
        <v>850</v>
      </c>
      <c r="E626" s="12" t="s">
        <v>852</v>
      </c>
      <c r="F626" s="12" t="s">
        <v>787</v>
      </c>
      <c r="G626" s="12" t="s">
        <v>788</v>
      </c>
      <c r="H626" s="12">
        <v>14.6</v>
      </c>
      <c r="I626" s="12">
        <v>29.2</v>
      </c>
      <c r="J626" s="12">
        <v>12000</v>
      </c>
      <c r="K626" s="12">
        <v>0</v>
      </c>
      <c r="L626" s="32">
        <v>46216.902777777781</v>
      </c>
      <c r="M626" s="32">
        <v>46218.152777777781</v>
      </c>
      <c r="N626" s="12" t="s">
        <v>86</v>
      </c>
      <c r="AA626" s="12" t="s">
        <v>25</v>
      </c>
      <c r="AB626" s="12" t="s">
        <v>26</v>
      </c>
    </row>
    <row r="627" spans="1:28" s="10" customFormat="1" x14ac:dyDescent="0.25">
      <c r="A627" s="10" t="s">
        <v>707</v>
      </c>
      <c r="B627" s="36" t="s">
        <v>1045</v>
      </c>
      <c r="C627" s="10">
        <v>0.33</v>
      </c>
      <c r="D627" s="10" t="s">
        <v>1046</v>
      </c>
      <c r="E627" s="10" t="s">
        <v>1047</v>
      </c>
      <c r="F627" s="10" t="s">
        <v>1048</v>
      </c>
      <c r="G627" s="10" t="s">
        <v>1049</v>
      </c>
      <c r="H627" s="10">
        <v>18.750599999999999</v>
      </c>
      <c r="I627" s="10">
        <v>56.82</v>
      </c>
      <c r="J627" s="10">
        <v>25000</v>
      </c>
      <c r="K627" s="10">
        <v>0</v>
      </c>
      <c r="L627" s="37">
        <v>46208.958333333336</v>
      </c>
      <c r="M627" s="37">
        <v>46211.652777777781</v>
      </c>
      <c r="AA627" s="10" t="s">
        <v>25</v>
      </c>
      <c r="AB627" s="10" t="s">
        <v>26</v>
      </c>
    </row>
    <row r="628" spans="1:28" x14ac:dyDescent="0.25">
      <c r="A628" t="s">
        <v>707</v>
      </c>
      <c r="B628" s="28" t="s">
        <v>1045</v>
      </c>
      <c r="C628">
        <v>0.33</v>
      </c>
      <c r="D628" t="s">
        <v>1050</v>
      </c>
      <c r="E628" t="s">
        <v>1051</v>
      </c>
      <c r="F628" t="s">
        <v>1052</v>
      </c>
      <c r="G628" t="s">
        <v>1053</v>
      </c>
      <c r="H628">
        <v>3.4815</v>
      </c>
      <c r="I628">
        <v>10.55</v>
      </c>
      <c r="J628">
        <v>2300</v>
      </c>
      <c r="K628">
        <v>0</v>
      </c>
      <c r="L628" s="3">
        <v>46211.659722222219</v>
      </c>
      <c r="M628" s="3">
        <v>46212.097222222219</v>
      </c>
      <c r="AA628" t="s">
        <v>25</v>
      </c>
      <c r="AB628" t="s">
        <v>26</v>
      </c>
    </row>
    <row r="629" spans="1:28" x14ac:dyDescent="0.25">
      <c r="A629" t="s">
        <v>707</v>
      </c>
      <c r="B629" s="28" t="s">
        <v>1045</v>
      </c>
      <c r="C629">
        <v>0.33</v>
      </c>
      <c r="D629" t="s">
        <v>1054</v>
      </c>
      <c r="E629" t="s">
        <v>1055</v>
      </c>
      <c r="F629" t="s">
        <v>1056</v>
      </c>
      <c r="G629" t="s">
        <v>1057</v>
      </c>
      <c r="H629">
        <v>5.9301000000000004</v>
      </c>
      <c r="I629">
        <v>17.97</v>
      </c>
      <c r="J629">
        <v>2300</v>
      </c>
      <c r="K629">
        <v>0</v>
      </c>
      <c r="L629" s="3">
        <v>46212.104166666664</v>
      </c>
      <c r="M629" s="3">
        <v>46212.847222222219</v>
      </c>
      <c r="AA629" t="s">
        <v>25</v>
      </c>
      <c r="AB629" t="s">
        <v>26</v>
      </c>
    </row>
    <row r="630" spans="1:28" x14ac:dyDescent="0.25">
      <c r="A630" t="s">
        <v>707</v>
      </c>
      <c r="B630" s="28" t="s">
        <v>1045</v>
      </c>
      <c r="C630">
        <v>0.33</v>
      </c>
      <c r="D630" t="s">
        <v>1050</v>
      </c>
      <c r="E630" t="s">
        <v>1598</v>
      </c>
      <c r="F630" t="s">
        <v>1052</v>
      </c>
      <c r="G630" t="s">
        <v>1053</v>
      </c>
      <c r="H630">
        <v>3.4815</v>
      </c>
      <c r="I630">
        <v>10.55</v>
      </c>
      <c r="J630">
        <v>2000</v>
      </c>
      <c r="K630">
        <v>0</v>
      </c>
      <c r="L630" s="3">
        <v>46211.659722222219</v>
      </c>
      <c r="M630" s="3">
        <v>46212.097222222219</v>
      </c>
      <c r="AA630" t="s">
        <v>25</v>
      </c>
      <c r="AB630" t="s">
        <v>26</v>
      </c>
    </row>
    <row r="631" spans="1:28" x14ac:dyDescent="0.25">
      <c r="A631" t="s">
        <v>707</v>
      </c>
      <c r="B631" s="28" t="s">
        <v>1045</v>
      </c>
      <c r="C631">
        <v>0.33</v>
      </c>
      <c r="D631" t="s">
        <v>1058</v>
      </c>
      <c r="E631" t="s">
        <v>1059</v>
      </c>
      <c r="F631" t="s">
        <v>1060</v>
      </c>
      <c r="G631" t="s">
        <v>1061</v>
      </c>
      <c r="H631">
        <v>18.750599999999999</v>
      </c>
      <c r="I631">
        <v>56.82</v>
      </c>
      <c r="J631">
        <v>25000</v>
      </c>
      <c r="K631">
        <v>0</v>
      </c>
      <c r="L631" s="3">
        <v>46212.854166666664</v>
      </c>
      <c r="M631" s="3">
        <v>46217.548611111109</v>
      </c>
      <c r="AA631" t="s">
        <v>25</v>
      </c>
      <c r="AB631" t="s">
        <v>26</v>
      </c>
    </row>
    <row r="632" spans="1:28" x14ac:dyDescent="0.25">
      <c r="A632" t="s">
        <v>707</v>
      </c>
      <c r="B632" s="28" t="s">
        <v>1045</v>
      </c>
      <c r="C632">
        <v>1</v>
      </c>
      <c r="D632" t="s">
        <v>1612</v>
      </c>
      <c r="E632" t="s">
        <v>1613</v>
      </c>
      <c r="F632" t="s">
        <v>1614</v>
      </c>
      <c r="G632" t="s">
        <v>1615</v>
      </c>
      <c r="H632">
        <v>124</v>
      </c>
      <c r="I632">
        <v>124</v>
      </c>
      <c r="J632">
        <v>120</v>
      </c>
      <c r="K632">
        <v>0</v>
      </c>
    </row>
    <row r="633" spans="1:28" s="12" customFormat="1" x14ac:dyDescent="0.25">
      <c r="A633" s="12" t="s">
        <v>707</v>
      </c>
      <c r="B633" s="31" t="s">
        <v>1045</v>
      </c>
      <c r="C633" s="12">
        <v>0.33</v>
      </c>
      <c r="D633" s="12" t="s">
        <v>1046</v>
      </c>
      <c r="E633" s="12" t="s">
        <v>1062</v>
      </c>
      <c r="F633" s="12" t="s">
        <v>1048</v>
      </c>
      <c r="G633" s="12" t="s">
        <v>1049</v>
      </c>
      <c r="H633" s="12">
        <v>74.999099999999999</v>
      </c>
      <c r="I633" s="12">
        <v>227.27</v>
      </c>
      <c r="J633" s="12">
        <v>100000</v>
      </c>
      <c r="K633" s="12">
        <v>0</v>
      </c>
      <c r="L633" s="32">
        <v>46217.555555555555</v>
      </c>
      <c r="M633" s="32">
        <v>46231.354166666664</v>
      </c>
      <c r="AA633" s="12" t="s">
        <v>25</v>
      </c>
      <c r="AB633" s="12" t="s">
        <v>26</v>
      </c>
    </row>
    <row r="634" spans="1:28" x14ac:dyDescent="0.25">
      <c r="A634" t="s">
        <v>707</v>
      </c>
      <c r="B634" s="28">
        <v>5</v>
      </c>
      <c r="C634">
        <v>1</v>
      </c>
      <c r="D634" t="s">
        <v>1502</v>
      </c>
      <c r="E634" t="s">
        <v>1500</v>
      </c>
      <c r="F634" t="s">
        <v>1499</v>
      </c>
      <c r="G634" t="s">
        <v>1505</v>
      </c>
      <c r="J634">
        <v>50000</v>
      </c>
      <c r="K634">
        <v>0</v>
      </c>
    </row>
    <row r="635" spans="1:28" x14ac:dyDescent="0.25">
      <c r="A635" t="s">
        <v>707</v>
      </c>
      <c r="B635" s="28">
        <v>5</v>
      </c>
      <c r="C635">
        <v>1</v>
      </c>
      <c r="D635" t="s">
        <v>1502</v>
      </c>
      <c r="E635" t="s">
        <v>1501</v>
      </c>
      <c r="F635" t="s">
        <v>1499</v>
      </c>
      <c r="G635" t="s">
        <v>1505</v>
      </c>
      <c r="J635">
        <v>50000</v>
      </c>
      <c r="K635">
        <v>0</v>
      </c>
    </row>
    <row r="636" spans="1:28" x14ac:dyDescent="0.25">
      <c r="A636" t="s">
        <v>707</v>
      </c>
      <c r="B636" s="28">
        <v>5</v>
      </c>
      <c r="C636">
        <v>1</v>
      </c>
      <c r="D636" t="s">
        <v>1502</v>
      </c>
      <c r="E636" t="s">
        <v>1504</v>
      </c>
      <c r="F636" t="s">
        <v>1499</v>
      </c>
      <c r="G636" t="s">
        <v>1505</v>
      </c>
      <c r="J636">
        <v>50000</v>
      </c>
      <c r="K636">
        <v>0</v>
      </c>
    </row>
    <row r="637" spans="1:28" s="12" customFormat="1" x14ac:dyDescent="0.25">
      <c r="A637" s="12" t="s">
        <v>707</v>
      </c>
      <c r="B637" s="31">
        <v>5</v>
      </c>
      <c r="C637" s="12">
        <v>11</v>
      </c>
      <c r="D637" s="12" t="s">
        <v>1502</v>
      </c>
      <c r="E637" s="12" t="s">
        <v>1503</v>
      </c>
      <c r="F637" s="12" t="s">
        <v>1499</v>
      </c>
      <c r="G637" s="12" t="s">
        <v>1505</v>
      </c>
      <c r="J637" s="12">
        <v>50000</v>
      </c>
      <c r="K637" s="12">
        <v>0</v>
      </c>
      <c r="L637" s="32"/>
      <c r="M637" s="32"/>
    </row>
    <row r="638" spans="1:28" x14ac:dyDescent="0.25">
      <c r="A638" t="s">
        <v>707</v>
      </c>
      <c r="B638">
        <v>7</v>
      </c>
      <c r="C638">
        <v>1</v>
      </c>
      <c r="D638" t="s">
        <v>1063</v>
      </c>
      <c r="E638" t="s">
        <v>1064</v>
      </c>
      <c r="F638" t="s">
        <v>1065</v>
      </c>
      <c r="G638" t="s">
        <v>1066</v>
      </c>
      <c r="H638">
        <v>6.94</v>
      </c>
      <c r="I638">
        <v>6.94</v>
      </c>
      <c r="J638">
        <v>1000</v>
      </c>
      <c r="K638">
        <v>0</v>
      </c>
      <c r="L638" s="3">
        <v>46208.958333333336</v>
      </c>
      <c r="M638" s="3">
        <v>46209.576388888891</v>
      </c>
      <c r="AA638" t="s">
        <v>25</v>
      </c>
      <c r="AB638" t="s">
        <v>26</v>
      </c>
    </row>
    <row r="639" spans="1:28" s="12" customFormat="1" x14ac:dyDescent="0.25">
      <c r="A639" s="12" t="s">
        <v>707</v>
      </c>
      <c r="B639" s="12">
        <v>7</v>
      </c>
      <c r="C639" s="12">
        <v>1</v>
      </c>
      <c r="D639" s="12" t="s">
        <v>1067</v>
      </c>
      <c r="E639" s="12" t="s">
        <v>1068</v>
      </c>
      <c r="F639" s="12" t="s">
        <v>1069</v>
      </c>
      <c r="G639" s="12" t="s">
        <v>1070</v>
      </c>
      <c r="H639" s="12">
        <v>5.85</v>
      </c>
      <c r="I639" s="12">
        <v>5.85</v>
      </c>
      <c r="J639" s="12">
        <v>1000</v>
      </c>
      <c r="K639" s="12">
        <v>0</v>
      </c>
      <c r="L639" s="32">
        <v>46209.583333333336</v>
      </c>
      <c r="M639" s="32">
        <v>46210.159722222219</v>
      </c>
      <c r="AA639" s="12" t="s">
        <v>25</v>
      </c>
      <c r="AB639" s="12" t="s">
        <v>26</v>
      </c>
    </row>
    <row r="640" spans="1:28" s="10" customFormat="1" x14ac:dyDescent="0.25">
      <c r="A640" s="10" t="s">
        <v>707</v>
      </c>
      <c r="B640" s="10">
        <v>9</v>
      </c>
      <c r="C640" s="10">
        <v>0.33</v>
      </c>
      <c r="D640" s="10" t="s">
        <v>1071</v>
      </c>
      <c r="E640" s="10" t="s">
        <v>1072</v>
      </c>
      <c r="F640" s="10" t="s">
        <v>1073</v>
      </c>
      <c r="G640" s="10" t="s">
        <v>1074</v>
      </c>
      <c r="H640" s="10">
        <v>27.498899999999999</v>
      </c>
      <c r="I640" s="10">
        <v>83.33</v>
      </c>
      <c r="J640" s="10">
        <v>100000</v>
      </c>
      <c r="K640" s="10">
        <v>0</v>
      </c>
      <c r="L640" s="37">
        <v>46208.958333333336</v>
      </c>
      <c r="M640" s="37">
        <v>46212.756944444445</v>
      </c>
      <c r="AA640" s="10" t="s">
        <v>25</v>
      </c>
      <c r="AB640" s="10" t="s">
        <v>26</v>
      </c>
    </row>
    <row r="641" spans="1:28" x14ac:dyDescent="0.25">
      <c r="A641" t="s">
        <v>707</v>
      </c>
      <c r="B641">
        <v>9</v>
      </c>
      <c r="C641">
        <v>0.33</v>
      </c>
      <c r="D641" t="s">
        <v>1071</v>
      </c>
      <c r="E641" t="s">
        <v>1075</v>
      </c>
      <c r="F641" t="s">
        <v>1073</v>
      </c>
      <c r="G641" t="s">
        <v>1074</v>
      </c>
      <c r="H641">
        <v>27.498899999999999</v>
      </c>
      <c r="I641">
        <v>83.33</v>
      </c>
      <c r="J641">
        <v>100000</v>
      </c>
      <c r="K641">
        <v>0</v>
      </c>
      <c r="L641" s="3">
        <v>46212.763888888891</v>
      </c>
      <c r="M641" s="3">
        <v>46218.5625</v>
      </c>
      <c r="AA641" t="s">
        <v>25</v>
      </c>
      <c r="AB641" t="s">
        <v>26</v>
      </c>
    </row>
    <row r="642" spans="1:28" x14ac:dyDescent="0.25">
      <c r="A642" t="s">
        <v>707</v>
      </c>
      <c r="B642">
        <v>9</v>
      </c>
      <c r="C642">
        <v>0.33</v>
      </c>
      <c r="D642" t="s">
        <v>1071</v>
      </c>
      <c r="E642" t="s">
        <v>1076</v>
      </c>
      <c r="F642" t="s">
        <v>1073</v>
      </c>
      <c r="G642" t="s">
        <v>1074</v>
      </c>
      <c r="H642">
        <v>19.248899999999999</v>
      </c>
      <c r="I642">
        <v>58.33</v>
      </c>
      <c r="J642">
        <v>40000</v>
      </c>
      <c r="K642">
        <v>0</v>
      </c>
      <c r="L642" s="3">
        <v>46218.569444444445</v>
      </c>
      <c r="M642" s="3">
        <v>46223.326388888891</v>
      </c>
      <c r="AA642" t="s">
        <v>25</v>
      </c>
      <c r="AB642" t="s">
        <v>26</v>
      </c>
    </row>
    <row r="643" spans="1:28" s="33" customFormat="1" x14ac:dyDescent="0.25">
      <c r="A643" s="33" t="s">
        <v>707</v>
      </c>
      <c r="B643" s="33">
        <v>9</v>
      </c>
      <c r="C643" s="33">
        <v>1</v>
      </c>
      <c r="D643" s="33" t="s">
        <v>1563</v>
      </c>
      <c r="E643" s="33" t="s">
        <v>1564</v>
      </c>
      <c r="F643" s="33" t="s">
        <v>1562</v>
      </c>
      <c r="G643" s="33" t="s">
        <v>1567</v>
      </c>
      <c r="I643" s="33">
        <v>3</v>
      </c>
      <c r="J643" s="33">
        <v>600</v>
      </c>
      <c r="L643" s="34">
        <v>46216</v>
      </c>
      <c r="M643" s="34">
        <v>46216</v>
      </c>
    </row>
    <row r="644" spans="1:28" s="33" customFormat="1" x14ac:dyDescent="0.25">
      <c r="A644" s="33" t="s">
        <v>707</v>
      </c>
      <c r="B644" s="33">
        <v>9</v>
      </c>
      <c r="C644" s="33">
        <v>1</v>
      </c>
      <c r="D644" s="33" t="s">
        <v>1563</v>
      </c>
      <c r="E644" s="33" t="s">
        <v>1565</v>
      </c>
      <c r="F644" s="33" t="s">
        <v>1562</v>
      </c>
      <c r="G644" s="33" t="s">
        <v>1567</v>
      </c>
      <c r="I644" s="33">
        <v>3</v>
      </c>
      <c r="J644" s="33">
        <v>600</v>
      </c>
      <c r="L644" s="34">
        <v>46216</v>
      </c>
      <c r="M644" s="34">
        <v>46216</v>
      </c>
    </row>
    <row r="645" spans="1:28" s="33" customFormat="1" x14ac:dyDescent="0.25">
      <c r="A645" s="33" t="s">
        <v>707</v>
      </c>
      <c r="B645" s="33">
        <v>9</v>
      </c>
      <c r="C645" s="33">
        <v>1</v>
      </c>
      <c r="D645" s="33" t="s">
        <v>1563</v>
      </c>
      <c r="E645" s="33" t="s">
        <v>1566</v>
      </c>
      <c r="F645" s="33" t="s">
        <v>1562</v>
      </c>
      <c r="G645" s="33" t="s">
        <v>1567</v>
      </c>
      <c r="I645" s="33">
        <v>3</v>
      </c>
      <c r="J645" s="33">
        <v>600</v>
      </c>
      <c r="L645" s="34">
        <v>46216</v>
      </c>
      <c r="M645" s="34">
        <v>46216</v>
      </c>
    </row>
    <row r="646" spans="1:28" x14ac:dyDescent="0.25">
      <c r="A646" t="s">
        <v>707</v>
      </c>
      <c r="B646">
        <v>9</v>
      </c>
      <c r="C646">
        <v>0.33</v>
      </c>
      <c r="D646" t="s">
        <v>1071</v>
      </c>
      <c r="E646" t="s">
        <v>1611</v>
      </c>
      <c r="F646" t="s">
        <v>1610</v>
      </c>
      <c r="G646" t="s">
        <v>1074</v>
      </c>
      <c r="H646">
        <v>19.248899999999999</v>
      </c>
      <c r="I646">
        <v>58.33</v>
      </c>
      <c r="J646">
        <v>70000</v>
      </c>
      <c r="K646">
        <v>0</v>
      </c>
      <c r="L646" s="3">
        <v>46218.569444444445</v>
      </c>
      <c r="M646" s="3">
        <v>46223.326388888891</v>
      </c>
      <c r="AA646" t="s">
        <v>25</v>
      </c>
      <c r="AB646" t="s">
        <v>26</v>
      </c>
    </row>
    <row r="647" spans="1:28" x14ac:dyDescent="0.25">
      <c r="A647" t="s">
        <v>707</v>
      </c>
      <c r="B647">
        <v>9</v>
      </c>
      <c r="C647">
        <v>2</v>
      </c>
      <c r="D647" t="s">
        <v>1077</v>
      </c>
      <c r="E647" t="s">
        <v>1078</v>
      </c>
      <c r="F647" t="s">
        <v>1079</v>
      </c>
      <c r="G647" t="s">
        <v>1080</v>
      </c>
      <c r="H647">
        <v>33.340000000000003</v>
      </c>
      <c r="I647">
        <v>16.670000000000002</v>
      </c>
      <c r="J647">
        <v>4000</v>
      </c>
      <c r="K647">
        <v>0</v>
      </c>
      <c r="L647" s="3">
        <v>46224.013888888891</v>
      </c>
      <c r="M647" s="3">
        <v>46225.034722222219</v>
      </c>
      <c r="AA647" t="s">
        <v>25</v>
      </c>
      <c r="AB647" t="s">
        <v>26</v>
      </c>
    </row>
    <row r="648" spans="1:28" x14ac:dyDescent="0.25">
      <c r="A648" t="s">
        <v>707</v>
      </c>
      <c r="B648">
        <v>9</v>
      </c>
      <c r="C648">
        <v>0.33</v>
      </c>
      <c r="D648" t="s">
        <v>1081</v>
      </c>
      <c r="E648" t="s">
        <v>1082</v>
      </c>
      <c r="F648" t="s">
        <v>1083</v>
      </c>
      <c r="G648" t="s">
        <v>1084</v>
      </c>
      <c r="H648">
        <v>27.498899999999999</v>
      </c>
      <c r="I648">
        <v>83.33</v>
      </c>
      <c r="J648">
        <v>100000</v>
      </c>
      <c r="K648">
        <v>0</v>
      </c>
      <c r="L648" s="3">
        <v>46225.041666666664</v>
      </c>
      <c r="M648" s="3">
        <v>46230.840277777781</v>
      </c>
      <c r="AA648" t="s">
        <v>25</v>
      </c>
      <c r="AB648" t="s">
        <v>26</v>
      </c>
    </row>
    <row r="649" spans="1:28" x14ac:dyDescent="0.25">
      <c r="A649" t="s">
        <v>707</v>
      </c>
      <c r="B649">
        <v>9</v>
      </c>
      <c r="C649">
        <v>0.33</v>
      </c>
      <c r="D649" t="s">
        <v>1081</v>
      </c>
      <c r="E649" t="s">
        <v>1085</v>
      </c>
      <c r="F649" t="s">
        <v>1083</v>
      </c>
      <c r="G649" t="s">
        <v>1084</v>
      </c>
      <c r="H649">
        <v>27.498899999999999</v>
      </c>
      <c r="I649">
        <v>83.33</v>
      </c>
      <c r="J649">
        <v>100000</v>
      </c>
      <c r="K649">
        <v>0</v>
      </c>
      <c r="L649" s="3">
        <v>46230.847222222219</v>
      </c>
      <c r="M649" s="3">
        <v>46234.645833333336</v>
      </c>
      <c r="AA649" t="s">
        <v>25</v>
      </c>
      <c r="AB649" t="s">
        <v>26</v>
      </c>
    </row>
    <row r="650" spans="1:28" s="12" customFormat="1" x14ac:dyDescent="0.25">
      <c r="A650" s="12" t="s">
        <v>707</v>
      </c>
      <c r="B650" s="12">
        <v>9</v>
      </c>
      <c r="C650" s="12">
        <v>0.33</v>
      </c>
      <c r="D650" s="12" t="s">
        <v>1081</v>
      </c>
      <c r="E650" s="12" t="s">
        <v>1192</v>
      </c>
      <c r="F650" s="12" t="s">
        <v>1083</v>
      </c>
      <c r="G650" s="12" t="s">
        <v>1084</v>
      </c>
      <c r="H650" s="12">
        <v>27.498899999999999</v>
      </c>
      <c r="I650" s="12">
        <v>83.33</v>
      </c>
      <c r="J650" s="12">
        <v>100000</v>
      </c>
      <c r="K650" s="12">
        <v>0</v>
      </c>
      <c r="L650" s="32">
        <v>46230.847222222219</v>
      </c>
      <c r="M650" s="32">
        <v>46234.645833333336</v>
      </c>
      <c r="AA650" s="12" t="s">
        <v>25</v>
      </c>
      <c r="AB650" s="12" t="s">
        <v>26</v>
      </c>
    </row>
    <row r="651" spans="1:28" x14ac:dyDescent="0.25">
      <c r="A651" t="s">
        <v>707</v>
      </c>
      <c r="B651">
        <v>14</v>
      </c>
      <c r="C651">
        <v>0.33</v>
      </c>
      <c r="D651" t="s">
        <v>708</v>
      </c>
      <c r="E651" t="s">
        <v>715</v>
      </c>
      <c r="F651" t="s">
        <v>710</v>
      </c>
      <c r="G651" t="s">
        <v>711</v>
      </c>
      <c r="H651">
        <v>31.528199999999998</v>
      </c>
      <c r="I651">
        <v>95.54</v>
      </c>
      <c r="J651">
        <v>6000</v>
      </c>
      <c r="K651">
        <v>0</v>
      </c>
      <c r="L651" s="3">
        <v>46210.333333333336</v>
      </c>
      <c r="M651" s="3">
        <v>46216.645833333336</v>
      </c>
      <c r="AA651" t="s">
        <v>25</v>
      </c>
      <c r="AB651" t="s">
        <v>26</v>
      </c>
    </row>
    <row r="652" spans="1:28" x14ac:dyDescent="0.25">
      <c r="A652" t="s">
        <v>707</v>
      </c>
      <c r="B652">
        <v>14</v>
      </c>
      <c r="C652">
        <v>0.33</v>
      </c>
      <c r="D652" t="s">
        <v>720</v>
      </c>
      <c r="E652" t="s">
        <v>721</v>
      </c>
      <c r="F652" t="s">
        <v>722</v>
      </c>
      <c r="G652" t="s">
        <v>723</v>
      </c>
      <c r="H652">
        <v>21.489599999999999</v>
      </c>
      <c r="I652">
        <v>65.12</v>
      </c>
      <c r="J652">
        <v>16800</v>
      </c>
      <c r="K652">
        <v>0</v>
      </c>
      <c r="L652" s="3">
        <v>46226.680555555555</v>
      </c>
      <c r="M652" s="3">
        <v>46231.722222222219</v>
      </c>
      <c r="AA652" t="s">
        <v>25</v>
      </c>
      <c r="AB652" t="s">
        <v>26</v>
      </c>
    </row>
    <row r="653" spans="1:28" x14ac:dyDescent="0.25">
      <c r="A653" t="s">
        <v>707</v>
      </c>
      <c r="B653">
        <v>14</v>
      </c>
      <c r="C653">
        <v>0.33</v>
      </c>
      <c r="D653" t="s">
        <v>716</v>
      </c>
      <c r="E653" t="s">
        <v>717</v>
      </c>
      <c r="F653" t="s">
        <v>718</v>
      </c>
      <c r="G653" t="s">
        <v>719</v>
      </c>
      <c r="H653">
        <v>60.924599999999998</v>
      </c>
      <c r="I653">
        <v>184.62</v>
      </c>
      <c r="J653">
        <v>120000</v>
      </c>
      <c r="K653">
        <v>0</v>
      </c>
      <c r="L653" s="3">
        <v>46216.652777777781</v>
      </c>
      <c r="M653" s="3">
        <v>46226.673611111109</v>
      </c>
      <c r="AA653" t="s">
        <v>25</v>
      </c>
      <c r="AB653" t="s">
        <v>26</v>
      </c>
    </row>
    <row r="654" spans="1:28" s="33" customFormat="1" x14ac:dyDescent="0.25">
      <c r="A654" s="33" t="s">
        <v>707</v>
      </c>
      <c r="B654" s="33">
        <v>14</v>
      </c>
      <c r="C654" s="33">
        <v>0.33</v>
      </c>
      <c r="D654" s="33" t="s">
        <v>708</v>
      </c>
      <c r="E654" s="33" t="s">
        <v>709</v>
      </c>
      <c r="F654" s="33" t="s">
        <v>710</v>
      </c>
      <c r="G654" s="33" t="s">
        <v>711</v>
      </c>
      <c r="H654" s="33">
        <v>0.94710000000000005</v>
      </c>
      <c r="I654" s="33">
        <v>2.87</v>
      </c>
      <c r="J654" s="33">
        <v>450</v>
      </c>
      <c r="K654" s="33">
        <v>0</v>
      </c>
      <c r="L654" s="34">
        <v>46208.958333333336</v>
      </c>
      <c r="M654" s="34">
        <v>46209.409722222219</v>
      </c>
      <c r="AA654" s="33" t="s">
        <v>712</v>
      </c>
      <c r="AB654" s="33" t="s">
        <v>26</v>
      </c>
    </row>
    <row r="655" spans="1:28" s="33" customFormat="1" x14ac:dyDescent="0.25">
      <c r="A655" s="33" t="s">
        <v>707</v>
      </c>
      <c r="B655" s="33">
        <v>14</v>
      </c>
      <c r="C655" s="33">
        <v>0.33</v>
      </c>
      <c r="D655" s="33" t="s">
        <v>708</v>
      </c>
      <c r="E655" s="33" t="s">
        <v>713</v>
      </c>
      <c r="F655" s="33" t="s">
        <v>710</v>
      </c>
      <c r="G655" s="33" t="s">
        <v>711</v>
      </c>
      <c r="H655" s="33">
        <v>0.94710000000000005</v>
      </c>
      <c r="I655" s="33">
        <v>2.87</v>
      </c>
      <c r="J655" s="33">
        <v>450</v>
      </c>
      <c r="K655" s="33">
        <v>0</v>
      </c>
      <c r="L655" s="34">
        <v>46209.416666666664</v>
      </c>
      <c r="M655" s="34">
        <v>46209.868055555555</v>
      </c>
      <c r="AA655" s="33" t="s">
        <v>712</v>
      </c>
      <c r="AB655" s="33" t="s">
        <v>26</v>
      </c>
    </row>
    <row r="656" spans="1:28" s="42" customFormat="1" x14ac:dyDescent="0.25">
      <c r="A656" s="42" t="s">
        <v>707</v>
      </c>
      <c r="B656" s="42">
        <v>14</v>
      </c>
      <c r="C656" s="42">
        <v>0.33</v>
      </c>
      <c r="D656" s="42" t="s">
        <v>708</v>
      </c>
      <c r="E656" s="42" t="s">
        <v>714</v>
      </c>
      <c r="F656" s="42" t="s">
        <v>710</v>
      </c>
      <c r="G656" s="42" t="s">
        <v>711</v>
      </c>
      <c r="H656" s="42">
        <v>0.94710000000000005</v>
      </c>
      <c r="I656" s="42">
        <v>2.87</v>
      </c>
      <c r="J656" s="42">
        <v>450</v>
      </c>
      <c r="K656" s="42">
        <v>0</v>
      </c>
      <c r="L656" s="43">
        <v>46209.875</v>
      </c>
      <c r="M656" s="43">
        <v>46210.326388888891</v>
      </c>
      <c r="AA656" s="42" t="s">
        <v>712</v>
      </c>
      <c r="AB656" s="42" t="s">
        <v>26</v>
      </c>
    </row>
    <row r="657" spans="1:28" x14ac:dyDescent="0.25">
      <c r="A657" t="s">
        <v>707</v>
      </c>
      <c r="B657">
        <v>16</v>
      </c>
      <c r="C657">
        <v>1</v>
      </c>
      <c r="D657" t="s">
        <v>724</v>
      </c>
      <c r="E657" t="s">
        <v>725</v>
      </c>
      <c r="F657" t="s">
        <v>726</v>
      </c>
      <c r="G657" t="s">
        <v>727</v>
      </c>
      <c r="H657">
        <v>36.72</v>
      </c>
      <c r="I657">
        <v>12.73</v>
      </c>
      <c r="J657">
        <v>30000</v>
      </c>
      <c r="K657">
        <v>19600</v>
      </c>
      <c r="L657" s="3">
        <v>46208.958333333336</v>
      </c>
      <c r="M657" s="3">
        <v>46209.486111111109</v>
      </c>
      <c r="AA657" t="s">
        <v>25</v>
      </c>
      <c r="AB657" t="s">
        <v>26</v>
      </c>
    </row>
    <row r="658" spans="1:28" x14ac:dyDescent="0.25">
      <c r="A658" t="s">
        <v>707</v>
      </c>
      <c r="B658">
        <v>16</v>
      </c>
      <c r="C658">
        <v>1</v>
      </c>
      <c r="D658" t="s">
        <v>730</v>
      </c>
      <c r="E658" t="s">
        <v>731</v>
      </c>
      <c r="F658" t="s">
        <v>732</v>
      </c>
      <c r="G658" t="s">
        <v>733</v>
      </c>
      <c r="H658">
        <v>34.29</v>
      </c>
      <c r="I658">
        <v>34.29</v>
      </c>
      <c r="J658">
        <v>48</v>
      </c>
      <c r="K658">
        <v>0</v>
      </c>
      <c r="L658" s="3">
        <v>46209.944444444445</v>
      </c>
      <c r="M658" s="3">
        <v>46211.701388888891</v>
      </c>
      <c r="AA658" t="s">
        <v>25</v>
      </c>
      <c r="AB658" t="s">
        <v>26</v>
      </c>
    </row>
    <row r="659" spans="1:28" x14ac:dyDescent="0.25">
      <c r="A659" t="s">
        <v>707</v>
      </c>
      <c r="B659">
        <v>16</v>
      </c>
      <c r="C659">
        <v>1</v>
      </c>
      <c r="D659" t="s">
        <v>730</v>
      </c>
      <c r="E659" t="s">
        <v>734</v>
      </c>
      <c r="F659" t="s">
        <v>732</v>
      </c>
      <c r="G659" t="s">
        <v>733</v>
      </c>
      <c r="H659">
        <v>34.29</v>
      </c>
      <c r="I659">
        <v>34.29</v>
      </c>
      <c r="J659">
        <v>48</v>
      </c>
      <c r="K659">
        <v>0</v>
      </c>
      <c r="L659" s="3">
        <v>46211.708333333336</v>
      </c>
      <c r="M659" s="3">
        <v>46213.465277777781</v>
      </c>
      <c r="AA659" t="s">
        <v>25</v>
      </c>
      <c r="AB659" t="s">
        <v>26</v>
      </c>
    </row>
    <row r="660" spans="1:28" x14ac:dyDescent="0.25">
      <c r="A660" t="s">
        <v>707</v>
      </c>
      <c r="B660">
        <v>16</v>
      </c>
      <c r="C660">
        <v>1</v>
      </c>
      <c r="D660" t="s">
        <v>730</v>
      </c>
      <c r="E660" t="s">
        <v>735</v>
      </c>
      <c r="F660" t="s">
        <v>732</v>
      </c>
      <c r="G660" t="s">
        <v>733</v>
      </c>
      <c r="H660">
        <v>34.29</v>
      </c>
      <c r="I660">
        <v>34.29</v>
      </c>
      <c r="J660">
        <v>48</v>
      </c>
      <c r="K660">
        <v>0</v>
      </c>
      <c r="L660" s="3">
        <v>46213.472222222219</v>
      </c>
      <c r="M660" s="3">
        <v>46217.229166666664</v>
      </c>
      <c r="AA660" t="s">
        <v>25</v>
      </c>
      <c r="AB660" t="s">
        <v>26</v>
      </c>
    </row>
    <row r="661" spans="1:28" x14ac:dyDescent="0.25">
      <c r="A661" t="s">
        <v>707</v>
      </c>
      <c r="B661">
        <v>16</v>
      </c>
      <c r="C661">
        <v>1</v>
      </c>
      <c r="D661" t="s">
        <v>730</v>
      </c>
      <c r="E661" t="s">
        <v>736</v>
      </c>
      <c r="F661" t="s">
        <v>732</v>
      </c>
      <c r="G661" t="s">
        <v>733</v>
      </c>
      <c r="H661">
        <v>34.29</v>
      </c>
      <c r="I661">
        <v>34.29</v>
      </c>
      <c r="J661">
        <v>48</v>
      </c>
      <c r="K661">
        <v>0</v>
      </c>
      <c r="L661" s="3">
        <v>46217.236111111109</v>
      </c>
      <c r="M661" s="3">
        <v>46218.993055555555</v>
      </c>
      <c r="AA661" t="s">
        <v>25</v>
      </c>
      <c r="AB661" t="s">
        <v>26</v>
      </c>
    </row>
    <row r="662" spans="1:28" x14ac:dyDescent="0.25">
      <c r="A662" t="s">
        <v>707</v>
      </c>
      <c r="B662">
        <v>16</v>
      </c>
      <c r="C662">
        <v>1</v>
      </c>
      <c r="D662" t="s">
        <v>730</v>
      </c>
      <c r="E662" t="s">
        <v>737</v>
      </c>
      <c r="F662" t="s">
        <v>732</v>
      </c>
      <c r="G662" t="s">
        <v>733</v>
      </c>
      <c r="H662">
        <v>34.29</v>
      </c>
      <c r="I662">
        <v>34.29</v>
      </c>
      <c r="J662">
        <v>48</v>
      </c>
      <c r="K662">
        <v>0</v>
      </c>
      <c r="L662" s="3">
        <v>46219</v>
      </c>
      <c r="M662" s="3">
        <v>46220.756944444445</v>
      </c>
      <c r="AA662" t="s">
        <v>25</v>
      </c>
      <c r="AB662" t="s">
        <v>26</v>
      </c>
    </row>
    <row r="663" spans="1:28" x14ac:dyDescent="0.25">
      <c r="A663" t="s">
        <v>707</v>
      </c>
      <c r="B663">
        <v>16</v>
      </c>
      <c r="C663">
        <v>1</v>
      </c>
      <c r="D663" t="s">
        <v>730</v>
      </c>
      <c r="E663" t="s">
        <v>738</v>
      </c>
      <c r="F663" t="s">
        <v>732</v>
      </c>
      <c r="G663" t="s">
        <v>733</v>
      </c>
      <c r="H663">
        <v>34.29</v>
      </c>
      <c r="I663">
        <v>34.29</v>
      </c>
      <c r="J663">
        <v>48</v>
      </c>
      <c r="K663">
        <v>0</v>
      </c>
      <c r="L663" s="3">
        <v>46220.763888888891</v>
      </c>
      <c r="M663" s="3">
        <v>46224.520833333336</v>
      </c>
      <c r="AA663" t="s">
        <v>25</v>
      </c>
      <c r="AB663" t="s">
        <v>26</v>
      </c>
    </row>
    <row r="664" spans="1:28" x14ac:dyDescent="0.25">
      <c r="A664" t="s">
        <v>707</v>
      </c>
      <c r="B664">
        <v>16</v>
      </c>
      <c r="C664">
        <v>1</v>
      </c>
      <c r="D664" t="s">
        <v>730</v>
      </c>
      <c r="E664" t="s">
        <v>739</v>
      </c>
      <c r="F664" t="s">
        <v>732</v>
      </c>
      <c r="G664" t="s">
        <v>733</v>
      </c>
      <c r="H664">
        <v>34.29</v>
      </c>
      <c r="I664">
        <v>34.29</v>
      </c>
      <c r="J664">
        <v>48</v>
      </c>
      <c r="K664">
        <v>0</v>
      </c>
      <c r="L664" s="3">
        <v>46224.527777777781</v>
      </c>
      <c r="M664" s="3">
        <v>46226.284722222219</v>
      </c>
      <c r="AA664" t="s">
        <v>25</v>
      </c>
      <c r="AB664" t="s">
        <v>26</v>
      </c>
    </row>
    <row r="665" spans="1:28" x14ac:dyDescent="0.25">
      <c r="A665" t="s">
        <v>707</v>
      </c>
      <c r="B665">
        <v>16</v>
      </c>
      <c r="C665">
        <v>1</v>
      </c>
      <c r="D665" t="s">
        <v>730</v>
      </c>
      <c r="E665" t="s">
        <v>740</v>
      </c>
      <c r="F665" t="s">
        <v>732</v>
      </c>
      <c r="G665" t="s">
        <v>733</v>
      </c>
      <c r="H665">
        <v>34.29</v>
      </c>
      <c r="I665">
        <v>34.29</v>
      </c>
      <c r="J665">
        <v>48</v>
      </c>
      <c r="K665">
        <v>0</v>
      </c>
      <c r="L665" s="3">
        <v>46226.291666666664</v>
      </c>
      <c r="M665" s="3">
        <v>46230.048611111109</v>
      </c>
      <c r="AA665" t="s">
        <v>25</v>
      </c>
      <c r="AB665" t="s">
        <v>26</v>
      </c>
    </row>
    <row r="666" spans="1:28" s="12" customFormat="1" x14ac:dyDescent="0.25">
      <c r="A666" s="12" t="s">
        <v>707</v>
      </c>
      <c r="B666" s="12">
        <v>16</v>
      </c>
      <c r="C666" s="12">
        <v>1</v>
      </c>
      <c r="D666" s="12" t="s">
        <v>730</v>
      </c>
      <c r="E666" s="12" t="s">
        <v>741</v>
      </c>
      <c r="F666" s="12" t="s">
        <v>732</v>
      </c>
      <c r="G666" s="12" t="s">
        <v>733</v>
      </c>
      <c r="H666" s="12">
        <v>34.29</v>
      </c>
      <c r="I666" s="12">
        <v>34.29</v>
      </c>
      <c r="J666" s="12">
        <v>48</v>
      </c>
      <c r="K666" s="12">
        <v>0</v>
      </c>
      <c r="L666" s="32">
        <v>46230.055555555555</v>
      </c>
      <c r="M666" s="32">
        <v>46231.8125</v>
      </c>
      <c r="AA666" s="12" t="s">
        <v>25</v>
      </c>
      <c r="AB666" s="12" t="s">
        <v>26</v>
      </c>
    </row>
    <row r="667" spans="1:28" x14ac:dyDescent="0.25">
      <c r="A667" t="s">
        <v>707</v>
      </c>
      <c r="B667">
        <v>16</v>
      </c>
      <c r="C667">
        <v>1</v>
      </c>
      <c r="E667" t="s">
        <v>1602</v>
      </c>
      <c r="F667" t="s">
        <v>728</v>
      </c>
      <c r="G667" t="s">
        <v>729</v>
      </c>
      <c r="H667">
        <v>10.68</v>
      </c>
      <c r="I667">
        <v>10.68</v>
      </c>
      <c r="J667">
        <v>90000</v>
      </c>
      <c r="K667">
        <v>0</v>
      </c>
      <c r="L667" s="3">
        <v>46209.493055555555</v>
      </c>
      <c r="M667" s="3">
        <v>46209.9375</v>
      </c>
      <c r="AA667" t="s">
        <v>25</v>
      </c>
      <c r="AB667" t="s">
        <v>105</v>
      </c>
    </row>
    <row r="668" spans="1:28" x14ac:dyDescent="0.25">
      <c r="A668" t="s">
        <v>707</v>
      </c>
      <c r="B668">
        <v>16</v>
      </c>
      <c r="C668">
        <v>1</v>
      </c>
      <c r="D668" t="s">
        <v>730</v>
      </c>
      <c r="E668" t="s">
        <v>1603</v>
      </c>
      <c r="F668" t="s">
        <v>1604</v>
      </c>
      <c r="G668" t="s">
        <v>1605</v>
      </c>
      <c r="H668">
        <v>61</v>
      </c>
      <c r="I668">
        <v>61</v>
      </c>
      <c r="J668">
        <v>75000</v>
      </c>
      <c r="K668">
        <v>0</v>
      </c>
    </row>
    <row r="669" spans="1:28" x14ac:dyDescent="0.25">
      <c r="A669" t="s">
        <v>707</v>
      </c>
      <c r="B669">
        <v>16</v>
      </c>
      <c r="C669">
        <v>1</v>
      </c>
      <c r="D669" t="s">
        <v>730</v>
      </c>
      <c r="E669" t="s">
        <v>1607</v>
      </c>
      <c r="F669" t="s">
        <v>1606</v>
      </c>
      <c r="G669" t="s">
        <v>1608</v>
      </c>
      <c r="H669">
        <v>102</v>
      </c>
      <c r="I669">
        <v>102</v>
      </c>
      <c r="J669">
        <v>35000</v>
      </c>
      <c r="K669">
        <v>0</v>
      </c>
    </row>
    <row r="670" spans="1:28" s="10" customFormat="1" x14ac:dyDescent="0.25">
      <c r="A670" s="10" t="s">
        <v>707</v>
      </c>
      <c r="B670" s="10">
        <v>17</v>
      </c>
      <c r="C670" s="10">
        <v>1</v>
      </c>
      <c r="D670" s="10" t="s">
        <v>742</v>
      </c>
      <c r="E670" s="10" t="s">
        <v>743</v>
      </c>
      <c r="F670" s="10" t="s">
        <v>744</v>
      </c>
      <c r="G670" s="10" t="s">
        <v>745</v>
      </c>
      <c r="H670" s="10">
        <v>52.5</v>
      </c>
      <c r="I670" s="10">
        <v>52.5</v>
      </c>
      <c r="J670" s="10">
        <v>2100</v>
      </c>
      <c r="K670" s="10">
        <v>0</v>
      </c>
      <c r="L670" s="37">
        <v>46208.958333333336</v>
      </c>
      <c r="M670" s="37">
        <v>46211.472222222219</v>
      </c>
      <c r="AA670" s="10" t="s">
        <v>25</v>
      </c>
      <c r="AB670" s="10" t="s">
        <v>26</v>
      </c>
    </row>
    <row r="671" spans="1:28" x14ac:dyDescent="0.25">
      <c r="A671" t="s">
        <v>707</v>
      </c>
      <c r="B671">
        <v>17</v>
      </c>
      <c r="C671">
        <v>2</v>
      </c>
      <c r="D671" t="s">
        <v>746</v>
      </c>
      <c r="E671" t="s">
        <v>747</v>
      </c>
      <c r="F671" t="s">
        <v>748</v>
      </c>
      <c r="G671" t="s">
        <v>749</v>
      </c>
      <c r="H671">
        <v>125.72</v>
      </c>
      <c r="I671">
        <v>62.86</v>
      </c>
      <c r="J671">
        <v>11000</v>
      </c>
      <c r="K671">
        <v>0</v>
      </c>
      <c r="L671" s="3">
        <v>46211.479166666664</v>
      </c>
      <c r="M671" s="3">
        <v>46216.097222222219</v>
      </c>
      <c r="AA671" t="s">
        <v>25</v>
      </c>
      <c r="AB671" t="s">
        <v>26</v>
      </c>
    </row>
    <row r="672" spans="1:28" x14ac:dyDescent="0.25">
      <c r="A672" t="s">
        <v>707</v>
      </c>
      <c r="B672">
        <v>17</v>
      </c>
      <c r="C672">
        <v>2</v>
      </c>
      <c r="D672" t="s">
        <v>746</v>
      </c>
      <c r="E672" t="s">
        <v>750</v>
      </c>
      <c r="F672" t="s">
        <v>748</v>
      </c>
      <c r="G672" t="s">
        <v>749</v>
      </c>
      <c r="H672">
        <v>125.72</v>
      </c>
      <c r="I672">
        <v>62.86</v>
      </c>
      <c r="J672">
        <v>11000</v>
      </c>
      <c r="K672">
        <v>0</v>
      </c>
      <c r="L672" s="3">
        <v>46216.104166666664</v>
      </c>
      <c r="M672" s="3">
        <v>46218.722222222219</v>
      </c>
      <c r="AA672" t="s">
        <v>25</v>
      </c>
      <c r="AB672" t="s">
        <v>26</v>
      </c>
    </row>
    <row r="673" spans="1:28" x14ac:dyDescent="0.25">
      <c r="A673" t="s">
        <v>707</v>
      </c>
      <c r="B673">
        <v>17</v>
      </c>
      <c r="C673">
        <v>2</v>
      </c>
      <c r="D673" t="s">
        <v>746</v>
      </c>
      <c r="E673" t="s">
        <v>751</v>
      </c>
      <c r="F673" t="s">
        <v>748</v>
      </c>
      <c r="G673" t="s">
        <v>749</v>
      </c>
      <c r="H673">
        <v>125.72</v>
      </c>
      <c r="I673">
        <v>62.86</v>
      </c>
      <c r="J673">
        <v>11000</v>
      </c>
      <c r="K673">
        <v>0</v>
      </c>
      <c r="L673" s="3">
        <v>46218.729166666664</v>
      </c>
      <c r="M673" s="3">
        <v>46223.347222222219</v>
      </c>
      <c r="AA673" t="s">
        <v>25</v>
      </c>
      <c r="AB673" t="s">
        <v>26</v>
      </c>
    </row>
    <row r="674" spans="1:28" x14ac:dyDescent="0.25">
      <c r="A674" t="s">
        <v>707</v>
      </c>
      <c r="B674">
        <v>17</v>
      </c>
      <c r="C674">
        <v>2</v>
      </c>
      <c r="D674" t="s">
        <v>746</v>
      </c>
      <c r="E674" t="s">
        <v>752</v>
      </c>
      <c r="F674" t="s">
        <v>748</v>
      </c>
      <c r="G674" t="s">
        <v>749</v>
      </c>
      <c r="H674">
        <v>125.72</v>
      </c>
      <c r="I674">
        <v>62.86</v>
      </c>
      <c r="J674">
        <v>11000</v>
      </c>
      <c r="K674">
        <v>0</v>
      </c>
      <c r="L674" s="3">
        <v>46223.354166666664</v>
      </c>
      <c r="M674" s="3">
        <v>46225.972222222219</v>
      </c>
      <c r="AA674" t="s">
        <v>25</v>
      </c>
      <c r="AB674" t="s">
        <v>26</v>
      </c>
    </row>
    <row r="675" spans="1:28" x14ac:dyDescent="0.25">
      <c r="A675" t="s">
        <v>707</v>
      </c>
      <c r="B675">
        <v>17</v>
      </c>
      <c r="C675">
        <v>2</v>
      </c>
      <c r="D675" t="s">
        <v>746</v>
      </c>
      <c r="E675" t="s">
        <v>753</v>
      </c>
      <c r="F675" t="s">
        <v>748</v>
      </c>
      <c r="G675" t="s">
        <v>749</v>
      </c>
      <c r="H675">
        <v>125.72</v>
      </c>
      <c r="I675">
        <v>62.86</v>
      </c>
      <c r="J675">
        <v>11000</v>
      </c>
      <c r="K675">
        <v>0</v>
      </c>
      <c r="L675" s="3">
        <v>46225.979166666664</v>
      </c>
      <c r="M675" s="3">
        <v>46230.597222222219</v>
      </c>
      <c r="AA675" t="s">
        <v>25</v>
      </c>
      <c r="AB675" t="s">
        <v>26</v>
      </c>
    </row>
    <row r="676" spans="1:28" s="12" customFormat="1" x14ac:dyDescent="0.25">
      <c r="A676" s="12" t="s">
        <v>707</v>
      </c>
      <c r="B676" s="12">
        <v>17</v>
      </c>
      <c r="C676" s="12">
        <v>2</v>
      </c>
      <c r="D676" s="12" t="s">
        <v>746</v>
      </c>
      <c r="E676" s="12" t="s">
        <v>754</v>
      </c>
      <c r="F676" s="12" t="s">
        <v>748</v>
      </c>
      <c r="G676" s="12" t="s">
        <v>749</v>
      </c>
      <c r="H676" s="12">
        <v>125.72</v>
      </c>
      <c r="I676" s="12">
        <v>62.86</v>
      </c>
      <c r="J676" s="12">
        <v>11000</v>
      </c>
      <c r="K676" s="12">
        <v>0</v>
      </c>
      <c r="L676" s="32">
        <v>46230.604166666664</v>
      </c>
      <c r="M676" s="32">
        <v>46233.222222222219</v>
      </c>
      <c r="AA676" s="12" t="s">
        <v>25</v>
      </c>
      <c r="AB676" s="12" t="s">
        <v>26</v>
      </c>
    </row>
    <row r="677" spans="1:28" s="10" customFormat="1" x14ac:dyDescent="0.25">
      <c r="A677" s="10" t="s">
        <v>707</v>
      </c>
      <c r="B677" s="10">
        <v>18</v>
      </c>
      <c r="C677" s="10">
        <v>0.33</v>
      </c>
      <c r="D677" s="10" t="s">
        <v>755</v>
      </c>
      <c r="E677" s="10" t="s">
        <v>756</v>
      </c>
      <c r="F677" s="10" t="s">
        <v>757</v>
      </c>
      <c r="G677" s="10" t="s">
        <v>758</v>
      </c>
      <c r="H677" s="10">
        <v>22.175999999999998</v>
      </c>
      <c r="I677" s="10">
        <v>67.2</v>
      </c>
      <c r="J677" s="10">
        <v>16800</v>
      </c>
      <c r="K677" s="10">
        <v>0</v>
      </c>
      <c r="L677" s="37">
        <v>46208.958333333336</v>
      </c>
      <c r="M677" s="37">
        <v>46211.756944444445</v>
      </c>
      <c r="AA677" s="10" t="s">
        <v>25</v>
      </c>
      <c r="AB677" s="10" t="s">
        <v>26</v>
      </c>
    </row>
    <row r="678" spans="1:28" x14ac:dyDescent="0.25">
      <c r="A678" t="s">
        <v>707</v>
      </c>
      <c r="B678">
        <v>18</v>
      </c>
      <c r="C678">
        <v>0.33</v>
      </c>
      <c r="D678" t="s">
        <v>755</v>
      </c>
      <c r="E678" t="s">
        <v>759</v>
      </c>
      <c r="F678" t="s">
        <v>757</v>
      </c>
      <c r="G678" t="s">
        <v>758</v>
      </c>
      <c r="H678">
        <v>22.175999999999998</v>
      </c>
      <c r="I678">
        <v>67.2</v>
      </c>
      <c r="J678">
        <v>16800</v>
      </c>
      <c r="K678">
        <v>0</v>
      </c>
      <c r="L678" s="3">
        <v>46211.763888888891</v>
      </c>
      <c r="M678" s="3">
        <v>46216.5625</v>
      </c>
      <c r="AA678" t="s">
        <v>25</v>
      </c>
      <c r="AB678" t="s">
        <v>26</v>
      </c>
    </row>
    <row r="679" spans="1:28" x14ac:dyDescent="0.25">
      <c r="A679" t="s">
        <v>707</v>
      </c>
      <c r="B679">
        <v>18</v>
      </c>
      <c r="C679">
        <v>0.33</v>
      </c>
      <c r="D679" t="s">
        <v>755</v>
      </c>
      <c r="E679" t="s">
        <v>760</v>
      </c>
      <c r="F679" t="s">
        <v>757</v>
      </c>
      <c r="G679" t="s">
        <v>758</v>
      </c>
      <c r="H679">
        <v>22.175999999999998</v>
      </c>
      <c r="I679">
        <v>67.2</v>
      </c>
      <c r="J679">
        <v>16800</v>
      </c>
      <c r="K679">
        <v>0</v>
      </c>
      <c r="L679" s="3">
        <v>46216.569444444445</v>
      </c>
      <c r="M679" s="3">
        <v>46219.368055555555</v>
      </c>
      <c r="AA679" t="s">
        <v>25</v>
      </c>
      <c r="AB679" t="s">
        <v>26</v>
      </c>
    </row>
    <row r="680" spans="1:28" s="12" customFormat="1" x14ac:dyDescent="0.25">
      <c r="A680" s="12" t="s">
        <v>707</v>
      </c>
      <c r="B680" s="12">
        <v>18</v>
      </c>
      <c r="C680" s="12">
        <v>1</v>
      </c>
      <c r="D680" s="12" t="s">
        <v>761</v>
      </c>
      <c r="E680" s="12" t="s">
        <v>762</v>
      </c>
      <c r="F680" s="12" t="s">
        <v>763</v>
      </c>
      <c r="G680" s="12" t="s">
        <v>764</v>
      </c>
      <c r="H680" s="12">
        <v>85.37</v>
      </c>
      <c r="I680" s="12">
        <v>85.37</v>
      </c>
      <c r="J680" s="12">
        <v>14000</v>
      </c>
      <c r="K680" s="12">
        <v>0</v>
      </c>
      <c r="L680" s="32">
        <v>46223.5</v>
      </c>
      <c r="M680" s="32">
        <v>46227.388888888891</v>
      </c>
      <c r="AA680" s="12" t="s">
        <v>25</v>
      </c>
      <c r="AB680" s="12" t="s">
        <v>26</v>
      </c>
    </row>
    <row r="681" spans="1:28" s="38" customFormat="1" x14ac:dyDescent="0.25">
      <c r="A681" s="38" t="s">
        <v>707</v>
      </c>
      <c r="B681" s="38">
        <v>19</v>
      </c>
      <c r="C681" s="38">
        <v>1</v>
      </c>
      <c r="D681" s="38" t="s">
        <v>765</v>
      </c>
      <c r="E681" s="38" t="s">
        <v>766</v>
      </c>
      <c r="F681" s="38" t="s">
        <v>767</v>
      </c>
      <c r="G681" s="38" t="s">
        <v>768</v>
      </c>
      <c r="H681" s="38">
        <v>120.48</v>
      </c>
      <c r="I681" s="38">
        <v>120.48</v>
      </c>
      <c r="J681" s="38">
        <v>15000</v>
      </c>
      <c r="K681" s="38">
        <v>0</v>
      </c>
      <c r="L681" s="39">
        <v>46208.958333333336</v>
      </c>
      <c r="M681" s="39">
        <v>46216.305555555555</v>
      </c>
      <c r="AA681" s="38" t="s">
        <v>25</v>
      </c>
      <c r="AB681" s="38" t="s">
        <v>26</v>
      </c>
    </row>
    <row r="682" spans="1:28" x14ac:dyDescent="0.25">
      <c r="A682" t="s">
        <v>707</v>
      </c>
      <c r="B682">
        <v>19</v>
      </c>
      <c r="C682">
        <v>3</v>
      </c>
      <c r="D682" t="s">
        <v>769</v>
      </c>
      <c r="E682" t="s">
        <v>770</v>
      </c>
      <c r="F682" t="s">
        <v>771</v>
      </c>
      <c r="G682" t="s">
        <v>772</v>
      </c>
      <c r="H682">
        <v>6.51</v>
      </c>
      <c r="I682">
        <v>2.17</v>
      </c>
      <c r="J682">
        <v>5000</v>
      </c>
      <c r="K682">
        <v>0</v>
      </c>
      <c r="L682" s="3">
        <v>46216.3125</v>
      </c>
      <c r="M682" s="3">
        <v>46216.395833333336</v>
      </c>
      <c r="AA682" t="s">
        <v>25</v>
      </c>
      <c r="AB682" t="s">
        <v>26</v>
      </c>
    </row>
    <row r="683" spans="1:28" x14ac:dyDescent="0.25">
      <c r="A683" t="s">
        <v>707</v>
      </c>
      <c r="B683">
        <v>19</v>
      </c>
      <c r="C683">
        <v>1</v>
      </c>
      <c r="D683" t="s">
        <v>773</v>
      </c>
      <c r="E683" t="s">
        <v>774</v>
      </c>
      <c r="F683" t="s">
        <v>775</v>
      </c>
      <c r="G683" t="s">
        <v>776</v>
      </c>
      <c r="H683">
        <v>100</v>
      </c>
      <c r="I683">
        <v>100</v>
      </c>
      <c r="J683">
        <v>15000</v>
      </c>
      <c r="K683">
        <v>0</v>
      </c>
      <c r="L683" s="3">
        <v>46216.402777777781</v>
      </c>
      <c r="M683" s="3">
        <v>46220.895833333336</v>
      </c>
      <c r="AA683" t="s">
        <v>25</v>
      </c>
      <c r="AB683" t="s">
        <v>26</v>
      </c>
    </row>
    <row r="684" spans="1:28" x14ac:dyDescent="0.25">
      <c r="A684" t="s">
        <v>707</v>
      </c>
      <c r="B684">
        <v>19</v>
      </c>
      <c r="C684">
        <v>1</v>
      </c>
      <c r="D684" t="s">
        <v>773</v>
      </c>
      <c r="E684" t="s">
        <v>777</v>
      </c>
      <c r="F684" t="s">
        <v>775</v>
      </c>
      <c r="G684" t="s">
        <v>776</v>
      </c>
      <c r="H684">
        <v>100</v>
      </c>
      <c r="I684">
        <v>100</v>
      </c>
      <c r="J684">
        <v>15000</v>
      </c>
      <c r="K684">
        <v>0</v>
      </c>
      <c r="L684" s="3">
        <v>46220.902777777781</v>
      </c>
      <c r="M684" s="3">
        <v>46227.395833333336</v>
      </c>
      <c r="AA684" t="s">
        <v>25</v>
      </c>
      <c r="AB684" t="s">
        <v>26</v>
      </c>
    </row>
    <row r="685" spans="1:28" s="12" customFormat="1" x14ac:dyDescent="0.25">
      <c r="A685" s="12" t="s">
        <v>707</v>
      </c>
      <c r="B685" s="12">
        <v>19</v>
      </c>
      <c r="C685" s="12">
        <v>0.33</v>
      </c>
      <c r="D685" s="12" t="s">
        <v>778</v>
      </c>
      <c r="E685" s="12" t="s">
        <v>779</v>
      </c>
      <c r="F685" s="12" t="s">
        <v>780</v>
      </c>
      <c r="G685" s="12" t="s">
        <v>781</v>
      </c>
      <c r="H685" s="12">
        <v>36.6663</v>
      </c>
      <c r="I685" s="12">
        <v>111.11</v>
      </c>
      <c r="J685" s="12">
        <v>20000</v>
      </c>
      <c r="K685" s="12">
        <v>0</v>
      </c>
      <c r="L685" s="32">
        <v>46227.409722222219</v>
      </c>
      <c r="M685" s="32">
        <v>46234.659722222219</v>
      </c>
      <c r="AA685" s="12" t="s">
        <v>25</v>
      </c>
      <c r="AB685" s="12" t="s">
        <v>26</v>
      </c>
    </row>
    <row r="686" spans="1:28" s="10" customFormat="1" x14ac:dyDescent="0.25">
      <c r="A686" s="10" t="s">
        <v>707</v>
      </c>
      <c r="B686" s="10">
        <v>20</v>
      </c>
      <c r="C686" s="10">
        <v>0.33</v>
      </c>
      <c r="D686" s="10" t="s">
        <v>790</v>
      </c>
      <c r="E686" s="10" t="s">
        <v>791</v>
      </c>
      <c r="F686" s="10" t="s">
        <v>792</v>
      </c>
      <c r="G686" s="10" t="s">
        <v>793</v>
      </c>
      <c r="H686" s="10">
        <v>18.334800000000001</v>
      </c>
      <c r="I686" s="10">
        <v>55.56</v>
      </c>
      <c r="J686" s="10">
        <v>100000</v>
      </c>
      <c r="K686" s="10">
        <v>0</v>
      </c>
      <c r="L686" s="37">
        <v>46208.958333333336</v>
      </c>
      <c r="M686" s="37">
        <v>46211.604166666664</v>
      </c>
      <c r="AA686" s="10" t="s">
        <v>25</v>
      </c>
      <c r="AB686" s="10" t="s">
        <v>26</v>
      </c>
    </row>
    <row r="687" spans="1:28" x14ac:dyDescent="0.25">
      <c r="A687" t="s">
        <v>707</v>
      </c>
      <c r="B687">
        <v>20</v>
      </c>
      <c r="C687">
        <v>0.33</v>
      </c>
      <c r="D687" t="s">
        <v>790</v>
      </c>
      <c r="E687" t="s">
        <v>794</v>
      </c>
      <c r="F687" t="s">
        <v>792</v>
      </c>
      <c r="G687" t="s">
        <v>793</v>
      </c>
      <c r="H687">
        <v>18.334800000000001</v>
      </c>
      <c r="I687">
        <v>55.56</v>
      </c>
      <c r="J687">
        <v>100000</v>
      </c>
      <c r="K687">
        <v>0</v>
      </c>
      <c r="L687" s="3">
        <v>46211.611111111109</v>
      </c>
      <c r="M687" s="3">
        <v>46216.256944444445</v>
      </c>
      <c r="AA687" t="s">
        <v>25</v>
      </c>
      <c r="AB687" t="s">
        <v>26</v>
      </c>
    </row>
    <row r="688" spans="1:28" x14ac:dyDescent="0.25">
      <c r="A688" t="s">
        <v>707</v>
      </c>
      <c r="B688">
        <v>20</v>
      </c>
      <c r="C688">
        <v>0.33</v>
      </c>
      <c r="D688" t="s">
        <v>790</v>
      </c>
      <c r="E688" t="s">
        <v>795</v>
      </c>
      <c r="F688" t="s">
        <v>792</v>
      </c>
      <c r="G688" t="s">
        <v>793</v>
      </c>
      <c r="H688">
        <v>18.334800000000001</v>
      </c>
      <c r="I688">
        <v>55.56</v>
      </c>
      <c r="J688">
        <v>100000</v>
      </c>
      <c r="K688">
        <v>0</v>
      </c>
      <c r="L688" s="3">
        <v>46216.263888888891</v>
      </c>
      <c r="M688" s="3">
        <v>46218.909722222219</v>
      </c>
      <c r="AA688" t="s">
        <v>25</v>
      </c>
      <c r="AB688" t="s">
        <v>26</v>
      </c>
    </row>
    <row r="689" spans="1:28" x14ac:dyDescent="0.25">
      <c r="A689" t="s">
        <v>707</v>
      </c>
      <c r="B689">
        <v>20</v>
      </c>
      <c r="C689">
        <v>0.33</v>
      </c>
      <c r="D689" t="s">
        <v>790</v>
      </c>
      <c r="E689" t="s">
        <v>796</v>
      </c>
      <c r="F689" t="s">
        <v>792</v>
      </c>
      <c r="G689" t="s">
        <v>793</v>
      </c>
      <c r="H689">
        <v>18.334800000000001</v>
      </c>
      <c r="I689">
        <v>55.56</v>
      </c>
      <c r="J689">
        <v>100000</v>
      </c>
      <c r="K689">
        <v>0</v>
      </c>
      <c r="L689" s="3">
        <v>46218.916666666664</v>
      </c>
      <c r="M689" s="3">
        <v>46223.5625</v>
      </c>
      <c r="AA689" t="s">
        <v>25</v>
      </c>
      <c r="AB689" t="s">
        <v>26</v>
      </c>
    </row>
    <row r="690" spans="1:28" s="12" customFormat="1" x14ac:dyDescent="0.25">
      <c r="A690" s="12" t="s">
        <v>707</v>
      </c>
      <c r="B690" s="12">
        <v>20</v>
      </c>
      <c r="C690" s="12">
        <v>0.33</v>
      </c>
      <c r="D690" s="12" t="s">
        <v>797</v>
      </c>
      <c r="E690" s="12" t="s">
        <v>798</v>
      </c>
      <c r="F690" s="12" t="s">
        <v>799</v>
      </c>
      <c r="G690" s="12" t="s">
        <v>800</v>
      </c>
      <c r="H690" s="12">
        <v>50.381100000000004</v>
      </c>
      <c r="I690" s="12">
        <v>152.66999999999999</v>
      </c>
      <c r="J690" s="12">
        <v>100000</v>
      </c>
      <c r="K690" s="12">
        <v>0</v>
      </c>
      <c r="L690" s="32">
        <v>46223.569444444445</v>
      </c>
      <c r="M690" s="32">
        <v>46231.965277777781</v>
      </c>
      <c r="AA690" s="12" t="s">
        <v>25</v>
      </c>
      <c r="AB690" s="12" t="s">
        <v>26</v>
      </c>
    </row>
    <row r="691" spans="1:28" x14ac:dyDescent="0.25">
      <c r="A691" t="s">
        <v>707</v>
      </c>
      <c r="B691">
        <v>21</v>
      </c>
      <c r="C691">
        <v>1</v>
      </c>
      <c r="D691" t="s">
        <v>407</v>
      </c>
      <c r="E691" t="s">
        <v>804</v>
      </c>
      <c r="F691" t="s">
        <v>805</v>
      </c>
      <c r="G691" t="s">
        <v>806</v>
      </c>
      <c r="H691">
        <v>21.9</v>
      </c>
      <c r="I691">
        <v>21.9</v>
      </c>
      <c r="J691">
        <v>7500</v>
      </c>
      <c r="K691">
        <v>0</v>
      </c>
      <c r="L691" s="3">
        <v>46210.361111111109</v>
      </c>
      <c r="M691" s="3">
        <v>46211.604166666664</v>
      </c>
      <c r="AA691" t="s">
        <v>25</v>
      </c>
      <c r="AB691" t="s">
        <v>26</v>
      </c>
    </row>
    <row r="692" spans="1:28" s="12" customFormat="1" x14ac:dyDescent="0.25">
      <c r="A692" s="12" t="s">
        <v>707</v>
      </c>
      <c r="B692" s="12">
        <v>21</v>
      </c>
      <c r="C692" s="12">
        <v>1</v>
      </c>
      <c r="D692" s="12" t="s">
        <v>400</v>
      </c>
      <c r="E692" s="12" t="s">
        <v>801</v>
      </c>
      <c r="F692" s="12" t="s">
        <v>802</v>
      </c>
      <c r="G692" s="12" t="s">
        <v>803</v>
      </c>
      <c r="H692" s="12">
        <v>25.55</v>
      </c>
      <c r="I692" s="12">
        <v>25.55</v>
      </c>
      <c r="J692" s="12">
        <v>3500</v>
      </c>
      <c r="K692" s="12">
        <v>0</v>
      </c>
      <c r="L692" s="32">
        <v>46208.958333333336</v>
      </c>
      <c r="M692" s="32">
        <v>46210.354166666664</v>
      </c>
      <c r="AA692" s="12" t="s">
        <v>25</v>
      </c>
      <c r="AB692" s="12" t="s">
        <v>26</v>
      </c>
    </row>
    <row r="693" spans="1:28" s="10" customFormat="1" x14ac:dyDescent="0.25">
      <c r="A693" s="10" t="s">
        <v>707</v>
      </c>
      <c r="B693" s="10">
        <v>22</v>
      </c>
      <c r="C693" s="10">
        <v>2</v>
      </c>
      <c r="D693" s="10" t="s">
        <v>815</v>
      </c>
      <c r="E693" s="10" t="s">
        <v>1197</v>
      </c>
      <c r="F693" s="10" t="s">
        <v>816</v>
      </c>
      <c r="G693" s="10" t="s">
        <v>817</v>
      </c>
      <c r="H693" s="10">
        <v>184.62</v>
      </c>
      <c r="I693" s="10">
        <v>73.849999999999994</v>
      </c>
      <c r="J693" s="10">
        <v>600</v>
      </c>
      <c r="K693" s="10">
        <v>0</v>
      </c>
      <c r="L693" s="37">
        <v>46223</v>
      </c>
      <c r="M693" s="37">
        <v>46226.076388888891</v>
      </c>
      <c r="AA693" s="10" t="s">
        <v>25</v>
      </c>
      <c r="AB693" s="10" t="s">
        <v>26</v>
      </c>
    </row>
    <row r="694" spans="1:28" x14ac:dyDescent="0.25">
      <c r="A694" t="s">
        <v>707</v>
      </c>
      <c r="B694">
        <v>22</v>
      </c>
      <c r="C694">
        <v>1</v>
      </c>
      <c r="D694" t="s">
        <v>807</v>
      </c>
      <c r="E694" t="s">
        <v>808</v>
      </c>
      <c r="F694" t="s">
        <v>809</v>
      </c>
      <c r="G694" t="s">
        <v>810</v>
      </c>
      <c r="H694">
        <v>5.81</v>
      </c>
      <c r="I694">
        <v>5.81</v>
      </c>
      <c r="J694">
        <v>900</v>
      </c>
      <c r="K694">
        <v>0</v>
      </c>
      <c r="L694" s="3">
        <v>46208.958333333336</v>
      </c>
      <c r="M694" s="3">
        <v>46209.229166666664</v>
      </c>
      <c r="O694" t="s">
        <v>87</v>
      </c>
      <c r="AA694" t="s">
        <v>25</v>
      </c>
      <c r="AB694" t="s">
        <v>26</v>
      </c>
    </row>
    <row r="695" spans="1:28" x14ac:dyDescent="0.25">
      <c r="A695" t="s">
        <v>707</v>
      </c>
      <c r="B695">
        <v>22</v>
      </c>
      <c r="C695">
        <v>1</v>
      </c>
      <c r="D695" t="s">
        <v>807</v>
      </c>
      <c r="E695" t="s">
        <v>1595</v>
      </c>
      <c r="F695" t="s">
        <v>809</v>
      </c>
      <c r="G695" t="s">
        <v>810</v>
      </c>
      <c r="H695">
        <v>5.81</v>
      </c>
      <c r="I695">
        <v>5.81</v>
      </c>
      <c r="J695">
        <v>900</v>
      </c>
      <c r="K695">
        <v>0</v>
      </c>
      <c r="L695" s="3">
        <v>46208.958333333336</v>
      </c>
      <c r="M695" s="3">
        <v>46209.229166666664</v>
      </c>
      <c r="AA695" t="s">
        <v>25</v>
      </c>
      <c r="AB695" t="s">
        <v>26</v>
      </c>
    </row>
    <row r="696" spans="1:28" s="12" customFormat="1" x14ac:dyDescent="0.25">
      <c r="A696" s="12" t="s">
        <v>707</v>
      </c>
      <c r="B696" s="12">
        <v>22</v>
      </c>
      <c r="C696" s="12">
        <v>1</v>
      </c>
      <c r="D696" s="12" t="s">
        <v>811</v>
      </c>
      <c r="E696" s="12" t="s">
        <v>812</v>
      </c>
      <c r="F696" s="12" t="s">
        <v>813</v>
      </c>
      <c r="G696" s="12" t="s">
        <v>814</v>
      </c>
      <c r="H696" s="12">
        <v>13.7</v>
      </c>
      <c r="I696" s="12">
        <v>13.7</v>
      </c>
      <c r="J696" s="12">
        <v>1000</v>
      </c>
      <c r="K696" s="12">
        <v>0</v>
      </c>
      <c r="L696" s="32">
        <v>46218</v>
      </c>
      <c r="M696" s="32">
        <v>46218.902777777781</v>
      </c>
      <c r="AA696" s="12" t="s">
        <v>25</v>
      </c>
      <c r="AB696" s="12" t="s">
        <v>26</v>
      </c>
    </row>
    <row r="697" spans="1:28" x14ac:dyDescent="0.25">
      <c r="A697" t="s">
        <v>707</v>
      </c>
      <c r="B697">
        <v>28</v>
      </c>
      <c r="C697">
        <v>0.33</v>
      </c>
      <c r="D697" t="s">
        <v>825</v>
      </c>
      <c r="E697" t="s">
        <v>826</v>
      </c>
      <c r="F697" t="s">
        <v>827</v>
      </c>
      <c r="G697" t="s">
        <v>828</v>
      </c>
      <c r="H697">
        <v>57.2913</v>
      </c>
      <c r="I697">
        <v>173.61</v>
      </c>
      <c r="J697">
        <v>50000</v>
      </c>
      <c r="K697">
        <v>0</v>
      </c>
      <c r="L697" s="3">
        <v>46208.958333333336</v>
      </c>
      <c r="M697" s="3">
        <v>46218.520833333336</v>
      </c>
      <c r="AA697" t="s">
        <v>25</v>
      </c>
      <c r="AB697" t="s">
        <v>26</v>
      </c>
    </row>
    <row r="698" spans="1:28" s="12" customFormat="1" x14ac:dyDescent="0.25">
      <c r="A698" s="12" t="s">
        <v>707</v>
      </c>
      <c r="B698" s="12">
        <v>28</v>
      </c>
      <c r="C698" s="12">
        <v>0.33</v>
      </c>
      <c r="D698" s="12" t="s">
        <v>829</v>
      </c>
      <c r="E698" s="12" t="s">
        <v>830</v>
      </c>
      <c r="F698" s="12" t="s">
        <v>831</v>
      </c>
      <c r="G698" s="12" t="s">
        <v>832</v>
      </c>
      <c r="H698" s="12">
        <v>9.5205000000000002</v>
      </c>
      <c r="I698" s="12">
        <v>28.85</v>
      </c>
      <c r="J698" s="12">
        <v>12000</v>
      </c>
      <c r="K698" s="12">
        <v>0</v>
      </c>
      <c r="L698" s="32">
        <v>46218.527777777781</v>
      </c>
      <c r="M698" s="32">
        <v>46219.729166666664</v>
      </c>
      <c r="AA698" s="12" t="s">
        <v>25</v>
      </c>
      <c r="AB698" s="12" t="s">
        <v>26</v>
      </c>
    </row>
    <row r="699" spans="1:28" s="10" customFormat="1" x14ac:dyDescent="0.25">
      <c r="A699" s="10" t="s">
        <v>707</v>
      </c>
      <c r="B699" s="10">
        <v>29</v>
      </c>
      <c r="C699" s="10">
        <v>0.33</v>
      </c>
      <c r="D699" s="10" t="s">
        <v>833</v>
      </c>
      <c r="E699" s="10" t="s">
        <v>834</v>
      </c>
      <c r="F699" s="10" t="s">
        <v>835</v>
      </c>
      <c r="G699" s="10" t="s">
        <v>836</v>
      </c>
      <c r="H699" s="10">
        <v>11.457599999999999</v>
      </c>
      <c r="I699" s="10">
        <v>34.72</v>
      </c>
      <c r="J699" s="10">
        <v>10000</v>
      </c>
      <c r="K699" s="10">
        <v>0</v>
      </c>
      <c r="L699" s="37">
        <v>46208.958333333336</v>
      </c>
      <c r="M699" s="37">
        <v>46210.4375</v>
      </c>
      <c r="O699" s="10" t="s">
        <v>87</v>
      </c>
      <c r="AA699" s="10" t="s">
        <v>25</v>
      </c>
      <c r="AB699" s="10" t="s">
        <v>26</v>
      </c>
    </row>
    <row r="700" spans="1:28" x14ac:dyDescent="0.25">
      <c r="A700" t="s">
        <v>707</v>
      </c>
      <c r="B700">
        <v>29</v>
      </c>
      <c r="C700">
        <v>0.33</v>
      </c>
      <c r="D700" t="s">
        <v>837</v>
      </c>
      <c r="E700" t="s">
        <v>838</v>
      </c>
      <c r="F700" t="s">
        <v>839</v>
      </c>
      <c r="G700" t="s">
        <v>840</v>
      </c>
      <c r="H700">
        <v>37.501199999999997</v>
      </c>
      <c r="I700">
        <v>113.64</v>
      </c>
      <c r="J700">
        <v>100000</v>
      </c>
      <c r="K700">
        <v>0</v>
      </c>
      <c r="L700" s="3">
        <v>46210.444444444445</v>
      </c>
      <c r="M700" s="3">
        <v>46217.506944444445</v>
      </c>
      <c r="AA700" t="s">
        <v>25</v>
      </c>
      <c r="AB700" t="s">
        <v>26</v>
      </c>
    </row>
    <row r="701" spans="1:28" x14ac:dyDescent="0.25">
      <c r="A701" t="s">
        <v>707</v>
      </c>
      <c r="B701">
        <v>29</v>
      </c>
      <c r="C701">
        <v>0.33</v>
      </c>
      <c r="D701" t="s">
        <v>841</v>
      </c>
      <c r="E701" t="s">
        <v>842</v>
      </c>
      <c r="F701" t="s">
        <v>843</v>
      </c>
      <c r="G701" t="s">
        <v>844</v>
      </c>
      <c r="H701">
        <v>4.125</v>
      </c>
      <c r="I701">
        <v>12.5</v>
      </c>
      <c r="J701">
        <v>3000</v>
      </c>
      <c r="K701">
        <v>0</v>
      </c>
      <c r="L701" s="3">
        <v>46224</v>
      </c>
      <c r="M701" s="3">
        <v>46224.847222222219</v>
      </c>
      <c r="AA701" t="s">
        <v>25</v>
      </c>
      <c r="AB701" t="s">
        <v>26</v>
      </c>
    </row>
    <row r="702" spans="1:28" s="12" customFormat="1" x14ac:dyDescent="0.25">
      <c r="A702" s="12" t="s">
        <v>707</v>
      </c>
      <c r="B702" s="12">
        <v>29</v>
      </c>
      <c r="C702" s="12">
        <v>0.33</v>
      </c>
      <c r="D702" s="12" t="s">
        <v>841</v>
      </c>
      <c r="E702" s="12" t="s">
        <v>845</v>
      </c>
      <c r="F702" s="12" t="s">
        <v>846</v>
      </c>
      <c r="G702" s="12" t="s">
        <v>847</v>
      </c>
      <c r="H702" s="12">
        <v>6.8738999999999999</v>
      </c>
      <c r="I702" s="12">
        <v>20.83</v>
      </c>
      <c r="J702" s="12">
        <v>5000</v>
      </c>
      <c r="K702" s="12">
        <v>0</v>
      </c>
      <c r="L702" s="32">
        <v>46224.854166666664</v>
      </c>
      <c r="M702" s="32">
        <v>46226.048611111109</v>
      </c>
      <c r="AA702" s="12" t="s">
        <v>25</v>
      </c>
      <c r="AB702" s="12" t="s">
        <v>26</v>
      </c>
    </row>
    <row r="703" spans="1:28" s="10" customFormat="1" x14ac:dyDescent="0.25">
      <c r="A703" s="10" t="s">
        <v>707</v>
      </c>
      <c r="B703" s="10">
        <v>30</v>
      </c>
      <c r="C703" s="10">
        <v>1</v>
      </c>
      <c r="D703" s="10" t="s">
        <v>861</v>
      </c>
      <c r="E703" s="6" t="s">
        <v>862</v>
      </c>
      <c r="F703" s="6" t="s">
        <v>863</v>
      </c>
      <c r="G703" s="6" t="s">
        <v>864</v>
      </c>
      <c r="H703" s="6">
        <v>152.38</v>
      </c>
      <c r="I703" s="6">
        <v>152.38</v>
      </c>
      <c r="J703" s="6">
        <v>19000</v>
      </c>
      <c r="K703" s="10">
        <v>0</v>
      </c>
      <c r="L703" s="37">
        <v>46208.958333333336</v>
      </c>
      <c r="M703" s="37">
        <v>46217.638888888891</v>
      </c>
      <c r="AA703" s="10" t="s">
        <v>25</v>
      </c>
      <c r="AB703" s="10" t="s">
        <v>26</v>
      </c>
    </row>
    <row r="704" spans="1:28" x14ac:dyDescent="0.25">
      <c r="A704" t="s">
        <v>707</v>
      </c>
      <c r="B704">
        <v>30</v>
      </c>
      <c r="C704">
        <v>1</v>
      </c>
      <c r="D704" t="s">
        <v>853</v>
      </c>
      <c r="E704" t="s">
        <v>854</v>
      </c>
      <c r="F704" t="s">
        <v>855</v>
      </c>
      <c r="G704" t="s">
        <v>856</v>
      </c>
      <c r="H704">
        <v>22.94</v>
      </c>
      <c r="I704">
        <v>22.94</v>
      </c>
      <c r="J704">
        <v>3200</v>
      </c>
      <c r="K704">
        <v>0</v>
      </c>
      <c r="L704" s="3">
        <v>46219.868055555555</v>
      </c>
      <c r="M704" s="3">
        <v>46223.152777777781</v>
      </c>
      <c r="AA704" t="s">
        <v>25</v>
      </c>
      <c r="AB704" t="s">
        <v>26</v>
      </c>
    </row>
    <row r="705" spans="1:28" x14ac:dyDescent="0.25">
      <c r="A705" t="s">
        <v>707</v>
      </c>
      <c r="B705">
        <v>30</v>
      </c>
      <c r="C705">
        <v>1</v>
      </c>
      <c r="D705" t="s">
        <v>857</v>
      </c>
      <c r="E705" t="s">
        <v>858</v>
      </c>
      <c r="F705" t="s">
        <v>859</v>
      </c>
      <c r="G705" t="s">
        <v>860</v>
      </c>
      <c r="H705">
        <v>5.81</v>
      </c>
      <c r="I705">
        <v>5.81</v>
      </c>
      <c r="J705">
        <v>500</v>
      </c>
      <c r="K705">
        <v>0</v>
      </c>
      <c r="L705" s="3">
        <v>46223.159722222219</v>
      </c>
      <c r="M705" s="3">
        <v>46223.729166666664</v>
      </c>
      <c r="AA705" t="s">
        <v>25</v>
      </c>
      <c r="AB705" t="s">
        <v>26</v>
      </c>
    </row>
    <row r="706" spans="1:28" x14ac:dyDescent="0.25">
      <c r="A706" t="s">
        <v>707</v>
      </c>
      <c r="B706">
        <v>30</v>
      </c>
      <c r="C706">
        <v>1</v>
      </c>
      <c r="D706" t="s">
        <v>861</v>
      </c>
      <c r="E706" t="s">
        <v>1466</v>
      </c>
      <c r="F706" t="s">
        <v>863</v>
      </c>
      <c r="G706" t="s">
        <v>864</v>
      </c>
      <c r="H706">
        <v>152.38</v>
      </c>
      <c r="I706">
        <v>152.38</v>
      </c>
      <c r="J706">
        <v>16000</v>
      </c>
      <c r="K706">
        <v>0</v>
      </c>
      <c r="L706" s="3">
        <v>46223.736111111109</v>
      </c>
      <c r="M706" s="3">
        <v>46232.416666666664</v>
      </c>
      <c r="AA706" t="s">
        <v>25</v>
      </c>
      <c r="AB706" t="s">
        <v>26</v>
      </c>
    </row>
    <row r="707" spans="1:28" x14ac:dyDescent="0.25">
      <c r="A707" t="s">
        <v>707</v>
      </c>
      <c r="B707">
        <v>30</v>
      </c>
      <c r="C707">
        <v>1</v>
      </c>
      <c r="D707" t="s">
        <v>869</v>
      </c>
      <c r="E707" t="s">
        <v>870</v>
      </c>
      <c r="F707" t="s">
        <v>871</v>
      </c>
      <c r="G707" t="s">
        <v>872</v>
      </c>
      <c r="H707">
        <v>46.67</v>
      </c>
      <c r="I707">
        <v>46.67</v>
      </c>
      <c r="J707">
        <v>3500</v>
      </c>
      <c r="K707">
        <v>0</v>
      </c>
      <c r="L707" s="3">
        <v>46232.423611111109</v>
      </c>
      <c r="M707" s="3">
        <v>46234.694444444445</v>
      </c>
      <c r="AA707" t="s">
        <v>25</v>
      </c>
      <c r="AB707" t="s">
        <v>26</v>
      </c>
    </row>
    <row r="708" spans="1:28" x14ac:dyDescent="0.25">
      <c r="A708" t="s">
        <v>707</v>
      </c>
      <c r="B708">
        <v>30</v>
      </c>
      <c r="C708">
        <v>1</v>
      </c>
      <c r="D708" t="s">
        <v>873</v>
      </c>
      <c r="E708" t="s">
        <v>874</v>
      </c>
      <c r="F708" t="s">
        <v>875</v>
      </c>
      <c r="G708" t="s">
        <v>876</v>
      </c>
      <c r="H708">
        <v>46.67</v>
      </c>
      <c r="I708">
        <v>46.67</v>
      </c>
      <c r="J708">
        <v>3500</v>
      </c>
      <c r="K708">
        <v>0</v>
      </c>
      <c r="L708" s="3">
        <v>46234.701388888891</v>
      </c>
      <c r="M708" s="3">
        <v>46239.972222222219</v>
      </c>
      <c r="AA708" t="s">
        <v>25</v>
      </c>
      <c r="AB708" t="s">
        <v>26</v>
      </c>
    </row>
    <row r="709" spans="1:28" x14ac:dyDescent="0.25">
      <c r="A709" t="s">
        <v>707</v>
      </c>
      <c r="B709">
        <v>30</v>
      </c>
      <c r="C709">
        <v>1</v>
      </c>
      <c r="D709" t="s">
        <v>465</v>
      </c>
      <c r="E709" t="s">
        <v>1467</v>
      </c>
      <c r="F709" t="s">
        <v>1468</v>
      </c>
      <c r="G709" t="s">
        <v>1469</v>
      </c>
      <c r="H709">
        <v>86.67</v>
      </c>
      <c r="I709">
        <v>86.67</v>
      </c>
      <c r="J709">
        <v>5000</v>
      </c>
      <c r="K709">
        <v>0</v>
      </c>
      <c r="L709" s="3">
        <v>46239.979166666664</v>
      </c>
      <c r="M709" s="3">
        <v>46245.916666666664</v>
      </c>
      <c r="AA709" t="s">
        <v>25</v>
      </c>
      <c r="AB709" t="s">
        <v>26</v>
      </c>
    </row>
    <row r="710" spans="1:28" x14ac:dyDescent="0.25">
      <c r="A710" t="s">
        <v>707</v>
      </c>
      <c r="B710">
        <v>30</v>
      </c>
      <c r="C710">
        <v>1</v>
      </c>
      <c r="D710" t="s">
        <v>861</v>
      </c>
      <c r="E710" t="s">
        <v>1470</v>
      </c>
      <c r="F710" t="s">
        <v>863</v>
      </c>
      <c r="G710" t="s">
        <v>864</v>
      </c>
      <c r="H710">
        <v>152.38</v>
      </c>
      <c r="I710">
        <v>152.38</v>
      </c>
      <c r="J710">
        <v>16000</v>
      </c>
      <c r="K710">
        <v>0</v>
      </c>
      <c r="L710" s="3">
        <v>46245.923611111109</v>
      </c>
      <c r="M710" s="3">
        <v>46254.604166666664</v>
      </c>
      <c r="AA710" t="s">
        <v>25</v>
      </c>
      <c r="AB710" t="s">
        <v>26</v>
      </c>
    </row>
    <row r="711" spans="1:28" x14ac:dyDescent="0.25">
      <c r="A711" t="s">
        <v>707</v>
      </c>
      <c r="B711">
        <v>30</v>
      </c>
      <c r="C711">
        <v>0.33</v>
      </c>
      <c r="D711" t="s">
        <v>865</v>
      </c>
      <c r="E711" t="s">
        <v>866</v>
      </c>
      <c r="F711" t="s">
        <v>867</v>
      </c>
      <c r="G711" t="s">
        <v>868</v>
      </c>
      <c r="H711">
        <v>17.552700000000002</v>
      </c>
      <c r="I711">
        <v>53.19</v>
      </c>
      <c r="J711">
        <v>15000</v>
      </c>
      <c r="K711">
        <v>0</v>
      </c>
      <c r="L711" s="3">
        <v>46217.645833333336</v>
      </c>
      <c r="M711" s="3">
        <v>46219.861111111109</v>
      </c>
      <c r="AA711" t="s">
        <v>25</v>
      </c>
      <c r="AB711" t="s">
        <v>26</v>
      </c>
    </row>
    <row r="712" spans="1:28" s="10" customFormat="1" x14ac:dyDescent="0.25">
      <c r="A712" s="10" t="s">
        <v>707</v>
      </c>
      <c r="B712" s="10">
        <v>31</v>
      </c>
      <c r="C712" s="10">
        <v>0.33</v>
      </c>
      <c r="D712" s="10" t="s">
        <v>877</v>
      </c>
      <c r="E712" s="10" t="s">
        <v>878</v>
      </c>
      <c r="F712" s="10" t="s">
        <v>879</v>
      </c>
      <c r="G712" s="10" t="s">
        <v>880</v>
      </c>
      <c r="H712" s="10">
        <v>23.043900000000001</v>
      </c>
      <c r="I712" s="10">
        <v>69.83</v>
      </c>
      <c r="J712" s="10">
        <v>100000</v>
      </c>
      <c r="K712" s="10">
        <v>0</v>
      </c>
      <c r="L712" s="37">
        <v>46208.958333333336</v>
      </c>
      <c r="M712" s="37">
        <v>46212.194444444445</v>
      </c>
      <c r="AA712" s="10" t="s">
        <v>25</v>
      </c>
      <c r="AB712" s="10" t="s">
        <v>26</v>
      </c>
    </row>
    <row r="713" spans="1:28" x14ac:dyDescent="0.25">
      <c r="A713" t="s">
        <v>707</v>
      </c>
      <c r="B713">
        <v>31</v>
      </c>
      <c r="C713">
        <v>0.33</v>
      </c>
      <c r="D713" t="s">
        <v>877</v>
      </c>
      <c r="E713" t="s">
        <v>881</v>
      </c>
      <c r="F713" t="s">
        <v>879</v>
      </c>
      <c r="G713" t="s">
        <v>880</v>
      </c>
      <c r="H713">
        <v>23.043900000000001</v>
      </c>
      <c r="I713">
        <v>69.83</v>
      </c>
      <c r="J713">
        <v>100000</v>
      </c>
      <c r="K713">
        <v>0</v>
      </c>
      <c r="L713" s="3">
        <v>46212.201388888891</v>
      </c>
      <c r="M713" s="3">
        <v>46217.4375</v>
      </c>
      <c r="AA713" t="s">
        <v>25</v>
      </c>
      <c r="AB713" t="s">
        <v>26</v>
      </c>
    </row>
    <row r="714" spans="1:28" s="12" customFormat="1" x14ac:dyDescent="0.25">
      <c r="A714" s="12" t="s">
        <v>707</v>
      </c>
      <c r="B714" s="12">
        <v>31</v>
      </c>
      <c r="C714" s="12">
        <v>0.33</v>
      </c>
      <c r="D714" s="12" t="s">
        <v>882</v>
      </c>
      <c r="E714" s="12" t="s">
        <v>883</v>
      </c>
      <c r="F714" s="12" t="s">
        <v>884</v>
      </c>
      <c r="G714" s="12" t="s">
        <v>885</v>
      </c>
      <c r="H714" s="12">
        <v>23.571899999999999</v>
      </c>
      <c r="I714" s="12">
        <v>71.430000000000007</v>
      </c>
      <c r="J714" s="12">
        <v>35000</v>
      </c>
      <c r="K714" s="12">
        <v>0</v>
      </c>
      <c r="L714" s="32">
        <v>46217.444444444445</v>
      </c>
      <c r="M714" s="32">
        <v>46220.75</v>
      </c>
      <c r="AA714" s="12" t="s">
        <v>25</v>
      </c>
      <c r="AB714" s="12" t="s">
        <v>26</v>
      </c>
    </row>
    <row r="715" spans="1:28" s="10" customFormat="1" x14ac:dyDescent="0.25">
      <c r="A715" s="10" t="s">
        <v>707</v>
      </c>
      <c r="B715" s="10">
        <v>32</v>
      </c>
      <c r="C715" s="10">
        <v>0.33</v>
      </c>
      <c r="D715" s="10" t="s">
        <v>886</v>
      </c>
      <c r="E715" s="10" t="s">
        <v>887</v>
      </c>
      <c r="F715" s="10" t="s">
        <v>888</v>
      </c>
      <c r="G715" s="10" t="s">
        <v>889</v>
      </c>
      <c r="H715" s="10">
        <v>10.5105</v>
      </c>
      <c r="I715" s="10">
        <v>31.85</v>
      </c>
      <c r="J715" s="10">
        <v>5000</v>
      </c>
      <c r="K715" s="10">
        <v>0</v>
      </c>
      <c r="L715" s="37">
        <v>46208.958333333336</v>
      </c>
      <c r="M715" s="37">
        <v>46210.618055555555</v>
      </c>
      <c r="AA715" s="10" t="s">
        <v>25</v>
      </c>
      <c r="AB715" s="10" t="s">
        <v>26</v>
      </c>
    </row>
    <row r="716" spans="1:28" x14ac:dyDescent="0.25">
      <c r="A716" t="s">
        <v>707</v>
      </c>
      <c r="B716">
        <v>32</v>
      </c>
      <c r="C716">
        <v>0.33</v>
      </c>
      <c r="D716" t="s">
        <v>890</v>
      </c>
      <c r="E716" t="s">
        <v>891</v>
      </c>
      <c r="F716" t="s">
        <v>892</v>
      </c>
      <c r="G716" t="s">
        <v>893</v>
      </c>
      <c r="H716">
        <v>22.463100000000001</v>
      </c>
      <c r="I716">
        <v>68.069999999999993</v>
      </c>
      <c r="J716">
        <v>100000</v>
      </c>
      <c r="K716">
        <v>0</v>
      </c>
      <c r="L716" s="3">
        <v>46210.625</v>
      </c>
      <c r="M716" s="3">
        <v>46213.791666666664</v>
      </c>
      <c r="AA716" t="s">
        <v>25</v>
      </c>
      <c r="AB716" t="s">
        <v>26</v>
      </c>
    </row>
    <row r="717" spans="1:28" x14ac:dyDescent="0.25">
      <c r="A717" t="s">
        <v>707</v>
      </c>
      <c r="B717">
        <v>32</v>
      </c>
      <c r="C717">
        <v>0.33</v>
      </c>
      <c r="D717" t="s">
        <v>890</v>
      </c>
      <c r="E717" t="s">
        <v>894</v>
      </c>
      <c r="F717" t="s">
        <v>892</v>
      </c>
      <c r="G717" t="s">
        <v>893</v>
      </c>
      <c r="H717">
        <v>22.463100000000001</v>
      </c>
      <c r="I717">
        <v>68.069999999999993</v>
      </c>
      <c r="J717">
        <v>100000</v>
      </c>
      <c r="K717">
        <v>0</v>
      </c>
      <c r="L717" s="3">
        <v>46213.798611111109</v>
      </c>
      <c r="M717" s="3">
        <v>46218.965277777781</v>
      </c>
      <c r="AA717" t="s">
        <v>25</v>
      </c>
      <c r="AB717" t="s">
        <v>26</v>
      </c>
    </row>
    <row r="719" spans="1:28" s="10" customFormat="1" x14ac:dyDescent="0.25">
      <c r="A719" s="10" t="s">
        <v>707</v>
      </c>
      <c r="B719" s="10">
        <v>33</v>
      </c>
      <c r="C719" s="10">
        <v>1</v>
      </c>
      <c r="D719" s="10" t="s">
        <v>897</v>
      </c>
      <c r="E719" s="10" t="s">
        <v>898</v>
      </c>
      <c r="F719" s="10" t="s">
        <v>899</v>
      </c>
      <c r="G719" s="10" t="s">
        <v>900</v>
      </c>
      <c r="H719" s="10">
        <v>39.619999999999997</v>
      </c>
      <c r="I719" s="10">
        <v>39.619999999999997</v>
      </c>
      <c r="J719" s="10">
        <v>16800</v>
      </c>
      <c r="K719" s="10">
        <v>0</v>
      </c>
      <c r="L719" s="37">
        <v>46208.958333333336</v>
      </c>
      <c r="M719" s="37">
        <v>46210.604166666664</v>
      </c>
      <c r="AA719" s="10" t="s">
        <v>25</v>
      </c>
      <c r="AB719" s="10" t="s">
        <v>26</v>
      </c>
    </row>
    <row r="720" spans="1:28" x14ac:dyDescent="0.25">
      <c r="A720" t="s">
        <v>707</v>
      </c>
      <c r="B720">
        <v>33</v>
      </c>
      <c r="C720">
        <v>1</v>
      </c>
      <c r="D720" t="s">
        <v>897</v>
      </c>
      <c r="E720" t="s">
        <v>904</v>
      </c>
      <c r="F720" t="s">
        <v>899</v>
      </c>
      <c r="G720" t="s">
        <v>900</v>
      </c>
      <c r="H720">
        <v>79.25</v>
      </c>
      <c r="I720">
        <v>79.25</v>
      </c>
      <c r="J720">
        <v>16800</v>
      </c>
      <c r="K720">
        <v>0</v>
      </c>
      <c r="L720" s="3">
        <v>46211.520833333336</v>
      </c>
      <c r="M720" s="3">
        <v>46216.819444444445</v>
      </c>
      <c r="AA720" t="s">
        <v>25</v>
      </c>
      <c r="AB720" t="s">
        <v>26</v>
      </c>
    </row>
    <row r="721" spans="1:28" x14ac:dyDescent="0.25">
      <c r="A721" t="s">
        <v>707</v>
      </c>
      <c r="B721">
        <v>33</v>
      </c>
      <c r="C721">
        <v>1</v>
      </c>
      <c r="D721" t="s">
        <v>901</v>
      </c>
      <c r="E721" t="s">
        <v>1145</v>
      </c>
      <c r="F721" t="s">
        <v>902</v>
      </c>
      <c r="G721" t="s">
        <v>903</v>
      </c>
      <c r="H721">
        <v>0</v>
      </c>
      <c r="I721">
        <v>21.74</v>
      </c>
      <c r="J721">
        <v>500</v>
      </c>
      <c r="K721">
        <v>0</v>
      </c>
      <c r="L721" s="3">
        <v>46210.611111111109</v>
      </c>
      <c r="M721" s="3">
        <v>46211.513888888891</v>
      </c>
      <c r="AA721" t="s">
        <v>25</v>
      </c>
      <c r="AB721" t="s">
        <v>25</v>
      </c>
    </row>
    <row r="722" spans="1:28" x14ac:dyDescent="0.25">
      <c r="A722" t="s">
        <v>707</v>
      </c>
      <c r="B722">
        <v>33</v>
      </c>
      <c r="C722">
        <v>1</v>
      </c>
      <c r="D722" t="s">
        <v>901</v>
      </c>
      <c r="E722" t="s">
        <v>1596</v>
      </c>
      <c r="F722" t="s">
        <v>902</v>
      </c>
      <c r="G722" t="s">
        <v>903</v>
      </c>
      <c r="H722">
        <v>0</v>
      </c>
      <c r="I722">
        <v>21.74</v>
      </c>
      <c r="J722">
        <v>500</v>
      </c>
      <c r="K722">
        <v>0</v>
      </c>
    </row>
    <row r="723" spans="1:28" x14ac:dyDescent="0.25">
      <c r="A723" t="s">
        <v>707</v>
      </c>
      <c r="B723">
        <v>33</v>
      </c>
      <c r="C723">
        <v>0.33</v>
      </c>
      <c r="D723" t="s">
        <v>908</v>
      </c>
      <c r="E723" t="s">
        <v>909</v>
      </c>
      <c r="F723" t="s">
        <v>910</v>
      </c>
      <c r="G723" t="s">
        <v>911</v>
      </c>
      <c r="H723">
        <v>12.4047</v>
      </c>
      <c r="I723">
        <v>37.590000000000003</v>
      </c>
      <c r="J723">
        <v>5000</v>
      </c>
      <c r="K723">
        <v>0</v>
      </c>
      <c r="L723" s="3">
        <v>46227.090277777781</v>
      </c>
      <c r="M723" s="3">
        <v>46230.986111111109</v>
      </c>
      <c r="AA723" t="s">
        <v>25</v>
      </c>
      <c r="AB723" t="s">
        <v>26</v>
      </c>
    </row>
    <row r="724" spans="1:28" x14ac:dyDescent="0.25">
      <c r="A724" t="s">
        <v>707</v>
      </c>
      <c r="B724">
        <v>33</v>
      </c>
      <c r="C724">
        <v>1</v>
      </c>
      <c r="D724" t="s">
        <v>897</v>
      </c>
      <c r="E724" t="s">
        <v>905</v>
      </c>
      <c r="F724" t="s">
        <v>899</v>
      </c>
      <c r="G724" t="s">
        <v>900</v>
      </c>
      <c r="H724">
        <v>79.25</v>
      </c>
      <c r="I724">
        <v>79.25</v>
      </c>
      <c r="J724">
        <v>16800</v>
      </c>
      <c r="K724">
        <v>0</v>
      </c>
      <c r="L724" s="3">
        <v>46216.826388888891</v>
      </c>
      <c r="M724" s="3">
        <v>46220.125</v>
      </c>
      <c r="AA724" t="s">
        <v>25</v>
      </c>
      <c r="AB724" t="s">
        <v>26</v>
      </c>
    </row>
    <row r="725" spans="1:28" x14ac:dyDescent="0.25">
      <c r="A725" t="s">
        <v>707</v>
      </c>
      <c r="B725">
        <v>33</v>
      </c>
      <c r="C725">
        <v>1</v>
      </c>
      <c r="D725" t="s">
        <v>897</v>
      </c>
      <c r="E725" t="s">
        <v>906</v>
      </c>
      <c r="F725" t="s">
        <v>899</v>
      </c>
      <c r="G725" t="s">
        <v>900</v>
      </c>
      <c r="H725">
        <v>79.25</v>
      </c>
      <c r="I725">
        <v>79.25</v>
      </c>
      <c r="J725">
        <v>16800</v>
      </c>
      <c r="K725">
        <v>0</v>
      </c>
      <c r="L725" s="3">
        <v>46220.131944444445</v>
      </c>
      <c r="M725" s="3">
        <v>46225.430555555555</v>
      </c>
      <c r="AA725" t="s">
        <v>25</v>
      </c>
      <c r="AB725" t="s">
        <v>26</v>
      </c>
    </row>
    <row r="726" spans="1:28" x14ac:dyDescent="0.25">
      <c r="A726" t="s">
        <v>707</v>
      </c>
      <c r="B726">
        <v>33</v>
      </c>
      <c r="C726">
        <v>1</v>
      </c>
      <c r="D726" t="s">
        <v>897</v>
      </c>
      <c r="E726" t="s">
        <v>907</v>
      </c>
      <c r="F726" t="s">
        <v>899</v>
      </c>
      <c r="G726" t="s">
        <v>900</v>
      </c>
      <c r="H726">
        <v>39.619999999999997</v>
      </c>
      <c r="I726">
        <v>39.619999999999997</v>
      </c>
      <c r="J726">
        <v>8400</v>
      </c>
      <c r="K726">
        <v>0</v>
      </c>
      <c r="L726" s="3">
        <v>46225.4375</v>
      </c>
      <c r="M726" s="3">
        <v>46227.083333333336</v>
      </c>
      <c r="AA726" t="s">
        <v>25</v>
      </c>
      <c r="AB726" t="s">
        <v>26</v>
      </c>
    </row>
    <row r="727" spans="1:28" s="10" customFormat="1" x14ac:dyDescent="0.25">
      <c r="A727" s="10" t="s">
        <v>707</v>
      </c>
      <c r="B727" s="10">
        <v>34</v>
      </c>
      <c r="C727" s="10">
        <v>3</v>
      </c>
      <c r="D727" s="10" t="s">
        <v>912</v>
      </c>
      <c r="E727" s="10" t="s">
        <v>915</v>
      </c>
      <c r="F727" s="10" t="s">
        <v>913</v>
      </c>
      <c r="G727" s="10" t="s">
        <v>914</v>
      </c>
      <c r="H727" s="10">
        <v>188.58</v>
      </c>
      <c r="I727" s="10">
        <v>62.86</v>
      </c>
      <c r="J727" s="10">
        <v>11000</v>
      </c>
      <c r="K727" s="10">
        <v>0</v>
      </c>
      <c r="L727" s="37">
        <v>46211.722222222219</v>
      </c>
      <c r="M727" s="37">
        <v>46217.340277777781</v>
      </c>
      <c r="O727" s="10" t="s">
        <v>87</v>
      </c>
      <c r="Q727" s="11"/>
      <c r="AA727" s="10" t="s">
        <v>25</v>
      </c>
      <c r="AB727" s="10" t="s">
        <v>26</v>
      </c>
    </row>
    <row r="728" spans="1:28" x14ac:dyDescent="0.25">
      <c r="A728" t="s">
        <v>707</v>
      </c>
      <c r="B728">
        <v>34</v>
      </c>
      <c r="C728">
        <v>3</v>
      </c>
      <c r="D728" t="s">
        <v>912</v>
      </c>
      <c r="E728" t="s">
        <v>924</v>
      </c>
      <c r="F728" t="s">
        <v>913</v>
      </c>
      <c r="G728" t="s">
        <v>914</v>
      </c>
      <c r="H728">
        <v>188.58</v>
      </c>
      <c r="I728">
        <v>62.86</v>
      </c>
      <c r="J728">
        <v>11000</v>
      </c>
      <c r="K728">
        <v>0</v>
      </c>
      <c r="L728" s="3">
        <v>46224.833333333336</v>
      </c>
      <c r="M728" s="3">
        <v>46227.451388888891</v>
      </c>
      <c r="O728" t="s">
        <v>87</v>
      </c>
      <c r="AA728" t="s">
        <v>25</v>
      </c>
      <c r="AB728" t="s">
        <v>26</v>
      </c>
    </row>
    <row r="729" spans="1:28" x14ac:dyDescent="0.25">
      <c r="A729" t="s">
        <v>707</v>
      </c>
      <c r="B729">
        <v>34</v>
      </c>
      <c r="C729">
        <v>0.33</v>
      </c>
      <c r="D729" t="s">
        <v>920</v>
      </c>
      <c r="E729" t="s">
        <v>921</v>
      </c>
      <c r="F729" t="s">
        <v>922</v>
      </c>
      <c r="G729" t="s">
        <v>923</v>
      </c>
      <c r="H729">
        <v>21.483000000000001</v>
      </c>
      <c r="I729">
        <v>65.099999999999994</v>
      </c>
      <c r="J729">
        <v>75000</v>
      </c>
      <c r="K729">
        <v>0</v>
      </c>
      <c r="L729" s="3">
        <v>46218.784722222219</v>
      </c>
      <c r="M729" s="3">
        <v>46224.826388888891</v>
      </c>
      <c r="AA729" t="s">
        <v>25</v>
      </c>
      <c r="AB729" t="s">
        <v>26</v>
      </c>
    </row>
    <row r="730" spans="1:28" x14ac:dyDescent="0.25">
      <c r="A730" t="s">
        <v>707</v>
      </c>
      <c r="B730">
        <v>34</v>
      </c>
      <c r="C730">
        <v>3</v>
      </c>
      <c r="D730" t="s">
        <v>912</v>
      </c>
      <c r="E730" t="s">
        <v>925</v>
      </c>
      <c r="F730" t="s">
        <v>913</v>
      </c>
      <c r="G730" t="s">
        <v>914</v>
      </c>
      <c r="H730">
        <v>188.58</v>
      </c>
      <c r="I730">
        <v>62.86</v>
      </c>
      <c r="J730">
        <v>11000</v>
      </c>
      <c r="K730">
        <v>0</v>
      </c>
      <c r="L730" s="3">
        <v>46227.458333333336</v>
      </c>
      <c r="M730" s="3">
        <v>46233.076388888891</v>
      </c>
      <c r="AA730" t="s">
        <v>25</v>
      </c>
      <c r="AB730" t="s">
        <v>26</v>
      </c>
    </row>
    <row r="731" spans="1:28" x14ac:dyDescent="0.25">
      <c r="A731" t="s">
        <v>707</v>
      </c>
      <c r="B731">
        <v>34</v>
      </c>
      <c r="C731">
        <v>0</v>
      </c>
      <c r="D731" t="s">
        <v>916</v>
      </c>
      <c r="E731" t="s">
        <v>917</v>
      </c>
      <c r="F731" t="s">
        <v>918</v>
      </c>
      <c r="G731" t="s">
        <v>919</v>
      </c>
      <c r="H731">
        <v>0</v>
      </c>
      <c r="I731">
        <v>34.5</v>
      </c>
      <c r="J731">
        <v>10800</v>
      </c>
      <c r="K731">
        <v>0</v>
      </c>
      <c r="L731" s="3">
        <v>46217.347222222219</v>
      </c>
      <c r="M731" s="3">
        <v>46218.777777777781</v>
      </c>
      <c r="AA731" t="s">
        <v>25</v>
      </c>
      <c r="AB731" t="s">
        <v>25</v>
      </c>
    </row>
    <row r="732" spans="1:28" s="10" customFormat="1" x14ac:dyDescent="0.25">
      <c r="A732" s="10" t="s">
        <v>707</v>
      </c>
      <c r="B732" s="10">
        <v>35</v>
      </c>
      <c r="C732" s="10">
        <v>1</v>
      </c>
      <c r="D732" s="10" t="s">
        <v>926</v>
      </c>
      <c r="E732" s="10" t="s">
        <v>927</v>
      </c>
      <c r="F732" s="10" t="s">
        <v>928</v>
      </c>
      <c r="G732" s="10" t="s">
        <v>929</v>
      </c>
      <c r="H732" s="10">
        <v>272.73</v>
      </c>
      <c r="I732" s="10">
        <v>272.73</v>
      </c>
      <c r="J732" s="10">
        <v>30000</v>
      </c>
      <c r="K732" s="10">
        <v>0</v>
      </c>
      <c r="L732" s="37">
        <v>46208.958333333336</v>
      </c>
      <c r="M732" s="37">
        <v>46224.340277777781</v>
      </c>
      <c r="AA732" s="10" t="s">
        <v>25</v>
      </c>
      <c r="AB732" s="10" t="s">
        <v>26</v>
      </c>
    </row>
    <row r="733" spans="1:28" s="12" customFormat="1" x14ac:dyDescent="0.25">
      <c r="A733" s="12" t="s">
        <v>707</v>
      </c>
      <c r="B733" s="12">
        <v>35</v>
      </c>
      <c r="C733" s="12">
        <v>2</v>
      </c>
      <c r="D733" s="12" t="s">
        <v>930</v>
      </c>
      <c r="E733" s="12" t="s">
        <v>931</v>
      </c>
      <c r="F733" s="12" t="s">
        <v>932</v>
      </c>
      <c r="G733" s="12" t="s">
        <v>933</v>
      </c>
      <c r="H733" s="12">
        <v>333.34</v>
      </c>
      <c r="I733" s="12">
        <v>166.67</v>
      </c>
      <c r="J733" s="12">
        <v>30000</v>
      </c>
      <c r="K733" s="12">
        <v>0</v>
      </c>
      <c r="L733" s="32">
        <v>46224.347222222219</v>
      </c>
      <c r="M733" s="32">
        <v>46233.618055555555</v>
      </c>
      <c r="AA733" s="12" t="s">
        <v>25</v>
      </c>
      <c r="AB733" s="12" t="s">
        <v>26</v>
      </c>
    </row>
    <row r="734" spans="1:28" s="10" customFormat="1" x14ac:dyDescent="0.25">
      <c r="A734" s="10" t="s">
        <v>707</v>
      </c>
      <c r="B734" s="10">
        <v>38</v>
      </c>
      <c r="C734" s="10">
        <v>0.33</v>
      </c>
      <c r="D734" s="10" t="s">
        <v>818</v>
      </c>
      <c r="E734" s="10" t="s">
        <v>934</v>
      </c>
      <c r="F734" s="10" t="s">
        <v>819</v>
      </c>
      <c r="G734" s="10" t="s">
        <v>820</v>
      </c>
      <c r="H734" s="10">
        <v>42.124499999999998</v>
      </c>
      <c r="I734" s="10">
        <v>127.65</v>
      </c>
      <c r="J734" s="10">
        <v>350000</v>
      </c>
      <c r="K734" s="10">
        <v>0</v>
      </c>
      <c r="L734" s="37">
        <v>46208.958333333336</v>
      </c>
      <c r="M734" s="37">
        <v>46216.604166666664</v>
      </c>
      <c r="AA734" s="10" t="s">
        <v>25</v>
      </c>
      <c r="AB734" s="10" t="s">
        <v>26</v>
      </c>
    </row>
    <row r="735" spans="1:28" s="12" customFormat="1" x14ac:dyDescent="0.25">
      <c r="A735" s="12" t="s">
        <v>707</v>
      </c>
      <c r="B735" s="12">
        <v>38</v>
      </c>
      <c r="C735" s="12">
        <v>0.33</v>
      </c>
      <c r="D735" s="12" t="s">
        <v>818</v>
      </c>
      <c r="E735" s="12" t="s">
        <v>935</v>
      </c>
      <c r="F735" s="12" t="s">
        <v>819</v>
      </c>
      <c r="G735" s="12" t="s">
        <v>820</v>
      </c>
      <c r="H735" s="12">
        <v>24.0702</v>
      </c>
      <c r="I735" s="12">
        <v>72.94</v>
      </c>
      <c r="J735" s="12">
        <v>200000</v>
      </c>
      <c r="K735" s="12">
        <v>0</v>
      </c>
      <c r="L735" s="32">
        <v>46216.611111111109</v>
      </c>
      <c r="M735" s="32">
        <v>46219.979166666664</v>
      </c>
      <c r="AA735" s="12" t="s">
        <v>25</v>
      </c>
      <c r="AB735" s="12" t="s">
        <v>26</v>
      </c>
    </row>
    <row r="736" spans="1:28" s="10" customFormat="1" x14ac:dyDescent="0.25">
      <c r="A736" s="10" t="s">
        <v>707</v>
      </c>
      <c r="B736" s="10">
        <v>40</v>
      </c>
      <c r="C736" s="10">
        <v>0.33</v>
      </c>
      <c r="D736" s="10" t="s">
        <v>944</v>
      </c>
      <c r="E736" s="10" t="s">
        <v>945</v>
      </c>
      <c r="F736" s="10" t="s">
        <v>946</v>
      </c>
      <c r="G736" s="10" t="s">
        <v>947</v>
      </c>
      <c r="H736" s="10">
        <v>11.9163</v>
      </c>
      <c r="I736" s="10">
        <v>36.11</v>
      </c>
      <c r="J736" s="10">
        <v>13000</v>
      </c>
      <c r="K736" s="10">
        <v>0</v>
      </c>
      <c r="L736" s="37">
        <v>46208.958333333336</v>
      </c>
      <c r="M736" s="37">
        <v>46210.791666666664</v>
      </c>
      <c r="AA736" s="10" t="s">
        <v>25</v>
      </c>
      <c r="AB736" s="10" t="s">
        <v>26</v>
      </c>
    </row>
    <row r="737" spans="1:28" x14ac:dyDescent="0.25">
      <c r="A737" t="s">
        <v>707</v>
      </c>
      <c r="B737">
        <v>40</v>
      </c>
      <c r="C737">
        <v>0.33</v>
      </c>
      <c r="D737" t="s">
        <v>944</v>
      </c>
      <c r="E737" t="s">
        <v>948</v>
      </c>
      <c r="F737" t="s">
        <v>946</v>
      </c>
      <c r="G737" t="s">
        <v>947</v>
      </c>
      <c r="H737">
        <v>11.9163</v>
      </c>
      <c r="I737">
        <v>36.11</v>
      </c>
      <c r="J737">
        <v>13000</v>
      </c>
      <c r="K737">
        <v>0</v>
      </c>
      <c r="L737" s="3">
        <v>46210.798611111109</v>
      </c>
      <c r="M737" s="3">
        <v>46212.631944444445</v>
      </c>
      <c r="AA737" t="s">
        <v>25</v>
      </c>
      <c r="AB737" t="s">
        <v>26</v>
      </c>
    </row>
    <row r="738" spans="1:28" x14ac:dyDescent="0.25">
      <c r="A738" t="s">
        <v>707</v>
      </c>
      <c r="B738">
        <v>40</v>
      </c>
      <c r="C738">
        <v>1</v>
      </c>
      <c r="D738" t="s">
        <v>944</v>
      </c>
      <c r="E738" t="s">
        <v>949</v>
      </c>
      <c r="F738" t="s">
        <v>950</v>
      </c>
      <c r="G738" t="s">
        <v>951</v>
      </c>
      <c r="H738">
        <v>78.790000000000006</v>
      </c>
      <c r="I738">
        <v>78.790000000000006</v>
      </c>
      <c r="J738">
        <v>13000</v>
      </c>
      <c r="K738">
        <v>0</v>
      </c>
      <c r="L738" s="3">
        <v>46212.638888888891</v>
      </c>
      <c r="M738" s="3">
        <v>46218.25</v>
      </c>
      <c r="AA738" t="s">
        <v>25</v>
      </c>
      <c r="AB738" t="s">
        <v>26</v>
      </c>
    </row>
    <row r="739" spans="1:28" x14ac:dyDescent="0.25">
      <c r="A739" t="s">
        <v>707</v>
      </c>
      <c r="B739">
        <v>40</v>
      </c>
      <c r="C739">
        <v>1</v>
      </c>
      <c r="D739" t="s">
        <v>944</v>
      </c>
      <c r="E739" t="s">
        <v>952</v>
      </c>
      <c r="F739" t="s">
        <v>950</v>
      </c>
      <c r="G739" t="s">
        <v>951</v>
      </c>
      <c r="H739">
        <v>78.790000000000006</v>
      </c>
      <c r="I739">
        <v>78.790000000000006</v>
      </c>
      <c r="J739">
        <v>13000</v>
      </c>
      <c r="K739">
        <v>0</v>
      </c>
      <c r="L739" s="3">
        <v>46218.256944444445</v>
      </c>
      <c r="M739" s="3">
        <v>46223.868055555555</v>
      </c>
      <c r="AA739" t="s">
        <v>25</v>
      </c>
      <c r="AB739" t="s">
        <v>26</v>
      </c>
    </row>
    <row r="740" spans="1:28" x14ac:dyDescent="0.25">
      <c r="A740" t="s">
        <v>707</v>
      </c>
      <c r="B740">
        <v>40</v>
      </c>
      <c r="C740">
        <v>0.33</v>
      </c>
      <c r="D740" t="s">
        <v>953</v>
      </c>
      <c r="E740" t="s">
        <v>954</v>
      </c>
      <c r="F740" t="s">
        <v>955</v>
      </c>
      <c r="G740" t="s">
        <v>956</v>
      </c>
      <c r="H740">
        <v>22.7898</v>
      </c>
      <c r="I740">
        <v>69.06</v>
      </c>
      <c r="J740">
        <v>50000</v>
      </c>
      <c r="K740">
        <v>0</v>
      </c>
      <c r="L740" s="3">
        <v>46223.875</v>
      </c>
      <c r="M740" s="3">
        <v>46227.083333333336</v>
      </c>
      <c r="AA740" t="s">
        <v>25</v>
      </c>
      <c r="AB740" t="s">
        <v>26</v>
      </c>
    </row>
    <row r="741" spans="1:28" x14ac:dyDescent="0.25">
      <c r="A741" t="s">
        <v>707</v>
      </c>
      <c r="B741">
        <v>40</v>
      </c>
      <c r="C741">
        <v>0.33</v>
      </c>
      <c r="D741" t="s">
        <v>944</v>
      </c>
      <c r="E741" t="s">
        <v>957</v>
      </c>
      <c r="F741" t="s">
        <v>946</v>
      </c>
      <c r="G741" t="s">
        <v>947</v>
      </c>
      <c r="H741">
        <v>11.9163</v>
      </c>
      <c r="I741">
        <v>36.11</v>
      </c>
      <c r="J741">
        <v>13000</v>
      </c>
      <c r="K741">
        <v>0</v>
      </c>
      <c r="L741" s="3">
        <v>46227.090277777781</v>
      </c>
      <c r="M741" s="3">
        <v>46230.923611111109</v>
      </c>
      <c r="AA741" t="s">
        <v>25</v>
      </c>
      <c r="AB741" t="s">
        <v>26</v>
      </c>
    </row>
    <row r="742" spans="1:28" s="12" customFormat="1" x14ac:dyDescent="0.25">
      <c r="A742" s="12" t="s">
        <v>707</v>
      </c>
      <c r="B742" s="12">
        <v>40</v>
      </c>
      <c r="C742" s="12">
        <v>0.33</v>
      </c>
      <c r="D742" s="12" t="s">
        <v>944</v>
      </c>
      <c r="E742" s="12" t="s">
        <v>958</v>
      </c>
      <c r="F742" s="12" t="s">
        <v>946</v>
      </c>
      <c r="G742" s="12" t="s">
        <v>947</v>
      </c>
      <c r="H742" s="12">
        <v>11.9163</v>
      </c>
      <c r="I742" s="12">
        <v>36.11</v>
      </c>
      <c r="J742" s="12">
        <v>13000</v>
      </c>
      <c r="K742" s="12">
        <v>0</v>
      </c>
      <c r="L742" s="32">
        <v>46230.930555555555</v>
      </c>
      <c r="M742" s="32">
        <v>46232.763888888891</v>
      </c>
      <c r="AA742" s="12" t="s">
        <v>25</v>
      </c>
      <c r="AB742" s="12" t="s">
        <v>26</v>
      </c>
    </row>
    <row r="743" spans="1:28" s="42" customFormat="1" x14ac:dyDescent="0.25">
      <c r="A743" s="42" t="s">
        <v>707</v>
      </c>
      <c r="B743" s="42">
        <v>41</v>
      </c>
      <c r="C743" s="42">
        <v>0.33</v>
      </c>
      <c r="D743" s="42" t="s">
        <v>895</v>
      </c>
      <c r="E743" s="42" t="s">
        <v>896</v>
      </c>
      <c r="F743" s="42" t="s">
        <v>892</v>
      </c>
      <c r="G743" s="42" t="s">
        <v>893</v>
      </c>
      <c r="H743" s="42">
        <v>0.22439999999999999</v>
      </c>
      <c r="I743" s="42">
        <v>0.68</v>
      </c>
      <c r="J743" s="42">
        <v>1000</v>
      </c>
      <c r="K743" s="42">
        <v>0</v>
      </c>
      <c r="L743" s="43">
        <v>46218.972222222219</v>
      </c>
      <c r="M743" s="43">
        <v>46219.333333333336</v>
      </c>
      <c r="AA743" s="42" t="s">
        <v>227</v>
      </c>
      <c r="AB743" s="42" t="s">
        <v>26</v>
      </c>
    </row>
    <row r="744" spans="1:28" x14ac:dyDescent="0.25">
      <c r="A744" t="s">
        <v>707</v>
      </c>
      <c r="B744">
        <v>41</v>
      </c>
      <c r="C744">
        <v>0.33</v>
      </c>
      <c r="D744" t="s">
        <v>959</v>
      </c>
      <c r="E744" t="s">
        <v>960</v>
      </c>
      <c r="F744" t="s">
        <v>961</v>
      </c>
      <c r="G744" t="s">
        <v>962</v>
      </c>
      <c r="H744">
        <v>15.081</v>
      </c>
      <c r="I744">
        <v>45.7</v>
      </c>
      <c r="J744">
        <v>50000</v>
      </c>
      <c r="K744">
        <v>0</v>
      </c>
      <c r="L744" s="3">
        <v>46208.958333333336</v>
      </c>
      <c r="M744" s="3">
        <v>46211.194444444445</v>
      </c>
      <c r="AA744" t="s">
        <v>25</v>
      </c>
      <c r="AB744" t="s">
        <v>26</v>
      </c>
    </row>
    <row r="745" spans="1:28" x14ac:dyDescent="0.25">
      <c r="A745" t="s">
        <v>707</v>
      </c>
      <c r="B745">
        <v>41</v>
      </c>
      <c r="C745">
        <v>0.33</v>
      </c>
      <c r="D745" t="s">
        <v>963</v>
      </c>
      <c r="E745" t="s">
        <v>964</v>
      </c>
      <c r="F745" t="s">
        <v>965</v>
      </c>
      <c r="G745" t="s">
        <v>966</v>
      </c>
      <c r="H745">
        <v>15.081</v>
      </c>
      <c r="I745">
        <v>45.7</v>
      </c>
      <c r="J745">
        <v>50000</v>
      </c>
      <c r="K745">
        <v>0</v>
      </c>
      <c r="L745" s="3">
        <v>46211.201388888891</v>
      </c>
      <c r="M745" s="3">
        <v>46213.4375</v>
      </c>
      <c r="AA745" t="s">
        <v>25</v>
      </c>
      <c r="AB745" t="s">
        <v>26</v>
      </c>
    </row>
    <row r="746" spans="1:28" s="35" customFormat="1" x14ac:dyDescent="0.25">
      <c r="A746" s="35" t="s">
        <v>707</v>
      </c>
      <c r="B746" s="35">
        <v>41</v>
      </c>
      <c r="C746" s="35">
        <v>0.33</v>
      </c>
      <c r="D746" s="35" t="s">
        <v>967</v>
      </c>
      <c r="E746" s="35" t="s">
        <v>968</v>
      </c>
      <c r="F746" s="35" t="s">
        <v>969</v>
      </c>
      <c r="G746" s="35" t="s">
        <v>970</v>
      </c>
      <c r="H746" s="35">
        <v>17.905799999999999</v>
      </c>
      <c r="I746" s="35">
        <v>54.26</v>
      </c>
      <c r="J746" s="35">
        <v>7000</v>
      </c>
      <c r="K746" s="35">
        <v>0</v>
      </c>
      <c r="L746" s="41">
        <v>46224</v>
      </c>
      <c r="M746" s="41">
        <v>46226.590277777781</v>
      </c>
      <c r="AA746" s="35" t="s">
        <v>25</v>
      </c>
      <c r="AB746" s="35" t="s">
        <v>26</v>
      </c>
    </row>
    <row r="747" spans="1:28" s="13" customFormat="1" x14ac:dyDescent="0.25">
      <c r="A747" s="13" t="s">
        <v>707</v>
      </c>
      <c r="B747" s="13">
        <v>42</v>
      </c>
      <c r="C747" s="13">
        <v>1</v>
      </c>
      <c r="D747" s="13" t="s">
        <v>971</v>
      </c>
      <c r="E747" s="13" t="s">
        <v>972</v>
      </c>
      <c r="F747" s="13" t="s">
        <v>973</v>
      </c>
      <c r="G747" s="13" t="s">
        <v>974</v>
      </c>
      <c r="H747" s="13">
        <v>1</v>
      </c>
      <c r="I747" s="13">
        <v>2</v>
      </c>
      <c r="J747" s="13">
        <v>200</v>
      </c>
      <c r="K747" s="13">
        <v>0</v>
      </c>
      <c r="L747" s="47">
        <v>46208.958333333336</v>
      </c>
      <c r="M747" s="47">
        <v>46208.965277777781</v>
      </c>
      <c r="AA747" s="13" t="s">
        <v>227</v>
      </c>
      <c r="AB747" s="13" t="s">
        <v>26</v>
      </c>
    </row>
    <row r="748" spans="1:28" s="13" customFormat="1" x14ac:dyDescent="0.25">
      <c r="A748" s="13" t="s">
        <v>707</v>
      </c>
      <c r="B748" s="13">
        <v>42</v>
      </c>
      <c r="C748" s="13">
        <v>1</v>
      </c>
      <c r="D748" s="13" t="s">
        <v>1193</v>
      </c>
      <c r="E748" s="13" t="s">
        <v>1194</v>
      </c>
      <c r="F748" s="13" t="s">
        <v>1195</v>
      </c>
      <c r="G748" s="13" t="s">
        <v>1196</v>
      </c>
      <c r="H748" s="13">
        <v>1</v>
      </c>
      <c r="I748" s="13">
        <v>1</v>
      </c>
      <c r="J748" s="13">
        <v>100</v>
      </c>
      <c r="K748" s="13">
        <v>0</v>
      </c>
      <c r="L748" s="47">
        <v>46208.958333333336</v>
      </c>
      <c r="M748" s="47">
        <v>46208.965277777781</v>
      </c>
    </row>
    <row r="749" spans="1:28" x14ac:dyDescent="0.25">
      <c r="A749" t="s">
        <v>707</v>
      </c>
      <c r="B749">
        <v>42</v>
      </c>
      <c r="C749">
        <v>0.33</v>
      </c>
      <c r="D749" t="s">
        <v>975</v>
      </c>
      <c r="E749" s="6" t="s">
        <v>976</v>
      </c>
      <c r="F749" s="6" t="s">
        <v>977</v>
      </c>
      <c r="G749" s="6" t="s">
        <v>978</v>
      </c>
      <c r="H749" s="6">
        <v>11.9559</v>
      </c>
      <c r="I749" s="6">
        <v>36.229999999999997</v>
      </c>
      <c r="J749" s="6">
        <v>10000</v>
      </c>
      <c r="K749">
        <v>0</v>
      </c>
      <c r="L749" s="3">
        <v>46208.972222222219</v>
      </c>
      <c r="M749" s="3">
        <v>46210.479166666664</v>
      </c>
      <c r="AA749" t="s">
        <v>25</v>
      </c>
      <c r="AB749" t="s">
        <v>26</v>
      </c>
    </row>
    <row r="750" spans="1:28" x14ac:dyDescent="0.25">
      <c r="A750" t="s">
        <v>707</v>
      </c>
      <c r="B750">
        <v>42</v>
      </c>
      <c r="C750">
        <v>1</v>
      </c>
      <c r="D750" t="s">
        <v>979</v>
      </c>
      <c r="E750" t="s">
        <v>980</v>
      </c>
      <c r="F750" t="s">
        <v>981</v>
      </c>
      <c r="G750" t="s">
        <v>982</v>
      </c>
      <c r="H750">
        <v>74.069999999999993</v>
      </c>
      <c r="I750">
        <v>74.069999999999993</v>
      </c>
      <c r="J750">
        <v>20000</v>
      </c>
      <c r="K750">
        <v>0</v>
      </c>
      <c r="L750" s="3">
        <v>46210.486111111109</v>
      </c>
      <c r="M750" s="3">
        <v>46213.569444444445</v>
      </c>
      <c r="AA750" t="s">
        <v>25</v>
      </c>
      <c r="AB750" t="s">
        <v>26</v>
      </c>
    </row>
    <row r="751" spans="1:28" s="33" customFormat="1" ht="15.75" x14ac:dyDescent="0.25">
      <c r="A751" s="33" t="s">
        <v>707</v>
      </c>
      <c r="B751" s="33">
        <v>42</v>
      </c>
      <c r="D751" s="33" t="s">
        <v>971</v>
      </c>
      <c r="E751" s="33" t="s">
        <v>1601</v>
      </c>
      <c r="F751" s="85" t="s">
        <v>973</v>
      </c>
      <c r="G751" s="33" t="s">
        <v>974</v>
      </c>
      <c r="J751" s="33">
        <v>200</v>
      </c>
      <c r="L751" s="34"/>
      <c r="M751" s="34"/>
    </row>
    <row r="752" spans="1:28" s="10" customFormat="1" x14ac:dyDescent="0.25">
      <c r="A752" s="10" t="s">
        <v>707</v>
      </c>
      <c r="B752" s="10">
        <v>43</v>
      </c>
      <c r="C752" s="10">
        <v>0.5</v>
      </c>
      <c r="D752" s="10" t="s">
        <v>983</v>
      </c>
      <c r="E752" s="6" t="s">
        <v>986</v>
      </c>
      <c r="F752" s="6" t="s">
        <v>984</v>
      </c>
      <c r="G752" s="6" t="s">
        <v>985</v>
      </c>
      <c r="H752" s="6">
        <v>47.5</v>
      </c>
      <c r="I752" s="6">
        <v>95</v>
      </c>
      <c r="J752" s="6">
        <v>19000</v>
      </c>
      <c r="K752" s="10">
        <v>0</v>
      </c>
      <c r="L752" s="37">
        <v>46209</v>
      </c>
      <c r="M752" s="37">
        <v>46212.986111111109</v>
      </c>
      <c r="AA752" s="10" t="s">
        <v>25</v>
      </c>
      <c r="AB752" s="10" t="s">
        <v>25</v>
      </c>
    </row>
    <row r="753" spans="1:28" s="33" customFormat="1" x14ac:dyDescent="0.25">
      <c r="A753" s="33" t="s">
        <v>707</v>
      </c>
      <c r="B753" s="33">
        <v>43</v>
      </c>
      <c r="C753" s="33">
        <v>0.5</v>
      </c>
      <c r="D753" s="33" t="s">
        <v>1480</v>
      </c>
      <c r="E753" s="33" t="s">
        <v>1560</v>
      </c>
      <c r="F753" s="33" t="s">
        <v>1481</v>
      </c>
      <c r="G753" s="33" t="s">
        <v>1482</v>
      </c>
      <c r="H753" s="33">
        <v>6.665</v>
      </c>
      <c r="I753" s="33">
        <v>13.33</v>
      </c>
      <c r="J753" s="33">
        <v>100</v>
      </c>
      <c r="K753" s="33">
        <v>0</v>
      </c>
      <c r="L753" s="34">
        <v>46212.993055555555</v>
      </c>
      <c r="M753" s="34">
        <v>46213.576388888891</v>
      </c>
      <c r="AA753" s="33" t="s">
        <v>25</v>
      </c>
      <c r="AB753" s="33" t="s">
        <v>25</v>
      </c>
    </row>
    <row r="754" spans="1:28" x14ac:dyDescent="0.25">
      <c r="A754" t="s">
        <v>707</v>
      </c>
      <c r="B754">
        <v>43</v>
      </c>
      <c r="C754">
        <v>1</v>
      </c>
      <c r="D754" t="s">
        <v>987</v>
      </c>
      <c r="E754" t="s">
        <v>988</v>
      </c>
      <c r="F754" t="s">
        <v>989</v>
      </c>
      <c r="G754" t="s">
        <v>990</v>
      </c>
      <c r="H754">
        <v>125</v>
      </c>
      <c r="I754">
        <v>125</v>
      </c>
      <c r="J754">
        <v>30000</v>
      </c>
      <c r="K754">
        <v>0</v>
      </c>
      <c r="L754" s="3">
        <v>46213.583333333336</v>
      </c>
      <c r="M754" s="3">
        <v>46220.784722222219</v>
      </c>
      <c r="AA754" t="s">
        <v>25</v>
      </c>
      <c r="AB754" t="s">
        <v>26</v>
      </c>
    </row>
    <row r="755" spans="1:28" x14ac:dyDescent="0.25">
      <c r="A755" t="s">
        <v>707</v>
      </c>
      <c r="B755">
        <v>43</v>
      </c>
      <c r="C755">
        <v>0.5</v>
      </c>
      <c r="D755" t="s">
        <v>991</v>
      </c>
      <c r="E755" t="s">
        <v>992</v>
      </c>
      <c r="F755" t="s">
        <v>993</v>
      </c>
      <c r="G755" t="s">
        <v>994</v>
      </c>
      <c r="H755">
        <v>17.285</v>
      </c>
      <c r="I755">
        <v>34.57</v>
      </c>
      <c r="J755">
        <v>13000</v>
      </c>
      <c r="K755">
        <v>0</v>
      </c>
      <c r="L755" s="3">
        <v>46220.791666666664</v>
      </c>
      <c r="M755" s="3">
        <v>46224.263888888891</v>
      </c>
      <c r="AA755" t="s">
        <v>25</v>
      </c>
      <c r="AB755" t="s">
        <v>25</v>
      </c>
    </row>
    <row r="756" spans="1:28" x14ac:dyDescent="0.25">
      <c r="A756" t="s">
        <v>707</v>
      </c>
      <c r="B756">
        <v>43</v>
      </c>
      <c r="C756">
        <v>0.5</v>
      </c>
      <c r="D756" t="s">
        <v>995</v>
      </c>
      <c r="E756" t="s">
        <v>996</v>
      </c>
      <c r="F756" t="s">
        <v>997</v>
      </c>
      <c r="G756" t="s">
        <v>998</v>
      </c>
      <c r="H756">
        <v>44.83</v>
      </c>
      <c r="I756">
        <v>89.66</v>
      </c>
      <c r="J756">
        <v>13000</v>
      </c>
      <c r="K756">
        <v>0</v>
      </c>
      <c r="L756" s="3">
        <v>46224.270833333336</v>
      </c>
      <c r="M756" s="3">
        <v>46230.034722222219</v>
      </c>
      <c r="AA756" t="s">
        <v>25</v>
      </c>
      <c r="AB756" t="s">
        <v>25</v>
      </c>
    </row>
    <row r="757" spans="1:28" x14ac:dyDescent="0.25">
      <c r="A757" t="s">
        <v>707</v>
      </c>
      <c r="B757">
        <v>43</v>
      </c>
      <c r="C757">
        <v>0.5</v>
      </c>
      <c r="D757" t="s">
        <v>983</v>
      </c>
      <c r="E757" t="s">
        <v>999</v>
      </c>
      <c r="F757" t="s">
        <v>984</v>
      </c>
      <c r="G757" t="s">
        <v>985</v>
      </c>
      <c r="H757">
        <v>35.134999999999998</v>
      </c>
      <c r="I757">
        <v>70.27</v>
      </c>
      <c r="J757">
        <v>13000</v>
      </c>
      <c r="K757">
        <v>0</v>
      </c>
      <c r="L757" s="3">
        <v>46230.041666666664</v>
      </c>
      <c r="M757" s="3">
        <v>46233</v>
      </c>
      <c r="AA757" t="s">
        <v>25</v>
      </c>
      <c r="AB757" t="s">
        <v>25</v>
      </c>
    </row>
    <row r="758" spans="1:28" x14ac:dyDescent="0.25">
      <c r="A758" t="s">
        <v>707</v>
      </c>
      <c r="B758">
        <v>43</v>
      </c>
      <c r="C758">
        <v>0.5</v>
      </c>
      <c r="D758" t="s">
        <v>1483</v>
      </c>
      <c r="E758" t="s">
        <v>1484</v>
      </c>
      <c r="F758" t="s">
        <v>1481</v>
      </c>
      <c r="G758" t="s">
        <v>1486</v>
      </c>
      <c r="H758">
        <v>11.285</v>
      </c>
      <c r="I758">
        <v>22.57</v>
      </c>
      <c r="J758">
        <v>13000</v>
      </c>
      <c r="K758">
        <v>0</v>
      </c>
      <c r="L758" s="3">
        <v>46240.729166666664</v>
      </c>
      <c r="M758" s="3">
        <v>46243.993055555555</v>
      </c>
      <c r="AA758" t="s">
        <v>25</v>
      </c>
      <c r="AB758" t="s">
        <v>25</v>
      </c>
    </row>
    <row r="759" spans="1:28" s="12" customFormat="1" x14ac:dyDescent="0.25">
      <c r="A759" s="12" t="s">
        <v>707</v>
      </c>
      <c r="B759" s="12">
        <v>43</v>
      </c>
      <c r="C759" s="12">
        <v>1</v>
      </c>
      <c r="D759" s="12" t="s">
        <v>1487</v>
      </c>
      <c r="E759" s="12" t="s">
        <v>1488</v>
      </c>
      <c r="F759" s="12" t="s">
        <v>1489</v>
      </c>
      <c r="G759" s="12" t="s">
        <v>1490</v>
      </c>
      <c r="H759" s="12">
        <v>120</v>
      </c>
      <c r="I759" s="12">
        <v>120</v>
      </c>
      <c r="J759" s="12">
        <v>27000</v>
      </c>
      <c r="K759" s="12">
        <v>0</v>
      </c>
      <c r="L759" s="32">
        <v>46244</v>
      </c>
      <c r="M759" s="32">
        <v>46250.993055555555</v>
      </c>
      <c r="AA759" s="12" t="s">
        <v>25</v>
      </c>
      <c r="AB759" s="12" t="s">
        <v>26</v>
      </c>
    </row>
    <row r="760" spans="1:28" s="10" customFormat="1" x14ac:dyDescent="0.25">
      <c r="A760" s="10" t="s">
        <v>707</v>
      </c>
      <c r="B760" s="10">
        <v>45</v>
      </c>
      <c r="C760" s="10">
        <v>0.5</v>
      </c>
      <c r="D760" s="10" t="s">
        <v>1000</v>
      </c>
      <c r="E760" s="6" t="s">
        <v>1001</v>
      </c>
      <c r="F760" s="6" t="s">
        <v>984</v>
      </c>
      <c r="G760" s="6" t="s">
        <v>985</v>
      </c>
      <c r="H760" s="6">
        <v>47.5</v>
      </c>
      <c r="I760" s="6">
        <v>95</v>
      </c>
      <c r="J760" s="6">
        <v>19000</v>
      </c>
      <c r="K760" s="10">
        <v>0</v>
      </c>
      <c r="L760" s="37">
        <v>46209.006944444445</v>
      </c>
      <c r="M760" s="37">
        <v>46212.993055555555</v>
      </c>
      <c r="AA760" s="10" t="s">
        <v>25</v>
      </c>
      <c r="AB760" s="10" t="s">
        <v>26</v>
      </c>
    </row>
    <row r="761" spans="1:28" s="33" customFormat="1" x14ac:dyDescent="0.25">
      <c r="A761" s="33" t="s">
        <v>707</v>
      </c>
      <c r="B761" s="33">
        <v>45</v>
      </c>
      <c r="C761" s="33">
        <v>0.5</v>
      </c>
      <c r="D761" s="33" t="s">
        <v>1491</v>
      </c>
      <c r="E761" s="33" t="s">
        <v>1560</v>
      </c>
      <c r="F761" s="33" t="s">
        <v>1481</v>
      </c>
      <c r="G761" s="33" t="s">
        <v>1482</v>
      </c>
      <c r="H761" s="33">
        <v>6.665</v>
      </c>
      <c r="I761" s="33">
        <v>13.33</v>
      </c>
      <c r="J761" s="33">
        <v>100</v>
      </c>
      <c r="K761" s="33">
        <v>0</v>
      </c>
      <c r="L761" s="34">
        <v>46213.006944444445</v>
      </c>
      <c r="M761" s="34">
        <v>46213.590277777781</v>
      </c>
      <c r="AA761" s="33" t="s">
        <v>25</v>
      </c>
      <c r="AB761" s="33" t="s">
        <v>26</v>
      </c>
    </row>
    <row r="762" spans="1:28" x14ac:dyDescent="0.25">
      <c r="A762" t="s">
        <v>707</v>
      </c>
      <c r="B762">
        <v>45</v>
      </c>
      <c r="C762">
        <v>0.5</v>
      </c>
      <c r="D762" t="s">
        <v>1002</v>
      </c>
      <c r="E762" t="s">
        <v>1003</v>
      </c>
      <c r="F762" t="s">
        <v>993</v>
      </c>
      <c r="G762" t="s">
        <v>994</v>
      </c>
      <c r="H762">
        <v>17.285</v>
      </c>
      <c r="I762">
        <v>34.57</v>
      </c>
      <c r="J762">
        <v>13000</v>
      </c>
      <c r="K762">
        <v>0</v>
      </c>
      <c r="L762" s="3">
        <v>46222.965277777781</v>
      </c>
      <c r="M762" s="3">
        <v>46224.4375</v>
      </c>
      <c r="AA762" t="s">
        <v>25</v>
      </c>
      <c r="AB762" t="s">
        <v>26</v>
      </c>
    </row>
    <row r="763" spans="1:28" x14ac:dyDescent="0.25">
      <c r="A763" t="s">
        <v>707</v>
      </c>
      <c r="B763">
        <v>45</v>
      </c>
      <c r="C763">
        <v>0.5</v>
      </c>
      <c r="D763" t="s">
        <v>1004</v>
      </c>
      <c r="E763" t="s">
        <v>1005</v>
      </c>
      <c r="F763" t="s">
        <v>997</v>
      </c>
      <c r="G763" t="s">
        <v>998</v>
      </c>
      <c r="H763">
        <v>44.83</v>
      </c>
      <c r="I763">
        <v>89.66</v>
      </c>
      <c r="J763">
        <v>13000</v>
      </c>
      <c r="K763">
        <v>0</v>
      </c>
      <c r="L763" s="3">
        <v>46224.277777777781</v>
      </c>
      <c r="M763" s="3">
        <v>46230.041666666664</v>
      </c>
      <c r="AA763" t="s">
        <v>25</v>
      </c>
      <c r="AB763" t="s">
        <v>26</v>
      </c>
    </row>
    <row r="764" spans="1:28" x14ac:dyDescent="0.25">
      <c r="A764" t="s">
        <v>707</v>
      </c>
      <c r="B764">
        <v>45</v>
      </c>
      <c r="C764">
        <v>0.5</v>
      </c>
      <c r="D764" t="s">
        <v>1000</v>
      </c>
      <c r="E764" t="s">
        <v>1006</v>
      </c>
      <c r="F764" t="s">
        <v>984</v>
      </c>
      <c r="G764" t="s">
        <v>985</v>
      </c>
      <c r="H764">
        <v>32.5</v>
      </c>
      <c r="I764">
        <v>65</v>
      </c>
      <c r="J764">
        <v>13000</v>
      </c>
      <c r="K764">
        <v>0</v>
      </c>
      <c r="L764" s="3">
        <v>46230.270833333336</v>
      </c>
      <c r="M764" s="3">
        <v>46233.006944444445</v>
      </c>
      <c r="AA764" t="s">
        <v>25</v>
      </c>
      <c r="AB764" t="s">
        <v>26</v>
      </c>
    </row>
    <row r="765" spans="1:28" s="12" customFormat="1" x14ac:dyDescent="0.25">
      <c r="A765" s="12" t="s">
        <v>707</v>
      </c>
      <c r="B765" s="12">
        <v>45</v>
      </c>
      <c r="C765" s="12">
        <v>0.5</v>
      </c>
      <c r="D765" s="12" t="s">
        <v>1492</v>
      </c>
      <c r="E765" s="12" t="s">
        <v>1493</v>
      </c>
      <c r="F765" s="12" t="s">
        <v>1485</v>
      </c>
      <c r="G765" s="12" t="s">
        <v>1486</v>
      </c>
      <c r="H765" s="12">
        <v>11.285</v>
      </c>
      <c r="I765" s="12">
        <v>22.57</v>
      </c>
      <c r="J765" s="12">
        <v>13000</v>
      </c>
      <c r="K765" s="12">
        <v>0</v>
      </c>
      <c r="L765" s="32">
        <v>46240.729166666664</v>
      </c>
      <c r="M765" s="32">
        <v>46243.993055555555</v>
      </c>
      <c r="AA765" s="12" t="s">
        <v>25</v>
      </c>
      <c r="AB765" s="12" t="s">
        <v>26</v>
      </c>
    </row>
    <row r="766" spans="1:28" x14ac:dyDescent="0.25">
      <c r="A766" t="s">
        <v>707</v>
      </c>
      <c r="B766">
        <v>46</v>
      </c>
      <c r="C766">
        <v>0.33</v>
      </c>
      <c r="D766" t="s">
        <v>1021</v>
      </c>
      <c r="E766" t="s">
        <v>1205</v>
      </c>
      <c r="F766" t="s">
        <v>1023</v>
      </c>
      <c r="G766" t="s">
        <v>1024</v>
      </c>
      <c r="H766">
        <v>20.625</v>
      </c>
      <c r="I766">
        <v>62.5</v>
      </c>
      <c r="J766">
        <v>100000</v>
      </c>
      <c r="K766">
        <v>0</v>
      </c>
      <c r="L766" s="3">
        <v>46213.263888888891</v>
      </c>
      <c r="M766" s="3">
        <v>46218.194444444445</v>
      </c>
      <c r="AA766" t="s">
        <v>25</v>
      </c>
      <c r="AB766" t="s">
        <v>26</v>
      </c>
    </row>
    <row r="767" spans="1:28" x14ac:dyDescent="0.25">
      <c r="A767" t="s">
        <v>707</v>
      </c>
      <c r="B767">
        <v>46</v>
      </c>
      <c r="C767">
        <v>0.33</v>
      </c>
      <c r="D767" t="s">
        <v>1021</v>
      </c>
      <c r="E767" t="s">
        <v>1206</v>
      </c>
      <c r="F767" t="s">
        <v>1023</v>
      </c>
      <c r="G767" t="s">
        <v>1024</v>
      </c>
      <c r="H767">
        <v>20.625</v>
      </c>
      <c r="I767">
        <v>62.5</v>
      </c>
      <c r="J767">
        <v>100000</v>
      </c>
      <c r="K767">
        <v>0</v>
      </c>
      <c r="L767" s="3">
        <v>46218.201388888891</v>
      </c>
      <c r="M767" s="3">
        <v>46223.131944444445</v>
      </c>
      <c r="O767" t="s">
        <v>87</v>
      </c>
      <c r="AA767" t="s">
        <v>25</v>
      </c>
      <c r="AB767" t="s">
        <v>26</v>
      </c>
    </row>
    <row r="768" spans="1:28" x14ac:dyDescent="0.25">
      <c r="A768" t="s">
        <v>707</v>
      </c>
      <c r="B768">
        <v>46</v>
      </c>
      <c r="C768">
        <v>0.33</v>
      </c>
      <c r="D768" t="s">
        <v>1021</v>
      </c>
      <c r="E768" t="s">
        <v>1207</v>
      </c>
      <c r="F768" t="s">
        <v>1023</v>
      </c>
      <c r="G768" t="s">
        <v>1024</v>
      </c>
      <c r="H768">
        <v>20.625</v>
      </c>
      <c r="I768">
        <v>62.5</v>
      </c>
      <c r="J768">
        <v>100000</v>
      </c>
      <c r="K768">
        <v>0</v>
      </c>
      <c r="L768" s="3">
        <v>46223.138888888891</v>
      </c>
      <c r="M768" s="3">
        <v>46226.069444444445</v>
      </c>
      <c r="AA768" t="s">
        <v>25</v>
      </c>
      <c r="AB768" t="s">
        <v>26</v>
      </c>
    </row>
    <row r="769" spans="1:28" x14ac:dyDescent="0.25">
      <c r="A769" t="s">
        <v>707</v>
      </c>
      <c r="B769">
        <v>46</v>
      </c>
      <c r="C769">
        <v>0.33</v>
      </c>
      <c r="D769" t="s">
        <v>1007</v>
      </c>
      <c r="E769" t="s">
        <v>1008</v>
      </c>
      <c r="F769" t="s">
        <v>1009</v>
      </c>
      <c r="G769" t="s">
        <v>1010</v>
      </c>
      <c r="H769">
        <v>17.876100000000001</v>
      </c>
      <c r="I769">
        <v>54.17</v>
      </c>
      <c r="J769">
        <v>100000</v>
      </c>
      <c r="K769">
        <v>0</v>
      </c>
      <c r="L769" s="3">
        <v>46208.958333333336</v>
      </c>
      <c r="M769" s="3">
        <v>46211.541666666664</v>
      </c>
      <c r="AA769" t="s">
        <v>25</v>
      </c>
      <c r="AB769" t="s">
        <v>26</v>
      </c>
    </row>
    <row r="770" spans="1:28" x14ac:dyDescent="0.25">
      <c r="A770" t="s">
        <v>707</v>
      </c>
      <c r="B770">
        <v>46</v>
      </c>
      <c r="C770">
        <v>0.33</v>
      </c>
      <c r="D770" t="s">
        <v>1007</v>
      </c>
      <c r="E770" t="s">
        <v>1011</v>
      </c>
      <c r="F770" t="s">
        <v>1009</v>
      </c>
      <c r="G770" t="s">
        <v>1010</v>
      </c>
      <c r="H770">
        <v>17.876100000000001</v>
      </c>
      <c r="I770">
        <v>54.17</v>
      </c>
      <c r="J770">
        <v>100000</v>
      </c>
      <c r="K770">
        <v>0</v>
      </c>
      <c r="L770" s="3">
        <v>46211.548611111109</v>
      </c>
      <c r="M770" s="3">
        <v>46216.131944444445</v>
      </c>
      <c r="AA770" t="s">
        <v>25</v>
      </c>
      <c r="AB770" t="s">
        <v>26</v>
      </c>
    </row>
    <row r="771" spans="1:28" x14ac:dyDescent="0.25">
      <c r="A771" t="s">
        <v>707</v>
      </c>
      <c r="B771">
        <v>46</v>
      </c>
      <c r="C771">
        <v>0.33</v>
      </c>
      <c r="D771" t="s">
        <v>1007</v>
      </c>
      <c r="E771" t="s">
        <v>1012</v>
      </c>
      <c r="F771" t="s">
        <v>1009</v>
      </c>
      <c r="G771" t="s">
        <v>1010</v>
      </c>
      <c r="H771">
        <v>17.876100000000001</v>
      </c>
      <c r="I771">
        <v>54.17</v>
      </c>
      <c r="J771">
        <v>100000</v>
      </c>
      <c r="K771">
        <v>0</v>
      </c>
      <c r="L771" s="3">
        <v>46216.138888888891</v>
      </c>
      <c r="M771" s="3">
        <v>46218.722222222219</v>
      </c>
      <c r="AA771" t="s">
        <v>25</v>
      </c>
      <c r="AB771" t="s">
        <v>26</v>
      </c>
    </row>
    <row r="772" spans="1:28" x14ac:dyDescent="0.25">
      <c r="A772" t="s">
        <v>707</v>
      </c>
      <c r="B772">
        <v>46</v>
      </c>
      <c r="C772">
        <v>0.33</v>
      </c>
      <c r="D772" t="s">
        <v>1007</v>
      </c>
      <c r="E772" t="s">
        <v>1013</v>
      </c>
      <c r="F772" t="s">
        <v>1009</v>
      </c>
      <c r="G772" t="s">
        <v>1010</v>
      </c>
      <c r="H772">
        <v>17.876100000000001</v>
      </c>
      <c r="I772">
        <v>54.17</v>
      </c>
      <c r="J772">
        <v>100000</v>
      </c>
      <c r="K772">
        <v>0</v>
      </c>
      <c r="L772" s="3">
        <v>46218.729166666664</v>
      </c>
      <c r="M772" s="3">
        <v>46223.3125</v>
      </c>
      <c r="AA772" t="s">
        <v>25</v>
      </c>
      <c r="AB772" t="s">
        <v>26</v>
      </c>
    </row>
    <row r="773" spans="1:28" x14ac:dyDescent="0.25">
      <c r="A773" t="s">
        <v>707</v>
      </c>
      <c r="B773">
        <v>46</v>
      </c>
      <c r="C773">
        <v>0.33</v>
      </c>
      <c r="D773" t="s">
        <v>1007</v>
      </c>
      <c r="E773" t="s">
        <v>1014</v>
      </c>
      <c r="F773" t="s">
        <v>1009</v>
      </c>
      <c r="G773" t="s">
        <v>1010</v>
      </c>
      <c r="H773">
        <v>17.876100000000001</v>
      </c>
      <c r="I773">
        <v>54.17</v>
      </c>
      <c r="J773">
        <v>100000</v>
      </c>
      <c r="K773">
        <v>0</v>
      </c>
      <c r="L773" s="3">
        <v>46223.319444444445</v>
      </c>
      <c r="M773" s="3">
        <v>46225.902777777781</v>
      </c>
      <c r="AA773" t="s">
        <v>25</v>
      </c>
      <c r="AB773" t="s">
        <v>26</v>
      </c>
    </row>
    <row r="774" spans="1:28" x14ac:dyDescent="0.25">
      <c r="A774" t="s">
        <v>707</v>
      </c>
      <c r="B774">
        <v>46</v>
      </c>
      <c r="C774">
        <v>0.33</v>
      </c>
      <c r="D774" t="s">
        <v>1007</v>
      </c>
      <c r="E774" t="s">
        <v>1015</v>
      </c>
      <c r="F774" t="s">
        <v>1009</v>
      </c>
      <c r="G774" t="s">
        <v>1010</v>
      </c>
      <c r="H774">
        <v>17.876100000000001</v>
      </c>
      <c r="I774">
        <v>54.17</v>
      </c>
      <c r="J774">
        <v>100000</v>
      </c>
      <c r="K774">
        <v>0</v>
      </c>
      <c r="L774" s="3">
        <v>46225.909722222219</v>
      </c>
      <c r="M774" s="3">
        <v>46230.493055555555</v>
      </c>
      <c r="AA774" t="s">
        <v>25</v>
      </c>
      <c r="AB774" t="s">
        <v>26</v>
      </c>
    </row>
    <row r="775" spans="1:28" s="12" customFormat="1" x14ac:dyDescent="0.25">
      <c r="A775" s="12" t="s">
        <v>707</v>
      </c>
      <c r="B775" s="12">
        <v>46</v>
      </c>
      <c r="C775" s="12">
        <v>0.33</v>
      </c>
      <c r="D775" s="12" t="s">
        <v>1007</v>
      </c>
      <c r="E775" s="12" t="s">
        <v>1016</v>
      </c>
      <c r="F775" s="12" t="s">
        <v>1009</v>
      </c>
      <c r="G775" s="12" t="s">
        <v>1010</v>
      </c>
      <c r="H775" s="12">
        <v>17.876100000000001</v>
      </c>
      <c r="I775" s="12">
        <v>54.17</v>
      </c>
      <c r="J775" s="12">
        <v>100000</v>
      </c>
      <c r="K775" s="12">
        <v>0</v>
      </c>
      <c r="L775" s="32">
        <v>46230.5</v>
      </c>
      <c r="M775" s="32">
        <v>46233.083333333336</v>
      </c>
      <c r="AA775" s="12" t="s">
        <v>25</v>
      </c>
      <c r="AB775" s="12" t="s">
        <v>26</v>
      </c>
    </row>
    <row r="776" spans="1:28" s="10" customFormat="1" x14ac:dyDescent="0.25">
      <c r="A776" s="10" t="s">
        <v>707</v>
      </c>
      <c r="B776" s="10">
        <v>47</v>
      </c>
      <c r="C776" s="10">
        <v>0.33</v>
      </c>
      <c r="D776" s="10" t="s">
        <v>1017</v>
      </c>
      <c r="E776" s="10" t="s">
        <v>1018</v>
      </c>
      <c r="F776" s="10" t="s">
        <v>1019</v>
      </c>
      <c r="G776" s="10" t="s">
        <v>1020</v>
      </c>
      <c r="H776" s="10">
        <v>31.429200000000002</v>
      </c>
      <c r="I776" s="10">
        <v>95.24</v>
      </c>
      <c r="J776" s="10">
        <v>120000</v>
      </c>
      <c r="K776" s="10">
        <v>0</v>
      </c>
      <c r="L776" s="37">
        <v>46208.958333333336</v>
      </c>
      <c r="M776" s="37">
        <v>46213.256944444445</v>
      </c>
      <c r="AA776" s="10" t="s">
        <v>25</v>
      </c>
      <c r="AB776" s="10" t="s">
        <v>26</v>
      </c>
    </row>
    <row r="777" spans="1:28" s="33" customFormat="1" x14ac:dyDescent="0.25">
      <c r="A777" s="33" t="s">
        <v>707</v>
      </c>
      <c r="B777" s="33">
        <v>47</v>
      </c>
      <c r="C777" s="33">
        <v>0.33</v>
      </c>
      <c r="D777" s="33" t="s">
        <v>1017</v>
      </c>
      <c r="E777" s="33" t="s">
        <v>1599</v>
      </c>
      <c r="F777" s="33" t="s">
        <v>1019</v>
      </c>
      <c r="G777" s="33" t="s">
        <v>1600</v>
      </c>
      <c r="J777" s="33">
        <v>100</v>
      </c>
      <c r="L777" s="34"/>
      <c r="M777" s="34"/>
    </row>
    <row r="778" spans="1:28" x14ac:dyDescent="0.25">
      <c r="A778" t="s">
        <v>707</v>
      </c>
      <c r="B778">
        <v>47</v>
      </c>
      <c r="C778">
        <v>0.33</v>
      </c>
      <c r="D778" t="s">
        <v>1021</v>
      </c>
      <c r="E778" t="s">
        <v>1022</v>
      </c>
      <c r="F778" t="s">
        <v>1023</v>
      </c>
      <c r="G778" t="s">
        <v>1024</v>
      </c>
      <c r="H778">
        <v>20.625</v>
      </c>
      <c r="I778">
        <v>62.5</v>
      </c>
      <c r="J778">
        <v>100000</v>
      </c>
      <c r="K778">
        <v>0</v>
      </c>
      <c r="L778" s="3">
        <v>46213.263888888891</v>
      </c>
      <c r="M778" s="3">
        <v>46218.194444444445</v>
      </c>
      <c r="AA778" t="s">
        <v>25</v>
      </c>
      <c r="AB778" t="s">
        <v>26</v>
      </c>
    </row>
    <row r="779" spans="1:28" x14ac:dyDescent="0.25">
      <c r="A779" t="s">
        <v>707</v>
      </c>
      <c r="B779">
        <v>47</v>
      </c>
      <c r="C779">
        <v>0.33</v>
      </c>
      <c r="D779" t="s">
        <v>1021</v>
      </c>
      <c r="E779" t="s">
        <v>1025</v>
      </c>
      <c r="F779" t="s">
        <v>1023</v>
      </c>
      <c r="G779" t="s">
        <v>1024</v>
      </c>
      <c r="H779">
        <v>20.625</v>
      </c>
      <c r="I779">
        <v>62.5</v>
      </c>
      <c r="J779">
        <v>100000</v>
      </c>
      <c r="K779">
        <v>0</v>
      </c>
      <c r="L779" s="3">
        <v>46218.201388888891</v>
      </c>
      <c r="M779" s="3">
        <v>46223.131944444445</v>
      </c>
      <c r="O779" t="s">
        <v>87</v>
      </c>
      <c r="AA779" t="s">
        <v>25</v>
      </c>
      <c r="AB779" t="s">
        <v>26</v>
      </c>
    </row>
    <row r="780" spans="1:28" x14ac:dyDescent="0.25">
      <c r="A780" t="s">
        <v>707</v>
      </c>
      <c r="B780">
        <v>47</v>
      </c>
      <c r="C780">
        <v>0.33</v>
      </c>
      <c r="D780" t="s">
        <v>1021</v>
      </c>
      <c r="E780" t="s">
        <v>1026</v>
      </c>
      <c r="F780" t="s">
        <v>1023</v>
      </c>
      <c r="G780" t="s">
        <v>1024</v>
      </c>
      <c r="H780">
        <v>20.625</v>
      </c>
      <c r="I780">
        <v>62.5</v>
      </c>
      <c r="J780">
        <v>100000</v>
      </c>
      <c r="K780">
        <v>0</v>
      </c>
      <c r="L780" s="3">
        <v>46223.138888888891</v>
      </c>
      <c r="M780" s="3">
        <v>46226.069444444445</v>
      </c>
      <c r="AA780" t="s">
        <v>25</v>
      </c>
      <c r="AB780" t="s">
        <v>26</v>
      </c>
    </row>
    <row r="781" spans="1:28" s="12" customFormat="1" x14ac:dyDescent="0.25">
      <c r="A781" s="12" t="s">
        <v>707</v>
      </c>
      <c r="B781" s="12">
        <v>47</v>
      </c>
      <c r="C781" s="12">
        <v>1</v>
      </c>
      <c r="D781" s="12" t="s">
        <v>1027</v>
      </c>
      <c r="E781" s="12" t="s">
        <v>1028</v>
      </c>
      <c r="F781" s="12" t="s">
        <v>1029</v>
      </c>
      <c r="G781" s="12" t="s">
        <v>1030</v>
      </c>
      <c r="H781" s="12">
        <v>104.17</v>
      </c>
      <c r="I781" s="12">
        <v>104.17</v>
      </c>
      <c r="J781" s="12">
        <v>15000</v>
      </c>
      <c r="K781" s="12">
        <v>0</v>
      </c>
      <c r="L781" s="32">
        <v>46226.076388888891</v>
      </c>
      <c r="M781" s="32">
        <v>46232.743055555555</v>
      </c>
      <c r="AA781" s="12" t="s">
        <v>25</v>
      </c>
      <c r="AB781" s="12" t="s">
        <v>26</v>
      </c>
    </row>
    <row r="782" spans="1:28" x14ac:dyDescent="0.25">
      <c r="A782" t="s">
        <v>707</v>
      </c>
      <c r="B782">
        <v>48</v>
      </c>
      <c r="C782">
        <v>1</v>
      </c>
      <c r="D782" t="s">
        <v>1031</v>
      </c>
      <c r="E782" s="10" t="s">
        <v>1032</v>
      </c>
      <c r="F782" t="s">
        <v>1033</v>
      </c>
      <c r="G782" t="s">
        <v>1034</v>
      </c>
      <c r="H782">
        <v>146.34</v>
      </c>
      <c r="I782">
        <v>146.34</v>
      </c>
      <c r="J782">
        <v>30000</v>
      </c>
      <c r="K782">
        <v>0</v>
      </c>
      <c r="L782" s="3">
        <v>46208.958333333336</v>
      </c>
      <c r="M782" s="3">
        <v>46217.381944444445</v>
      </c>
      <c r="N782" s="10" t="s">
        <v>1035</v>
      </c>
      <c r="O782" s="10"/>
      <c r="P782" s="10"/>
      <c r="Q782" s="10"/>
      <c r="R782" s="10"/>
      <c r="S782" s="10"/>
      <c r="AA782" t="s">
        <v>25</v>
      </c>
      <c r="AB782" t="s">
        <v>26</v>
      </c>
    </row>
    <row r="783" spans="1:28" x14ac:dyDescent="0.25">
      <c r="A783" t="s">
        <v>707</v>
      </c>
      <c r="B783">
        <v>48</v>
      </c>
      <c r="C783">
        <v>0.33</v>
      </c>
      <c r="D783" t="s">
        <v>1036</v>
      </c>
      <c r="E783" t="s">
        <v>1037</v>
      </c>
      <c r="F783" t="s">
        <v>888</v>
      </c>
      <c r="G783" t="s">
        <v>889</v>
      </c>
      <c r="H783">
        <v>6.2700000000000006E-2</v>
      </c>
      <c r="I783">
        <v>0.19</v>
      </c>
      <c r="J783">
        <v>30</v>
      </c>
      <c r="K783">
        <v>0</v>
      </c>
      <c r="L783" s="3">
        <v>46217.388888888891</v>
      </c>
      <c r="M783" s="3">
        <v>46217.729166666664</v>
      </c>
      <c r="AA783" t="s">
        <v>227</v>
      </c>
      <c r="AB783" t="s">
        <v>26</v>
      </c>
    </row>
    <row r="784" spans="1:28" x14ac:dyDescent="0.25">
      <c r="A784" t="s">
        <v>707</v>
      </c>
      <c r="B784">
        <v>48</v>
      </c>
      <c r="C784">
        <v>1</v>
      </c>
      <c r="D784" t="s">
        <v>1031</v>
      </c>
      <c r="E784" t="s">
        <v>1561</v>
      </c>
      <c r="F784" t="s">
        <v>1033</v>
      </c>
      <c r="G784" t="s">
        <v>1034</v>
      </c>
      <c r="H784">
        <v>146.34</v>
      </c>
      <c r="I784">
        <v>146.34</v>
      </c>
      <c r="J784">
        <v>30000</v>
      </c>
      <c r="K784">
        <v>0</v>
      </c>
      <c r="L784" s="3">
        <v>46208.958333333336</v>
      </c>
      <c r="M784" s="3">
        <v>46217.381944444445</v>
      </c>
      <c r="N784" s="10" t="s">
        <v>1035</v>
      </c>
      <c r="O784" s="10"/>
      <c r="P784" s="10"/>
      <c r="Q784" s="10"/>
      <c r="R784" s="10"/>
      <c r="S784" s="10"/>
      <c r="AA784" t="s">
        <v>25</v>
      </c>
      <c r="AB784" t="s">
        <v>26</v>
      </c>
    </row>
    <row r="785" spans="1:28" x14ac:dyDescent="0.25">
      <c r="A785" t="s">
        <v>707</v>
      </c>
      <c r="B785">
        <v>48</v>
      </c>
      <c r="C785">
        <v>1</v>
      </c>
      <c r="D785" t="s">
        <v>1038</v>
      </c>
      <c r="E785" t="s">
        <v>1039</v>
      </c>
      <c r="F785" t="s">
        <v>1040</v>
      </c>
      <c r="G785" t="s">
        <v>1041</v>
      </c>
      <c r="H785">
        <v>60.06</v>
      </c>
      <c r="I785">
        <v>60.06</v>
      </c>
      <c r="J785">
        <v>20000</v>
      </c>
      <c r="K785">
        <v>0</v>
      </c>
      <c r="L785" s="3">
        <v>46217.736111111109</v>
      </c>
      <c r="M785" s="3">
        <v>46220.569444444445</v>
      </c>
      <c r="AA785" t="s">
        <v>25</v>
      </c>
      <c r="AB785" t="s">
        <v>26</v>
      </c>
    </row>
    <row r="786" spans="1:28" s="12" customFormat="1" x14ac:dyDescent="0.25">
      <c r="A786" s="12" t="s">
        <v>707</v>
      </c>
      <c r="B786" s="12">
        <v>48</v>
      </c>
      <c r="C786" s="12">
        <v>1</v>
      </c>
      <c r="D786" s="12" t="s">
        <v>1031</v>
      </c>
      <c r="E786" s="12" t="s">
        <v>1042</v>
      </c>
      <c r="F786" s="12" t="s">
        <v>1033</v>
      </c>
      <c r="G786" s="12" t="s">
        <v>1034</v>
      </c>
      <c r="H786" s="12">
        <v>146.34</v>
      </c>
      <c r="I786" s="12">
        <v>146.34</v>
      </c>
      <c r="J786" s="12">
        <v>30000</v>
      </c>
      <c r="K786" s="12">
        <v>0</v>
      </c>
      <c r="L786" s="32">
        <v>46220.576388888891</v>
      </c>
      <c r="M786" s="32">
        <v>46231</v>
      </c>
      <c r="AA786" s="12" t="s">
        <v>25</v>
      </c>
      <c r="AB786" s="12" t="s">
        <v>26</v>
      </c>
    </row>
    <row r="787" spans="1:28" s="12" customFormat="1" x14ac:dyDescent="0.25">
      <c r="A787" s="12" t="s">
        <v>707</v>
      </c>
      <c r="B787" s="12">
        <v>49</v>
      </c>
      <c r="C787" s="12">
        <v>2</v>
      </c>
      <c r="E787" s="44" t="s">
        <v>1043</v>
      </c>
      <c r="F787" s="12" t="s">
        <v>936</v>
      </c>
      <c r="G787" s="12" t="s">
        <v>937</v>
      </c>
      <c r="H787" s="12">
        <v>7.9</v>
      </c>
      <c r="I787" s="12">
        <v>3.95</v>
      </c>
      <c r="J787" s="12">
        <v>1500</v>
      </c>
      <c r="K787" s="12">
        <v>0</v>
      </c>
      <c r="L787" s="32">
        <v>46209.229166666664</v>
      </c>
      <c r="M787" s="32">
        <v>46209.409722222219</v>
      </c>
      <c r="N787" s="42"/>
      <c r="O787" s="42"/>
      <c r="P787" s="42"/>
      <c r="Q787" s="42"/>
      <c r="R787" s="42"/>
      <c r="S787" s="42"/>
      <c r="AA787" s="12" t="s">
        <v>1044</v>
      </c>
      <c r="AB787" s="12" t="s">
        <v>26</v>
      </c>
    </row>
    <row r="788" spans="1:28" s="5" customFormat="1" x14ac:dyDescent="0.25">
      <c r="A788" s="5" t="s">
        <v>707</v>
      </c>
      <c r="B788" s="5" t="s">
        <v>1086</v>
      </c>
      <c r="C788" s="5">
        <v>1</v>
      </c>
      <c r="E788" s="5" t="s">
        <v>1087</v>
      </c>
      <c r="F788" s="5" t="s">
        <v>1088</v>
      </c>
      <c r="G788" s="5" t="s">
        <v>1089</v>
      </c>
      <c r="H788" s="5">
        <v>84.32</v>
      </c>
      <c r="I788" s="5">
        <v>84.32</v>
      </c>
      <c r="J788" s="5">
        <v>15600</v>
      </c>
      <c r="K788" s="5">
        <v>0</v>
      </c>
      <c r="L788" s="61">
        <v>46208.958333333336</v>
      </c>
      <c r="M788" s="61">
        <v>46212.465277777781</v>
      </c>
      <c r="AA788" s="5" t="s">
        <v>25</v>
      </c>
      <c r="AB788" s="5" t="s">
        <v>26</v>
      </c>
    </row>
    <row r="789" spans="1:28" s="5" customFormat="1" x14ac:dyDescent="0.25">
      <c r="A789" s="5" t="s">
        <v>707</v>
      </c>
      <c r="B789" s="5" t="s">
        <v>1086</v>
      </c>
      <c r="C789" s="5">
        <v>1</v>
      </c>
      <c r="E789" s="62" t="s">
        <v>1090</v>
      </c>
      <c r="F789" s="5" t="s">
        <v>1088</v>
      </c>
      <c r="G789" s="5" t="s">
        <v>1089</v>
      </c>
      <c r="H789" s="5">
        <v>84.32</v>
      </c>
      <c r="I789" s="5">
        <v>51.89</v>
      </c>
      <c r="J789" s="5">
        <v>15600</v>
      </c>
      <c r="K789" s="5">
        <v>6000</v>
      </c>
      <c r="L789" s="61">
        <v>46212.472222222219</v>
      </c>
      <c r="M789" s="61">
        <v>46214.631944444445</v>
      </c>
      <c r="AA789" s="5" t="s">
        <v>25</v>
      </c>
      <c r="AB789" s="5" t="s">
        <v>26</v>
      </c>
    </row>
    <row r="790" spans="1:28" s="59" customFormat="1" x14ac:dyDescent="0.25">
      <c r="A790" s="59" t="s">
        <v>707</v>
      </c>
      <c r="B790" s="59" t="s">
        <v>1086</v>
      </c>
      <c r="C790" s="59">
        <v>1</v>
      </c>
      <c r="E790" s="59" t="s">
        <v>1091</v>
      </c>
      <c r="F790" s="59" t="s">
        <v>1088</v>
      </c>
      <c r="G790" s="59" t="s">
        <v>1089</v>
      </c>
      <c r="H790" s="59">
        <v>84.32</v>
      </c>
      <c r="I790" s="59">
        <v>84.32</v>
      </c>
      <c r="J790" s="59">
        <v>15600</v>
      </c>
      <c r="K790" s="59">
        <v>0</v>
      </c>
      <c r="L790" s="60">
        <v>46214.638888888891</v>
      </c>
      <c r="M790" s="60">
        <v>46218.145833333336</v>
      </c>
      <c r="AA790" s="59" t="s">
        <v>25</v>
      </c>
      <c r="AB790" s="59" t="s">
        <v>26</v>
      </c>
    </row>
    <row r="791" spans="1:28" x14ac:dyDescent="0.25">
      <c r="A791" t="s">
        <v>707</v>
      </c>
      <c r="B791" t="s">
        <v>1086</v>
      </c>
      <c r="C791">
        <v>1</v>
      </c>
      <c r="E791" s="21" t="s">
        <v>1092</v>
      </c>
      <c r="F791" t="s">
        <v>1088</v>
      </c>
      <c r="G791" t="s">
        <v>1089</v>
      </c>
      <c r="H791">
        <v>84.32</v>
      </c>
      <c r="I791">
        <v>84.32</v>
      </c>
      <c r="J791">
        <v>15600</v>
      </c>
      <c r="K791">
        <v>0</v>
      </c>
      <c r="L791" s="3">
        <v>46218.152777777781</v>
      </c>
      <c r="M791" s="3">
        <v>46221.659722222219</v>
      </c>
      <c r="AA791" t="s">
        <v>25</v>
      </c>
      <c r="AB791" t="s">
        <v>26</v>
      </c>
    </row>
    <row r="792" spans="1:28" x14ac:dyDescent="0.25">
      <c r="A792" t="s">
        <v>707</v>
      </c>
      <c r="B792" t="s">
        <v>1086</v>
      </c>
      <c r="C792">
        <v>1</v>
      </c>
      <c r="E792" s="21" t="s">
        <v>1093</v>
      </c>
      <c r="F792" t="s">
        <v>1088</v>
      </c>
      <c r="G792" t="s">
        <v>1089</v>
      </c>
      <c r="H792">
        <v>84.32</v>
      </c>
      <c r="I792">
        <v>84.32</v>
      </c>
      <c r="J792">
        <v>15600</v>
      </c>
      <c r="K792">
        <v>0</v>
      </c>
      <c r="L792" s="3">
        <v>46221.666666666664</v>
      </c>
      <c r="M792" s="3">
        <v>46225.173611111109</v>
      </c>
      <c r="AA792" t="s">
        <v>25</v>
      </c>
      <c r="AB792" t="s">
        <v>26</v>
      </c>
    </row>
    <row r="793" spans="1:28" x14ac:dyDescent="0.25">
      <c r="A793" t="s">
        <v>707</v>
      </c>
      <c r="B793" t="s">
        <v>1086</v>
      </c>
      <c r="C793">
        <v>1</v>
      </c>
      <c r="E793" s="21" t="s">
        <v>1094</v>
      </c>
      <c r="F793" t="s">
        <v>1088</v>
      </c>
      <c r="G793" t="s">
        <v>1089</v>
      </c>
      <c r="H793">
        <v>84.32</v>
      </c>
      <c r="I793">
        <v>84.32</v>
      </c>
      <c r="J793">
        <v>15600</v>
      </c>
      <c r="K793">
        <v>0</v>
      </c>
      <c r="L793" s="3">
        <v>46225.180555555555</v>
      </c>
      <c r="M793" s="3">
        <v>46228.6875</v>
      </c>
      <c r="AA793" t="s">
        <v>25</v>
      </c>
      <c r="AB793" t="s">
        <v>26</v>
      </c>
    </row>
    <row r="794" spans="1:28" s="12" customFormat="1" x14ac:dyDescent="0.25">
      <c r="A794" s="12" t="s">
        <v>707</v>
      </c>
      <c r="B794" s="12" t="s">
        <v>1086</v>
      </c>
      <c r="C794" s="12">
        <v>1</v>
      </c>
      <c r="E794" s="12" t="s">
        <v>1095</v>
      </c>
      <c r="F794" s="12" t="s">
        <v>1088</v>
      </c>
      <c r="G794" s="12" t="s">
        <v>1089</v>
      </c>
      <c r="H794" s="12">
        <v>84.32</v>
      </c>
      <c r="I794" s="12">
        <v>84.32</v>
      </c>
      <c r="J794" s="12">
        <v>15600</v>
      </c>
      <c r="K794" s="12">
        <v>0</v>
      </c>
      <c r="L794" s="32">
        <v>46228.694444444445</v>
      </c>
      <c r="M794" s="32">
        <v>46232.201388888891</v>
      </c>
      <c r="AA794" s="12" t="s">
        <v>25</v>
      </c>
      <c r="AB794" s="12" t="s">
        <v>26</v>
      </c>
    </row>
    <row r="795" spans="1:28" x14ac:dyDescent="0.25">
      <c r="A795" t="s">
        <v>707</v>
      </c>
      <c r="B795" t="s">
        <v>1096</v>
      </c>
      <c r="C795">
        <v>2</v>
      </c>
      <c r="E795" s="15" t="s">
        <v>1097</v>
      </c>
      <c r="F795" t="s">
        <v>1098</v>
      </c>
      <c r="G795" t="s">
        <v>1099</v>
      </c>
      <c r="H795">
        <v>29.14</v>
      </c>
      <c r="I795">
        <v>14.57</v>
      </c>
      <c r="J795">
        <v>5100</v>
      </c>
      <c r="K795">
        <v>0</v>
      </c>
      <c r="L795" s="3">
        <v>46208.958333333336</v>
      </c>
      <c r="M795" s="3">
        <v>46209.5625</v>
      </c>
      <c r="N795" s="16" t="s">
        <v>86</v>
      </c>
      <c r="O795" s="22"/>
      <c r="P795" s="22"/>
      <c r="Q795" s="22"/>
      <c r="R795" s="16"/>
      <c r="S795" s="16"/>
      <c r="AA795" t="s">
        <v>25</v>
      </c>
      <c r="AB795" t="s">
        <v>26</v>
      </c>
    </row>
    <row r="796" spans="1:28" x14ac:dyDescent="0.25">
      <c r="A796" t="s">
        <v>707</v>
      </c>
      <c r="B796" t="s">
        <v>1096</v>
      </c>
      <c r="C796">
        <v>2</v>
      </c>
      <c r="E796" s="15" t="s">
        <v>1100</v>
      </c>
      <c r="F796" t="s">
        <v>1098</v>
      </c>
      <c r="G796" t="s">
        <v>1099</v>
      </c>
      <c r="H796">
        <v>29.14</v>
      </c>
      <c r="I796">
        <v>14.57</v>
      </c>
      <c r="J796">
        <v>5100</v>
      </c>
      <c r="K796">
        <v>0</v>
      </c>
      <c r="L796" s="3">
        <v>46209.569444444445</v>
      </c>
      <c r="M796" s="3">
        <v>46210.173611111109</v>
      </c>
      <c r="N796" s="16" t="s">
        <v>86</v>
      </c>
      <c r="O796" s="22"/>
      <c r="P796" s="22"/>
      <c r="Q796" s="22"/>
      <c r="R796" s="16"/>
      <c r="S796" s="16"/>
      <c r="AA796" t="s">
        <v>25</v>
      </c>
      <c r="AB796" t="s">
        <v>26</v>
      </c>
    </row>
    <row r="797" spans="1:28" x14ac:dyDescent="0.25">
      <c r="A797" t="s">
        <v>707</v>
      </c>
      <c r="B797" t="s">
        <v>1096</v>
      </c>
      <c r="C797">
        <v>2</v>
      </c>
      <c r="E797" s="15" t="s">
        <v>1101</v>
      </c>
      <c r="F797" t="s">
        <v>1098</v>
      </c>
      <c r="G797" t="s">
        <v>1099</v>
      </c>
      <c r="H797">
        <v>29.14</v>
      </c>
      <c r="I797">
        <v>14.57</v>
      </c>
      <c r="J797">
        <v>5100</v>
      </c>
      <c r="K797">
        <v>0</v>
      </c>
      <c r="L797" s="3">
        <v>46210.180555555555</v>
      </c>
      <c r="M797" s="3">
        <v>46210.784722222219</v>
      </c>
      <c r="N797" s="16" t="s">
        <v>86</v>
      </c>
      <c r="O797" s="22"/>
      <c r="P797" s="22"/>
      <c r="Q797" s="22"/>
      <c r="R797" s="16"/>
      <c r="S797" s="16"/>
      <c r="AA797" t="s">
        <v>25</v>
      </c>
      <c r="AB797" t="s">
        <v>26</v>
      </c>
    </row>
    <row r="798" spans="1:28" x14ac:dyDescent="0.25">
      <c r="A798" t="s">
        <v>707</v>
      </c>
      <c r="B798" t="s">
        <v>1096</v>
      </c>
      <c r="C798">
        <v>2</v>
      </c>
      <c r="E798" s="15" t="s">
        <v>1102</v>
      </c>
      <c r="F798" t="s">
        <v>1098</v>
      </c>
      <c r="G798" t="s">
        <v>1099</v>
      </c>
      <c r="H798">
        <v>29.14</v>
      </c>
      <c r="I798">
        <v>14.57</v>
      </c>
      <c r="J798">
        <v>5100</v>
      </c>
      <c r="K798">
        <v>0</v>
      </c>
      <c r="L798" s="3">
        <v>46210.791666666664</v>
      </c>
      <c r="M798" s="3">
        <v>46211.395833333336</v>
      </c>
      <c r="N798" s="16" t="s">
        <v>86</v>
      </c>
      <c r="O798" s="22"/>
      <c r="P798" s="22"/>
      <c r="Q798" s="22"/>
      <c r="R798" s="16"/>
      <c r="S798" s="16"/>
      <c r="AA798" t="s">
        <v>25</v>
      </c>
      <c r="AB798" t="s">
        <v>26</v>
      </c>
    </row>
    <row r="799" spans="1:28" x14ac:dyDescent="0.25">
      <c r="A799" t="s">
        <v>707</v>
      </c>
      <c r="B799" t="s">
        <v>1096</v>
      </c>
      <c r="C799">
        <v>2</v>
      </c>
      <c r="E799" s="15" t="s">
        <v>1103</v>
      </c>
      <c r="F799" t="s">
        <v>1104</v>
      </c>
      <c r="G799" t="s">
        <v>1105</v>
      </c>
      <c r="H799">
        <v>144.82</v>
      </c>
      <c r="I799">
        <v>72.41</v>
      </c>
      <c r="J799">
        <v>10500</v>
      </c>
      <c r="K799">
        <v>0</v>
      </c>
      <c r="L799" s="3">
        <v>46211.402777777781</v>
      </c>
      <c r="M799" s="3">
        <v>46216.416666666664</v>
      </c>
      <c r="N799" s="16" t="s">
        <v>86</v>
      </c>
      <c r="O799" s="23"/>
      <c r="P799" s="23"/>
      <c r="Q799" s="23"/>
      <c r="R799" s="16"/>
      <c r="S799" s="16"/>
      <c r="AA799" t="s">
        <v>25</v>
      </c>
      <c r="AB799" t="s">
        <v>26</v>
      </c>
    </row>
    <row r="800" spans="1:28" x14ac:dyDescent="0.25">
      <c r="A800" t="s">
        <v>707</v>
      </c>
      <c r="B800" t="s">
        <v>1096</v>
      </c>
      <c r="C800">
        <v>2</v>
      </c>
      <c r="E800" s="15" t="s">
        <v>1106</v>
      </c>
      <c r="F800" t="s">
        <v>1104</v>
      </c>
      <c r="G800" t="s">
        <v>1105</v>
      </c>
      <c r="H800">
        <v>144.82</v>
      </c>
      <c r="I800">
        <v>72.41</v>
      </c>
      <c r="J800">
        <v>10500</v>
      </c>
      <c r="K800">
        <v>0</v>
      </c>
      <c r="L800" s="3">
        <v>46216.423611111109</v>
      </c>
      <c r="M800" s="3">
        <v>46219.4375</v>
      </c>
      <c r="N800" s="16" t="s">
        <v>86</v>
      </c>
      <c r="O800" s="23"/>
      <c r="P800" s="23"/>
      <c r="Q800" s="23"/>
      <c r="R800" s="16"/>
      <c r="S800" s="16"/>
      <c r="AA800" t="s">
        <v>25</v>
      </c>
      <c r="AB800" t="s">
        <v>26</v>
      </c>
    </row>
    <row r="801" spans="1:28" x14ac:dyDescent="0.25">
      <c r="A801" t="s">
        <v>707</v>
      </c>
      <c r="B801" t="s">
        <v>1096</v>
      </c>
      <c r="C801">
        <v>2</v>
      </c>
      <c r="E801" s="15" t="s">
        <v>1107</v>
      </c>
      <c r="F801" t="s">
        <v>1104</v>
      </c>
      <c r="G801" t="s">
        <v>1105</v>
      </c>
      <c r="H801">
        <v>144.82</v>
      </c>
      <c r="I801">
        <v>72.41</v>
      </c>
      <c r="J801">
        <v>10500</v>
      </c>
      <c r="K801">
        <v>0</v>
      </c>
      <c r="L801" s="3">
        <v>46219.444444444445</v>
      </c>
      <c r="M801" s="3">
        <v>46224.458333333336</v>
      </c>
      <c r="N801" s="16" t="s">
        <v>86</v>
      </c>
      <c r="O801" s="23"/>
      <c r="P801" s="23"/>
      <c r="Q801" s="23"/>
      <c r="R801" s="16"/>
      <c r="S801" s="16"/>
      <c r="AA801" t="s">
        <v>25</v>
      </c>
      <c r="AB801" t="s">
        <v>26</v>
      </c>
    </row>
    <row r="802" spans="1:28" x14ac:dyDescent="0.25">
      <c r="A802" t="s">
        <v>707</v>
      </c>
      <c r="B802" t="s">
        <v>1096</v>
      </c>
      <c r="C802">
        <v>2</v>
      </c>
      <c r="E802" t="s">
        <v>1108</v>
      </c>
      <c r="F802" t="s">
        <v>1104</v>
      </c>
      <c r="G802" t="s">
        <v>1105</v>
      </c>
      <c r="H802">
        <v>144.82</v>
      </c>
      <c r="I802">
        <v>72.41</v>
      </c>
      <c r="J802">
        <v>10500</v>
      </c>
      <c r="K802">
        <v>0</v>
      </c>
      <c r="L802" s="3">
        <v>46224.465277777781</v>
      </c>
      <c r="M802" s="3">
        <v>46227.479166666664</v>
      </c>
      <c r="AA802" t="s">
        <v>25</v>
      </c>
      <c r="AB802" t="s">
        <v>26</v>
      </c>
    </row>
    <row r="803" spans="1:28" s="12" customFormat="1" x14ac:dyDescent="0.25">
      <c r="A803" s="12" t="s">
        <v>707</v>
      </c>
      <c r="B803" s="12" t="s">
        <v>1096</v>
      </c>
      <c r="C803" s="12">
        <v>2</v>
      </c>
      <c r="E803" s="12" t="s">
        <v>1109</v>
      </c>
      <c r="F803" s="12" t="s">
        <v>1104</v>
      </c>
      <c r="G803" s="12" t="s">
        <v>1105</v>
      </c>
      <c r="H803" s="12">
        <v>144.82</v>
      </c>
      <c r="I803" s="12">
        <v>72.41</v>
      </c>
      <c r="J803" s="12">
        <v>10500</v>
      </c>
      <c r="K803" s="12">
        <v>0</v>
      </c>
      <c r="L803" s="32">
        <v>46227.486111111109</v>
      </c>
      <c r="M803" s="32">
        <v>46232.5</v>
      </c>
      <c r="AA803" s="12" t="s">
        <v>25</v>
      </c>
      <c r="AB803" s="12" t="s">
        <v>26</v>
      </c>
    </row>
    <row r="804" spans="1:28" x14ac:dyDescent="0.25">
      <c r="A804" t="s">
        <v>707</v>
      </c>
      <c r="B804" t="s">
        <v>1110</v>
      </c>
      <c r="C804">
        <v>2</v>
      </c>
      <c r="E804" s="21" t="s">
        <v>1111</v>
      </c>
      <c r="F804" t="s">
        <v>1112</v>
      </c>
      <c r="G804" t="s">
        <v>1113</v>
      </c>
      <c r="H804">
        <v>133.34</v>
      </c>
      <c r="I804">
        <v>15.56</v>
      </c>
      <c r="J804">
        <v>6000</v>
      </c>
      <c r="K804">
        <v>4600</v>
      </c>
      <c r="L804" s="3">
        <v>46208.958333333336</v>
      </c>
      <c r="M804" s="3">
        <v>46209.604166666664</v>
      </c>
      <c r="N804" t="s">
        <v>86</v>
      </c>
      <c r="AA804" t="s">
        <v>25</v>
      </c>
      <c r="AB804" t="s">
        <v>26</v>
      </c>
    </row>
    <row r="805" spans="1:28" x14ac:dyDescent="0.25">
      <c r="A805" t="s">
        <v>707</v>
      </c>
      <c r="B805" t="s">
        <v>1110</v>
      </c>
      <c r="C805">
        <v>2</v>
      </c>
      <c r="E805" t="s">
        <v>1114</v>
      </c>
      <c r="F805" t="s">
        <v>1112</v>
      </c>
      <c r="G805" t="s">
        <v>1113</v>
      </c>
      <c r="H805">
        <v>133.34</v>
      </c>
      <c r="I805">
        <v>66.67</v>
      </c>
      <c r="J805">
        <v>6000</v>
      </c>
      <c r="K805">
        <v>0</v>
      </c>
      <c r="L805" s="3">
        <v>46209.611111111109</v>
      </c>
      <c r="M805" s="3">
        <v>46212.381944444445</v>
      </c>
      <c r="N805" t="s">
        <v>86</v>
      </c>
      <c r="AA805" t="s">
        <v>25</v>
      </c>
      <c r="AB805" t="s">
        <v>26</v>
      </c>
    </row>
    <row r="806" spans="1:28" s="12" customFormat="1" x14ac:dyDescent="0.25">
      <c r="A806" s="12" t="s">
        <v>707</v>
      </c>
      <c r="B806" s="12" t="s">
        <v>1110</v>
      </c>
      <c r="C806" s="12">
        <v>2</v>
      </c>
      <c r="E806" s="12" t="s">
        <v>1115</v>
      </c>
      <c r="F806" s="12" t="s">
        <v>1112</v>
      </c>
      <c r="G806" s="12" t="s">
        <v>1113</v>
      </c>
      <c r="H806" s="12">
        <v>133.34</v>
      </c>
      <c r="I806" s="12">
        <v>66.67</v>
      </c>
      <c r="J806" s="12">
        <v>6000</v>
      </c>
      <c r="K806" s="12">
        <v>0</v>
      </c>
      <c r="L806" s="32">
        <v>46212.388888888891</v>
      </c>
      <c r="M806" s="32">
        <v>46217.159722222219</v>
      </c>
      <c r="AA806" s="12" t="s">
        <v>25</v>
      </c>
      <c r="AB806" s="12" t="s">
        <v>26</v>
      </c>
    </row>
    <row r="807" spans="1:28" x14ac:dyDescent="0.25">
      <c r="A807" t="s">
        <v>707</v>
      </c>
      <c r="B807" t="s">
        <v>1116</v>
      </c>
      <c r="C807">
        <v>1</v>
      </c>
      <c r="E807" s="24" t="s">
        <v>1117</v>
      </c>
      <c r="F807" t="s">
        <v>1118</v>
      </c>
      <c r="G807" t="s">
        <v>1119</v>
      </c>
      <c r="H807">
        <v>0.83</v>
      </c>
      <c r="I807">
        <v>0.83</v>
      </c>
      <c r="J807">
        <v>1000</v>
      </c>
      <c r="K807">
        <v>0</v>
      </c>
      <c r="L807" s="3">
        <v>46208.958333333336</v>
      </c>
      <c r="M807" s="3">
        <v>46208.986111111109</v>
      </c>
      <c r="N807" s="25" t="s">
        <v>86</v>
      </c>
      <c r="O807" s="26"/>
      <c r="P807" s="26" t="s">
        <v>78</v>
      </c>
      <c r="Q807" s="26" t="s">
        <v>1120</v>
      </c>
      <c r="R807" s="27">
        <v>45749</v>
      </c>
      <c r="S807" s="25"/>
      <c r="AA807" t="s">
        <v>712</v>
      </c>
      <c r="AB807" t="s">
        <v>26</v>
      </c>
    </row>
    <row r="808" spans="1:28" x14ac:dyDescent="0.25">
      <c r="A808" t="s">
        <v>707</v>
      </c>
      <c r="B808" t="s">
        <v>1116</v>
      </c>
      <c r="C808">
        <v>1</v>
      </c>
      <c r="E808" s="21" t="s">
        <v>1121</v>
      </c>
      <c r="F808" t="s">
        <v>1122</v>
      </c>
      <c r="G808" t="s">
        <v>1123</v>
      </c>
      <c r="H808">
        <v>25</v>
      </c>
      <c r="I808">
        <v>20</v>
      </c>
      <c r="J808">
        <v>30000</v>
      </c>
      <c r="K808">
        <v>6000</v>
      </c>
      <c r="L808" s="3">
        <v>46208.993055555555</v>
      </c>
      <c r="M808" s="3">
        <v>46209.819444444445</v>
      </c>
      <c r="N808" t="s">
        <v>86</v>
      </c>
      <c r="AA808" t="s">
        <v>25</v>
      </c>
      <c r="AB808" t="s">
        <v>26</v>
      </c>
    </row>
    <row r="809" spans="1:28" x14ac:dyDescent="0.25">
      <c r="A809" t="s">
        <v>707</v>
      </c>
      <c r="B809" t="s">
        <v>1116</v>
      </c>
      <c r="C809">
        <v>1</v>
      </c>
      <c r="E809" t="s">
        <v>1124</v>
      </c>
      <c r="F809" t="s">
        <v>1122</v>
      </c>
      <c r="G809" t="s">
        <v>1123</v>
      </c>
      <c r="H809">
        <v>25</v>
      </c>
      <c r="I809">
        <v>25</v>
      </c>
      <c r="J809">
        <v>30000</v>
      </c>
      <c r="K809">
        <v>0</v>
      </c>
      <c r="L809" s="3">
        <v>46209.826388888891</v>
      </c>
      <c r="M809" s="3">
        <v>46210.861111111109</v>
      </c>
      <c r="N809" t="s">
        <v>86</v>
      </c>
      <c r="AA809" t="s">
        <v>25</v>
      </c>
      <c r="AB809" t="s">
        <v>26</v>
      </c>
    </row>
    <row r="810" spans="1:28" x14ac:dyDescent="0.25">
      <c r="A810" t="s">
        <v>707</v>
      </c>
      <c r="B810" t="s">
        <v>1116</v>
      </c>
      <c r="C810">
        <v>1</v>
      </c>
      <c r="E810" t="s">
        <v>1125</v>
      </c>
      <c r="F810" t="s">
        <v>1122</v>
      </c>
      <c r="G810" t="s">
        <v>1123</v>
      </c>
      <c r="H810">
        <v>25</v>
      </c>
      <c r="I810">
        <v>25</v>
      </c>
      <c r="J810">
        <v>30000</v>
      </c>
      <c r="K810">
        <v>0</v>
      </c>
      <c r="L810" s="3">
        <v>46210.868055555555</v>
      </c>
      <c r="M810" s="3">
        <v>46211.902777777781</v>
      </c>
      <c r="AA810" t="s">
        <v>25</v>
      </c>
      <c r="AB810" t="s">
        <v>26</v>
      </c>
    </row>
    <row r="811" spans="1:28" x14ac:dyDescent="0.25">
      <c r="A811" t="s">
        <v>707</v>
      </c>
      <c r="B811" t="s">
        <v>1116</v>
      </c>
      <c r="C811">
        <v>1</v>
      </c>
      <c r="E811" t="s">
        <v>1126</v>
      </c>
      <c r="F811" t="s">
        <v>1122</v>
      </c>
      <c r="G811" t="s">
        <v>1123</v>
      </c>
      <c r="H811">
        <v>25</v>
      </c>
      <c r="I811">
        <v>25</v>
      </c>
      <c r="J811">
        <v>30000</v>
      </c>
      <c r="K811">
        <v>0</v>
      </c>
      <c r="L811" s="3">
        <v>46211.909722222219</v>
      </c>
      <c r="M811" s="3">
        <v>46212.944444444445</v>
      </c>
      <c r="AA811" t="s">
        <v>25</v>
      </c>
      <c r="AB811" t="s">
        <v>26</v>
      </c>
    </row>
    <row r="812" spans="1:28" x14ac:dyDescent="0.25">
      <c r="A812" t="s">
        <v>707</v>
      </c>
      <c r="B812" t="s">
        <v>1116</v>
      </c>
      <c r="C812">
        <v>1</v>
      </c>
      <c r="E812" t="s">
        <v>1127</v>
      </c>
      <c r="F812" t="s">
        <v>1122</v>
      </c>
      <c r="G812" t="s">
        <v>1123</v>
      </c>
      <c r="H812">
        <v>25</v>
      </c>
      <c r="I812">
        <v>25</v>
      </c>
      <c r="J812">
        <v>30000</v>
      </c>
      <c r="K812">
        <v>0</v>
      </c>
      <c r="L812" s="3">
        <v>46212.951388888891</v>
      </c>
      <c r="M812" s="3">
        <v>46213.986111111109</v>
      </c>
      <c r="AA812" t="s">
        <v>25</v>
      </c>
      <c r="AB812" t="s">
        <v>26</v>
      </c>
    </row>
    <row r="813" spans="1:28" s="12" customFormat="1" x14ac:dyDescent="0.25">
      <c r="A813" s="12" t="s">
        <v>707</v>
      </c>
      <c r="B813" s="12" t="s">
        <v>1116</v>
      </c>
      <c r="C813" s="12">
        <v>1</v>
      </c>
      <c r="E813" s="12" t="s">
        <v>1128</v>
      </c>
      <c r="F813" s="12" t="s">
        <v>1122</v>
      </c>
      <c r="G813" s="12" t="s">
        <v>1123</v>
      </c>
      <c r="H813" s="12">
        <v>25</v>
      </c>
      <c r="I813" s="12">
        <v>25</v>
      </c>
      <c r="J813" s="12">
        <v>30000</v>
      </c>
      <c r="K813" s="12">
        <v>0</v>
      </c>
      <c r="L813" s="32">
        <v>46213.993055555555</v>
      </c>
      <c r="M813" s="32">
        <v>46215.027777777781</v>
      </c>
      <c r="AA813" s="12" t="s">
        <v>25</v>
      </c>
      <c r="AB813" s="12" t="s">
        <v>26</v>
      </c>
    </row>
    <row r="814" spans="1:28" x14ac:dyDescent="0.25">
      <c r="A814" t="s">
        <v>707</v>
      </c>
      <c r="B814" t="s">
        <v>1129</v>
      </c>
      <c r="C814">
        <v>1</v>
      </c>
      <c r="D814" t="s">
        <v>1130</v>
      </c>
      <c r="E814" t="s">
        <v>1131</v>
      </c>
      <c r="F814" t="s">
        <v>732</v>
      </c>
      <c r="G814" t="s">
        <v>733</v>
      </c>
      <c r="H814">
        <v>23.08</v>
      </c>
      <c r="I814">
        <v>23.08</v>
      </c>
      <c r="J814">
        <v>60</v>
      </c>
      <c r="K814">
        <v>0</v>
      </c>
      <c r="L814" s="3">
        <v>46208.958333333336</v>
      </c>
      <c r="M814" s="3">
        <v>46209.916666666664</v>
      </c>
      <c r="AA814" t="s">
        <v>25</v>
      </c>
      <c r="AB814" t="s">
        <v>26</v>
      </c>
    </row>
    <row r="815" spans="1:28" x14ac:dyDescent="0.25">
      <c r="A815" t="s">
        <v>707</v>
      </c>
      <c r="B815" t="s">
        <v>1129</v>
      </c>
      <c r="C815">
        <v>1</v>
      </c>
      <c r="D815" t="s">
        <v>1130</v>
      </c>
      <c r="E815" t="s">
        <v>1132</v>
      </c>
      <c r="F815" t="s">
        <v>732</v>
      </c>
      <c r="G815" t="s">
        <v>733</v>
      </c>
      <c r="H815">
        <v>23.08</v>
      </c>
      <c r="I815">
        <v>23.08</v>
      </c>
      <c r="J815">
        <v>60</v>
      </c>
      <c r="K815">
        <v>0</v>
      </c>
      <c r="L815" s="3">
        <v>46209.923611111109</v>
      </c>
      <c r="M815" s="3">
        <v>46211.215277777781</v>
      </c>
      <c r="AA815" t="s">
        <v>25</v>
      </c>
      <c r="AB815" t="s">
        <v>26</v>
      </c>
    </row>
    <row r="816" spans="1:28" x14ac:dyDescent="0.25">
      <c r="A816" t="s">
        <v>707</v>
      </c>
      <c r="B816" t="s">
        <v>1129</v>
      </c>
      <c r="C816">
        <v>1</v>
      </c>
      <c r="D816" t="s">
        <v>1130</v>
      </c>
      <c r="E816" t="s">
        <v>1133</v>
      </c>
      <c r="F816" t="s">
        <v>732</v>
      </c>
      <c r="G816" t="s">
        <v>733</v>
      </c>
      <c r="H816">
        <v>23.08</v>
      </c>
      <c r="I816">
        <v>23.08</v>
      </c>
      <c r="J816">
        <v>60</v>
      </c>
      <c r="K816">
        <v>0</v>
      </c>
      <c r="L816" s="3">
        <v>46211.222222222219</v>
      </c>
      <c r="M816" s="3">
        <v>46212.513888888891</v>
      </c>
      <c r="AA816" t="s">
        <v>25</v>
      </c>
      <c r="AB816" t="s">
        <v>26</v>
      </c>
    </row>
    <row r="817" spans="1:28" x14ac:dyDescent="0.25">
      <c r="A817" t="s">
        <v>707</v>
      </c>
      <c r="B817" t="s">
        <v>1129</v>
      </c>
      <c r="C817">
        <v>1</v>
      </c>
      <c r="D817" t="s">
        <v>1130</v>
      </c>
      <c r="E817" t="s">
        <v>1134</v>
      </c>
      <c r="F817" t="s">
        <v>732</v>
      </c>
      <c r="G817" t="s">
        <v>733</v>
      </c>
      <c r="H817">
        <v>23.08</v>
      </c>
      <c r="I817">
        <v>23.08</v>
      </c>
      <c r="J817">
        <v>60</v>
      </c>
      <c r="K817">
        <v>0</v>
      </c>
      <c r="L817" s="3">
        <v>46212.520833333336</v>
      </c>
      <c r="M817" s="3">
        <v>46213.8125</v>
      </c>
      <c r="AA817" t="s">
        <v>25</v>
      </c>
      <c r="AB817" t="s">
        <v>26</v>
      </c>
    </row>
    <row r="818" spans="1:28" x14ac:dyDescent="0.25">
      <c r="A818" t="s">
        <v>707</v>
      </c>
      <c r="B818" t="s">
        <v>1129</v>
      </c>
      <c r="C818">
        <v>2</v>
      </c>
      <c r="E818" t="s">
        <v>1135</v>
      </c>
      <c r="F818" t="s">
        <v>1136</v>
      </c>
      <c r="G818" t="s">
        <v>1137</v>
      </c>
      <c r="H818">
        <v>1.26</v>
      </c>
      <c r="I818">
        <v>0.63</v>
      </c>
      <c r="J818">
        <v>2500</v>
      </c>
      <c r="K818">
        <v>0</v>
      </c>
      <c r="L818" s="3">
        <v>46213.819444444445</v>
      </c>
      <c r="M818" s="3">
        <v>46213.944444444445</v>
      </c>
      <c r="AA818" t="s">
        <v>25</v>
      </c>
      <c r="AB818" t="s">
        <v>26</v>
      </c>
    </row>
    <row r="819" spans="1:28" x14ac:dyDescent="0.25">
      <c r="A819" t="s">
        <v>707</v>
      </c>
      <c r="B819" t="s">
        <v>1129</v>
      </c>
      <c r="C819">
        <v>1</v>
      </c>
      <c r="D819" t="s">
        <v>1130</v>
      </c>
      <c r="E819" t="s">
        <v>1138</v>
      </c>
      <c r="F819" t="s">
        <v>732</v>
      </c>
      <c r="G819" t="s">
        <v>733</v>
      </c>
      <c r="H819">
        <v>23.08</v>
      </c>
      <c r="I819">
        <v>23.08</v>
      </c>
      <c r="J819">
        <v>60</v>
      </c>
      <c r="K819">
        <v>0</v>
      </c>
      <c r="L819" s="3">
        <v>46213.951388888891</v>
      </c>
      <c r="M819" s="3">
        <v>46217.243055555555</v>
      </c>
      <c r="AA819" t="s">
        <v>25</v>
      </c>
      <c r="AB819" t="s">
        <v>26</v>
      </c>
    </row>
    <row r="820" spans="1:28" x14ac:dyDescent="0.25">
      <c r="A820" t="s">
        <v>707</v>
      </c>
      <c r="B820" t="s">
        <v>1129</v>
      </c>
      <c r="C820">
        <v>1</v>
      </c>
      <c r="D820" t="s">
        <v>1130</v>
      </c>
      <c r="E820" t="s">
        <v>1139</v>
      </c>
      <c r="F820" t="s">
        <v>732</v>
      </c>
      <c r="G820" t="s">
        <v>733</v>
      </c>
      <c r="H820">
        <v>23.08</v>
      </c>
      <c r="I820">
        <v>23.08</v>
      </c>
      <c r="J820">
        <v>60</v>
      </c>
      <c r="K820">
        <v>0</v>
      </c>
      <c r="L820" s="3">
        <v>46217.25</v>
      </c>
      <c r="M820" s="3">
        <v>46218.541666666664</v>
      </c>
      <c r="AA820" t="s">
        <v>25</v>
      </c>
      <c r="AB820" t="s">
        <v>26</v>
      </c>
    </row>
    <row r="821" spans="1:28" x14ac:dyDescent="0.25">
      <c r="A821" t="s">
        <v>707</v>
      </c>
      <c r="B821" t="s">
        <v>1129</v>
      </c>
      <c r="C821">
        <v>1</v>
      </c>
      <c r="D821" t="s">
        <v>1130</v>
      </c>
      <c r="E821" t="s">
        <v>1140</v>
      </c>
      <c r="F821" t="s">
        <v>732</v>
      </c>
      <c r="G821" t="s">
        <v>733</v>
      </c>
      <c r="H821">
        <v>23.08</v>
      </c>
      <c r="I821">
        <v>23.08</v>
      </c>
      <c r="J821">
        <v>60</v>
      </c>
      <c r="K821">
        <v>0</v>
      </c>
      <c r="L821" s="3">
        <v>46218.548611111109</v>
      </c>
      <c r="M821" s="3">
        <v>46219.840277777781</v>
      </c>
      <c r="AA821" t="s">
        <v>25</v>
      </c>
      <c r="AB821" t="s">
        <v>26</v>
      </c>
    </row>
    <row r="822" spans="1:28" s="12" customFormat="1" x14ac:dyDescent="0.25">
      <c r="A822" s="12" t="s">
        <v>707</v>
      </c>
      <c r="B822" s="12" t="s">
        <v>1129</v>
      </c>
      <c r="C822" s="12">
        <v>2</v>
      </c>
      <c r="E822" s="12" t="s">
        <v>1141</v>
      </c>
      <c r="F822" s="12" t="s">
        <v>1142</v>
      </c>
      <c r="G822" s="12" t="s">
        <v>1143</v>
      </c>
      <c r="H822" s="12">
        <v>80.86</v>
      </c>
      <c r="I822" s="12">
        <v>40.43</v>
      </c>
      <c r="J822" s="12">
        <v>11765</v>
      </c>
      <c r="K822" s="12">
        <v>0</v>
      </c>
      <c r="L822" s="32">
        <v>46219.847222222219</v>
      </c>
      <c r="M822" s="32">
        <v>46223.631944444445</v>
      </c>
      <c r="AA822" s="12" t="s">
        <v>25</v>
      </c>
      <c r="AB822" s="12" t="s">
        <v>26</v>
      </c>
    </row>
    <row r="823" spans="1:28" s="12" customFormat="1" x14ac:dyDescent="0.25">
      <c r="A823" s="12" t="s">
        <v>707</v>
      </c>
      <c r="B823" s="12" t="s">
        <v>1144</v>
      </c>
      <c r="C823" s="12">
        <v>0</v>
      </c>
      <c r="E823" s="12" t="s">
        <v>1145</v>
      </c>
      <c r="F823" s="12" t="s">
        <v>902</v>
      </c>
      <c r="G823" s="12" t="s">
        <v>903</v>
      </c>
      <c r="H823" s="12">
        <v>0</v>
      </c>
      <c r="I823" s="12">
        <v>21.74</v>
      </c>
      <c r="J823" s="12">
        <v>1000</v>
      </c>
      <c r="K823" s="12">
        <v>0</v>
      </c>
      <c r="L823" s="32">
        <v>46211.520833333336</v>
      </c>
      <c r="M823" s="32">
        <v>46213.423611111109</v>
      </c>
      <c r="AA823" s="12" t="s">
        <v>25</v>
      </c>
      <c r="AB823" s="12" t="s">
        <v>26</v>
      </c>
    </row>
    <row r="824" spans="1:28" s="10" customFormat="1" x14ac:dyDescent="0.25">
      <c r="A824" s="10" t="s">
        <v>707</v>
      </c>
      <c r="B824" s="10" t="s">
        <v>1146</v>
      </c>
      <c r="C824" s="10">
        <v>3.5</v>
      </c>
      <c r="E824" s="10" t="s">
        <v>1155</v>
      </c>
      <c r="F824" s="10" t="s">
        <v>1147</v>
      </c>
      <c r="G824" s="10" t="s">
        <v>1494</v>
      </c>
      <c r="H824" s="10">
        <v>304.36</v>
      </c>
      <c r="I824" s="10">
        <v>86.96</v>
      </c>
      <c r="J824" s="10">
        <v>60000</v>
      </c>
      <c r="K824" s="10">
        <v>0</v>
      </c>
      <c r="L824" s="37">
        <v>46208.958333333336</v>
      </c>
      <c r="M824" s="37">
        <v>46212.597222222219</v>
      </c>
      <c r="AA824" s="10" t="s">
        <v>25</v>
      </c>
      <c r="AB824" s="10" t="s">
        <v>26</v>
      </c>
    </row>
    <row r="825" spans="1:28" x14ac:dyDescent="0.25">
      <c r="A825" t="s">
        <v>707</v>
      </c>
      <c r="B825" t="s">
        <v>1146</v>
      </c>
      <c r="C825">
        <v>3.5</v>
      </c>
      <c r="E825" t="s">
        <v>1497</v>
      </c>
      <c r="F825" t="s">
        <v>1495</v>
      </c>
      <c r="G825" t="s">
        <v>1496</v>
      </c>
      <c r="H825">
        <f>I825*3.5</f>
        <v>74.62</v>
      </c>
      <c r="I825">
        <v>21.32</v>
      </c>
      <c r="J825">
        <v>4700</v>
      </c>
      <c r="K825">
        <v>0</v>
      </c>
      <c r="L825" s="3">
        <v>46212</v>
      </c>
      <c r="M825" s="3">
        <v>46212</v>
      </c>
    </row>
    <row r="826" spans="1:28" x14ac:dyDescent="0.25">
      <c r="A826" t="s">
        <v>707</v>
      </c>
      <c r="B826" t="s">
        <v>1146</v>
      </c>
      <c r="C826">
        <v>3.5</v>
      </c>
      <c r="E826" t="s">
        <v>1149</v>
      </c>
      <c r="F826" t="s">
        <v>1147</v>
      </c>
      <c r="G826" t="s">
        <v>1148</v>
      </c>
      <c r="H826">
        <v>253.61</v>
      </c>
      <c r="I826">
        <v>72.459999999999994</v>
      </c>
      <c r="J826">
        <v>50000</v>
      </c>
      <c r="K826">
        <v>0</v>
      </c>
      <c r="L826" s="3">
        <v>46212.604166666664</v>
      </c>
      <c r="M826" s="3">
        <v>46215.638888888891</v>
      </c>
      <c r="AA826" t="s">
        <v>496</v>
      </c>
      <c r="AB826" t="s">
        <v>26</v>
      </c>
    </row>
    <row r="827" spans="1:28" x14ac:dyDescent="0.25">
      <c r="A827" t="s">
        <v>707</v>
      </c>
      <c r="B827" t="s">
        <v>1146</v>
      </c>
      <c r="C827">
        <v>3.5</v>
      </c>
      <c r="E827" t="s">
        <v>1150</v>
      </c>
      <c r="F827" t="s">
        <v>1147</v>
      </c>
      <c r="G827" t="s">
        <v>1148</v>
      </c>
      <c r="H827">
        <v>253.61</v>
      </c>
      <c r="I827">
        <v>72.459999999999994</v>
      </c>
      <c r="J827">
        <v>50000</v>
      </c>
      <c r="K827">
        <v>0</v>
      </c>
      <c r="L827" s="3">
        <v>46215.645833333336</v>
      </c>
      <c r="M827" s="3">
        <v>46218.680555555555</v>
      </c>
      <c r="AA827" t="s">
        <v>496</v>
      </c>
      <c r="AB827" t="s">
        <v>26</v>
      </c>
    </row>
    <row r="828" spans="1:28" x14ac:dyDescent="0.25">
      <c r="A828" t="s">
        <v>707</v>
      </c>
      <c r="B828" t="s">
        <v>1146</v>
      </c>
      <c r="C828">
        <v>3.5</v>
      </c>
      <c r="E828" t="s">
        <v>1151</v>
      </c>
      <c r="F828" t="s">
        <v>1147</v>
      </c>
      <c r="G828" t="s">
        <v>1148</v>
      </c>
      <c r="H828">
        <v>253.61</v>
      </c>
      <c r="I828">
        <v>72.459999999999994</v>
      </c>
      <c r="J828">
        <v>50000</v>
      </c>
      <c r="K828">
        <v>0</v>
      </c>
      <c r="L828" s="3">
        <v>46218.6875</v>
      </c>
      <c r="M828" s="3">
        <v>46221.722222222219</v>
      </c>
      <c r="AA828" t="s">
        <v>496</v>
      </c>
      <c r="AB828" t="s">
        <v>26</v>
      </c>
    </row>
    <row r="829" spans="1:28" x14ac:dyDescent="0.25">
      <c r="A829" t="s">
        <v>707</v>
      </c>
      <c r="B829" t="s">
        <v>1146</v>
      </c>
      <c r="C829">
        <v>3.5</v>
      </c>
      <c r="E829" t="s">
        <v>1152</v>
      </c>
      <c r="F829" t="s">
        <v>1147</v>
      </c>
      <c r="G829" t="s">
        <v>1148</v>
      </c>
      <c r="H829">
        <v>253.61</v>
      </c>
      <c r="I829">
        <v>72.459999999999994</v>
      </c>
      <c r="J829">
        <v>50000</v>
      </c>
      <c r="K829">
        <v>0</v>
      </c>
      <c r="L829" s="3">
        <v>46221.729166666664</v>
      </c>
      <c r="M829" s="3">
        <v>46224.763888888891</v>
      </c>
      <c r="AA829" t="s">
        <v>496</v>
      </c>
      <c r="AB829" t="s">
        <v>26</v>
      </c>
    </row>
    <row r="830" spans="1:28" x14ac:dyDescent="0.25">
      <c r="A830" t="s">
        <v>707</v>
      </c>
      <c r="B830" t="s">
        <v>1146</v>
      </c>
      <c r="C830">
        <v>3.5</v>
      </c>
      <c r="E830" t="s">
        <v>1153</v>
      </c>
      <c r="F830" t="s">
        <v>1147</v>
      </c>
      <c r="G830" t="s">
        <v>1148</v>
      </c>
      <c r="H830">
        <v>253.61</v>
      </c>
      <c r="I830">
        <v>72.459999999999994</v>
      </c>
      <c r="J830">
        <v>50000</v>
      </c>
      <c r="K830">
        <v>0</v>
      </c>
      <c r="L830" s="3">
        <v>46224.770833333336</v>
      </c>
      <c r="M830" s="3">
        <v>46227.805555555555</v>
      </c>
      <c r="AA830" t="s">
        <v>496</v>
      </c>
      <c r="AB830" t="s">
        <v>26</v>
      </c>
    </row>
    <row r="831" spans="1:28" x14ac:dyDescent="0.25">
      <c r="A831" t="s">
        <v>707</v>
      </c>
      <c r="B831" t="s">
        <v>1146</v>
      </c>
      <c r="C831">
        <v>3.5</v>
      </c>
      <c r="E831" s="12" t="s">
        <v>1154</v>
      </c>
      <c r="F831" t="s">
        <v>1147</v>
      </c>
      <c r="G831" t="s">
        <v>1148</v>
      </c>
      <c r="H831">
        <v>253.61</v>
      </c>
      <c r="I831">
        <v>72.459999999999994</v>
      </c>
      <c r="J831">
        <v>50000</v>
      </c>
      <c r="K831">
        <v>0</v>
      </c>
      <c r="L831" s="3">
        <v>46227.8125</v>
      </c>
      <c r="M831" s="3">
        <v>46230.847222222219</v>
      </c>
      <c r="N831" s="12"/>
      <c r="O831" s="12"/>
      <c r="P831" s="12"/>
      <c r="Q831" s="12"/>
      <c r="R831" s="12"/>
      <c r="S831" s="12"/>
      <c r="AA831" t="s">
        <v>496</v>
      </c>
      <c r="AB831" t="s">
        <v>26</v>
      </c>
    </row>
    <row r="832" spans="1:28" s="13" customFormat="1" x14ac:dyDescent="0.25">
      <c r="A832" s="13" t="s">
        <v>244</v>
      </c>
      <c r="B832" s="13" t="s">
        <v>552</v>
      </c>
      <c r="C832" s="13">
        <v>2</v>
      </c>
      <c r="D832" s="13" t="s">
        <v>555</v>
      </c>
      <c r="E832" s="13" t="s">
        <v>556</v>
      </c>
      <c r="F832" s="13" t="s">
        <v>557</v>
      </c>
      <c r="G832" s="13" t="s">
        <v>558</v>
      </c>
      <c r="H832" s="13">
        <v>58.34</v>
      </c>
      <c r="I832" s="13">
        <v>29.17</v>
      </c>
      <c r="J832" s="13">
        <v>14000</v>
      </c>
      <c r="K832" s="13">
        <v>3094</v>
      </c>
      <c r="L832" s="47">
        <v>46209.041666666664</v>
      </c>
      <c r="M832" s="47">
        <v>46210.270833333336</v>
      </c>
      <c r="AA832" s="13" t="s">
        <v>25</v>
      </c>
      <c r="AB832" s="13" t="s">
        <v>26</v>
      </c>
    </row>
    <row r="833" spans="1:28" s="13" customFormat="1" x14ac:dyDescent="0.25">
      <c r="A833" s="13" t="s">
        <v>244</v>
      </c>
      <c r="B833" s="13" t="s">
        <v>552</v>
      </c>
      <c r="C833" s="13">
        <v>3.5</v>
      </c>
      <c r="D833" s="13" t="s">
        <v>553</v>
      </c>
      <c r="E833" s="13" t="s">
        <v>561</v>
      </c>
      <c r="F833" s="13" t="s">
        <v>554</v>
      </c>
      <c r="G833" s="13" t="s">
        <v>1427</v>
      </c>
      <c r="H833" s="13">
        <v>253.61</v>
      </c>
      <c r="I833" s="13">
        <v>72.459999999999994</v>
      </c>
      <c r="J833" s="13">
        <v>50000</v>
      </c>
      <c r="K833" s="13">
        <v>4256</v>
      </c>
      <c r="L833" s="47">
        <v>46211.430555555555</v>
      </c>
      <c r="M833" s="47">
        <v>46216.465277777781</v>
      </c>
      <c r="AA833" s="13" t="s">
        <v>25</v>
      </c>
      <c r="AB833" s="13" t="s">
        <v>26</v>
      </c>
    </row>
    <row r="834" spans="1:28" s="13" customFormat="1" x14ac:dyDescent="0.25">
      <c r="A834" s="13" t="s">
        <v>244</v>
      </c>
      <c r="B834" s="13" t="s">
        <v>552</v>
      </c>
      <c r="C834" s="13">
        <v>2</v>
      </c>
      <c r="D834" s="13" t="s">
        <v>555</v>
      </c>
      <c r="E834" s="13" t="s">
        <v>559</v>
      </c>
      <c r="F834" s="13" t="s">
        <v>557</v>
      </c>
      <c r="G834" s="13" t="s">
        <v>558</v>
      </c>
      <c r="H834" s="13">
        <v>25</v>
      </c>
      <c r="I834" s="13">
        <v>12.5</v>
      </c>
      <c r="J834" s="13">
        <v>6000</v>
      </c>
      <c r="K834" s="13">
        <v>152</v>
      </c>
      <c r="L834" s="47">
        <v>46210.277777777781</v>
      </c>
      <c r="M834" s="47">
        <v>46210.8125</v>
      </c>
      <c r="AA834" s="13" t="s">
        <v>25</v>
      </c>
      <c r="AB834" s="13" t="s">
        <v>26</v>
      </c>
    </row>
    <row r="835" spans="1:28" x14ac:dyDescent="0.25">
      <c r="A835" t="s">
        <v>244</v>
      </c>
      <c r="B835" t="s">
        <v>552</v>
      </c>
      <c r="C835">
        <v>3.5</v>
      </c>
      <c r="D835" t="s">
        <v>553</v>
      </c>
      <c r="E835" t="s">
        <v>562</v>
      </c>
      <c r="F835" t="s">
        <v>554</v>
      </c>
      <c r="G835" t="s">
        <v>1428</v>
      </c>
      <c r="H835">
        <v>253.61</v>
      </c>
      <c r="I835">
        <v>72.459999999999994</v>
      </c>
      <c r="J835">
        <v>50000</v>
      </c>
      <c r="K835">
        <v>0</v>
      </c>
      <c r="L835" s="3">
        <v>46216.472222222219</v>
      </c>
      <c r="M835" s="3">
        <v>46219.506944444445</v>
      </c>
      <c r="AA835" t="s">
        <v>25</v>
      </c>
      <c r="AB835" t="s">
        <v>26</v>
      </c>
    </row>
    <row r="836" spans="1:28" x14ac:dyDescent="0.25">
      <c r="A836" t="s">
        <v>244</v>
      </c>
      <c r="B836" t="s">
        <v>552</v>
      </c>
      <c r="C836">
        <v>3.5</v>
      </c>
      <c r="D836" t="s">
        <v>553</v>
      </c>
      <c r="E836" t="s">
        <v>1556</v>
      </c>
      <c r="F836" t="s">
        <v>554</v>
      </c>
      <c r="G836" t="s">
        <v>1555</v>
      </c>
      <c r="H836">
        <v>253.61</v>
      </c>
      <c r="I836">
        <v>72.459999999999994</v>
      </c>
      <c r="J836">
        <v>50000</v>
      </c>
      <c r="K836">
        <v>0</v>
      </c>
      <c r="L836" s="3">
        <v>46216.472222222219</v>
      </c>
      <c r="M836" s="3">
        <v>46219.506944444445</v>
      </c>
      <c r="AA836" t="s">
        <v>25</v>
      </c>
      <c r="AB836" t="s">
        <v>26</v>
      </c>
    </row>
    <row r="837" spans="1:28" x14ac:dyDescent="0.25">
      <c r="A837" t="s">
        <v>244</v>
      </c>
      <c r="B837" t="s">
        <v>552</v>
      </c>
      <c r="C837">
        <v>3.5</v>
      </c>
      <c r="D837" t="s">
        <v>553</v>
      </c>
      <c r="E837" t="s">
        <v>563</v>
      </c>
      <c r="F837" t="s">
        <v>554</v>
      </c>
      <c r="G837" t="s">
        <v>1429</v>
      </c>
      <c r="H837">
        <v>253.61</v>
      </c>
      <c r="I837">
        <v>72.459999999999994</v>
      </c>
      <c r="J837">
        <v>50000</v>
      </c>
      <c r="K837">
        <v>0</v>
      </c>
      <c r="L837" s="3">
        <v>46219.513888888891</v>
      </c>
      <c r="M837" s="3">
        <v>46224.548611111109</v>
      </c>
      <c r="AA837" t="s">
        <v>25</v>
      </c>
      <c r="AB837" t="s">
        <v>26</v>
      </c>
    </row>
    <row r="838" spans="1:28" x14ac:dyDescent="0.25">
      <c r="A838" t="s">
        <v>244</v>
      </c>
      <c r="B838" t="s">
        <v>552</v>
      </c>
      <c r="C838">
        <v>3.5</v>
      </c>
      <c r="D838" t="s">
        <v>553</v>
      </c>
      <c r="E838" t="s">
        <v>564</v>
      </c>
      <c r="F838" t="s">
        <v>554</v>
      </c>
      <c r="G838" t="s">
        <v>1429</v>
      </c>
      <c r="H838">
        <v>253.61</v>
      </c>
      <c r="I838">
        <v>72.459999999999994</v>
      </c>
      <c r="J838">
        <v>50000</v>
      </c>
      <c r="K838">
        <v>0</v>
      </c>
      <c r="L838" s="3">
        <v>46224.555555555555</v>
      </c>
      <c r="M838" s="3">
        <v>46227.590277777781</v>
      </c>
      <c r="AA838" t="s">
        <v>25</v>
      </c>
      <c r="AB838" t="s">
        <v>26</v>
      </c>
    </row>
    <row r="839" spans="1:28" s="4" customFormat="1" ht="15.75" thickBot="1" x14ac:dyDescent="0.3">
      <c r="A839" s="4" t="s">
        <v>244</v>
      </c>
      <c r="B839" s="4" t="s">
        <v>552</v>
      </c>
      <c r="C839" s="4">
        <v>2</v>
      </c>
      <c r="D839" s="4" t="s">
        <v>555</v>
      </c>
      <c r="E839" s="4" t="s">
        <v>560</v>
      </c>
      <c r="F839" s="4" t="s">
        <v>557</v>
      </c>
      <c r="G839" s="4" t="s">
        <v>558</v>
      </c>
      <c r="H839" s="4">
        <v>25</v>
      </c>
      <c r="I839" s="4">
        <v>12.5</v>
      </c>
      <c r="J839" s="4">
        <v>8000</v>
      </c>
      <c r="K839" s="4">
        <v>0</v>
      </c>
      <c r="L839" s="40">
        <v>46210.819444444445</v>
      </c>
      <c r="M839" s="40">
        <v>46211.354166666664</v>
      </c>
      <c r="AA839" s="4" t="s">
        <v>25</v>
      </c>
      <c r="AB839" s="4" t="s">
        <v>26</v>
      </c>
    </row>
    <row r="840" spans="1:28" s="55" customFormat="1" x14ac:dyDescent="0.25">
      <c r="A840" s="55" t="s">
        <v>707</v>
      </c>
      <c r="B840" s="55" t="s">
        <v>1156</v>
      </c>
      <c r="C840" s="55">
        <v>1</v>
      </c>
      <c r="D840" s="55" t="s">
        <v>1157</v>
      </c>
      <c r="E840" s="55" t="s">
        <v>1158</v>
      </c>
      <c r="F840" s="55" t="s">
        <v>728</v>
      </c>
      <c r="G840" s="55" t="s">
        <v>729</v>
      </c>
      <c r="H840" s="55">
        <v>160</v>
      </c>
      <c r="I840" s="55">
        <v>160</v>
      </c>
      <c r="J840" s="55">
        <v>100000</v>
      </c>
      <c r="K840" s="55">
        <v>0</v>
      </c>
      <c r="L840" s="56">
        <v>46209.944444444445</v>
      </c>
      <c r="M840" s="56">
        <v>46218.9375</v>
      </c>
      <c r="AA840" s="55" t="s">
        <v>25</v>
      </c>
      <c r="AB840" s="55" t="s">
        <v>26</v>
      </c>
    </row>
    <row r="841" spans="1:28" x14ac:dyDescent="0.25">
      <c r="A841" t="s">
        <v>707</v>
      </c>
      <c r="B841" t="s">
        <v>1159</v>
      </c>
      <c r="C841">
        <v>9</v>
      </c>
      <c r="E841" s="12" t="s">
        <v>1160</v>
      </c>
      <c r="F841" t="s">
        <v>1161</v>
      </c>
      <c r="G841" t="s">
        <v>1162</v>
      </c>
      <c r="H841">
        <v>13.14</v>
      </c>
      <c r="I841">
        <v>1.46</v>
      </c>
      <c r="J841">
        <v>1536</v>
      </c>
      <c r="K841">
        <v>0</v>
      </c>
      <c r="L841" s="3">
        <v>46208.958333333336</v>
      </c>
      <c r="M841" s="3">
        <v>46209.034722222219</v>
      </c>
      <c r="N841" s="12"/>
      <c r="O841" s="12"/>
      <c r="P841" s="12"/>
      <c r="Q841" s="12"/>
      <c r="R841" s="12"/>
      <c r="S841" s="12"/>
      <c r="AA841" t="s">
        <v>712</v>
      </c>
      <c r="AB841" t="s">
        <v>26</v>
      </c>
    </row>
    <row r="842" spans="1:28" x14ac:dyDescent="0.25">
      <c r="A842" t="s">
        <v>707</v>
      </c>
      <c r="B842" t="s">
        <v>1159</v>
      </c>
      <c r="C842">
        <v>9</v>
      </c>
      <c r="E842" t="s">
        <v>1163</v>
      </c>
      <c r="F842" t="s">
        <v>1161</v>
      </c>
      <c r="G842" t="s">
        <v>1162</v>
      </c>
      <c r="H842">
        <v>257.13</v>
      </c>
      <c r="I842">
        <v>4.8600000000000003</v>
      </c>
      <c r="J842">
        <v>30000</v>
      </c>
      <c r="K842">
        <v>24900</v>
      </c>
      <c r="L842" s="3">
        <v>46209.041666666664</v>
      </c>
      <c r="M842" s="3">
        <v>46209.243055555555</v>
      </c>
      <c r="AA842" t="s">
        <v>25</v>
      </c>
      <c r="AB842" t="s">
        <v>26</v>
      </c>
    </row>
    <row r="843" spans="1:28" x14ac:dyDescent="0.25">
      <c r="A843" t="s">
        <v>707</v>
      </c>
      <c r="B843" t="s">
        <v>1159</v>
      </c>
      <c r="C843">
        <v>9</v>
      </c>
      <c r="E843" t="s">
        <v>1164</v>
      </c>
      <c r="F843" t="s">
        <v>1161</v>
      </c>
      <c r="G843" t="s">
        <v>1162</v>
      </c>
      <c r="H843">
        <v>257.13</v>
      </c>
      <c r="I843">
        <v>28.57</v>
      </c>
      <c r="J843">
        <v>30000</v>
      </c>
      <c r="K843">
        <v>0</v>
      </c>
      <c r="L843" s="3">
        <v>46209.25</v>
      </c>
      <c r="M843" s="3">
        <v>46210.458333333336</v>
      </c>
      <c r="AA843" t="s">
        <v>25</v>
      </c>
      <c r="AB843" t="s">
        <v>26</v>
      </c>
    </row>
    <row r="844" spans="1:28" x14ac:dyDescent="0.25">
      <c r="A844" t="s">
        <v>707</v>
      </c>
      <c r="B844" t="s">
        <v>1159</v>
      </c>
      <c r="C844">
        <v>9</v>
      </c>
      <c r="E844" t="s">
        <v>1165</v>
      </c>
      <c r="F844" t="s">
        <v>1161</v>
      </c>
      <c r="G844" t="s">
        <v>1162</v>
      </c>
      <c r="H844">
        <v>257.13</v>
      </c>
      <c r="I844">
        <v>28.57</v>
      </c>
      <c r="J844">
        <v>30000</v>
      </c>
      <c r="K844">
        <v>0</v>
      </c>
      <c r="L844" s="3">
        <v>46210.465277777781</v>
      </c>
      <c r="M844" s="3">
        <v>46211.673611111109</v>
      </c>
      <c r="AA844" t="s">
        <v>25</v>
      </c>
      <c r="AB844" t="s">
        <v>26</v>
      </c>
    </row>
    <row r="845" spans="1:28" x14ac:dyDescent="0.25">
      <c r="A845" t="s">
        <v>707</v>
      </c>
      <c r="B845" t="s">
        <v>1159</v>
      </c>
      <c r="C845">
        <v>9</v>
      </c>
      <c r="E845" t="s">
        <v>1166</v>
      </c>
      <c r="F845" t="s">
        <v>1161</v>
      </c>
      <c r="G845" t="s">
        <v>1162</v>
      </c>
      <c r="H845">
        <v>257.13</v>
      </c>
      <c r="I845">
        <v>28.57</v>
      </c>
      <c r="J845">
        <v>30000</v>
      </c>
      <c r="K845">
        <v>0</v>
      </c>
      <c r="L845" s="3">
        <v>46216</v>
      </c>
      <c r="M845" s="3">
        <v>46217.208333333336</v>
      </c>
      <c r="AA845" t="s">
        <v>25</v>
      </c>
      <c r="AB845" t="s">
        <v>26</v>
      </c>
    </row>
    <row r="846" spans="1:28" x14ac:dyDescent="0.25">
      <c r="A846" t="s">
        <v>707</v>
      </c>
      <c r="B846" t="s">
        <v>1159</v>
      </c>
      <c r="C846">
        <v>9</v>
      </c>
      <c r="E846" t="s">
        <v>1167</v>
      </c>
      <c r="F846" t="s">
        <v>1161</v>
      </c>
      <c r="G846" t="s">
        <v>1162</v>
      </c>
      <c r="H846">
        <v>257.13</v>
      </c>
      <c r="I846">
        <v>28.57</v>
      </c>
      <c r="J846">
        <v>30000</v>
      </c>
      <c r="K846">
        <v>0</v>
      </c>
      <c r="L846" s="3">
        <v>46223</v>
      </c>
      <c r="M846" s="3">
        <v>46224.208333333336</v>
      </c>
      <c r="AA846" t="s">
        <v>25</v>
      </c>
      <c r="AB846" t="s">
        <v>26</v>
      </c>
    </row>
    <row r="847" spans="1:28" s="12" customFormat="1" x14ac:dyDescent="0.25">
      <c r="A847" s="12" t="s">
        <v>707</v>
      </c>
      <c r="B847" s="12" t="s">
        <v>1159</v>
      </c>
      <c r="C847" s="12">
        <v>9</v>
      </c>
      <c r="E847" s="12" t="s">
        <v>1168</v>
      </c>
      <c r="F847" s="12" t="s">
        <v>1161</v>
      </c>
      <c r="G847" s="12" t="s">
        <v>1162</v>
      </c>
      <c r="H847" s="12">
        <v>257.13</v>
      </c>
      <c r="I847" s="12">
        <v>28.57</v>
      </c>
      <c r="J847" s="12">
        <v>30000</v>
      </c>
      <c r="K847" s="12">
        <v>0</v>
      </c>
      <c r="L847" s="32">
        <v>46230</v>
      </c>
      <c r="M847" s="32">
        <v>46231.208333333336</v>
      </c>
      <c r="AA847" s="12" t="s">
        <v>25</v>
      </c>
      <c r="AB847" s="12" t="s">
        <v>26</v>
      </c>
    </row>
    <row r="848" spans="1:28" x14ac:dyDescent="0.25">
      <c r="A848" t="s">
        <v>707</v>
      </c>
      <c r="B848" t="s">
        <v>1169</v>
      </c>
      <c r="C848">
        <v>3</v>
      </c>
      <c r="D848" t="s">
        <v>1170</v>
      </c>
      <c r="E848" t="s">
        <v>1171</v>
      </c>
      <c r="F848" t="s">
        <v>1172</v>
      </c>
      <c r="G848" t="s">
        <v>1173</v>
      </c>
      <c r="H848">
        <v>13.89</v>
      </c>
      <c r="I848">
        <v>4.63</v>
      </c>
      <c r="J848">
        <v>50000</v>
      </c>
      <c r="K848">
        <v>0</v>
      </c>
      <c r="L848" s="3">
        <v>46208.958333333336</v>
      </c>
      <c r="M848" s="3">
        <v>46209.479166666664</v>
      </c>
      <c r="AA848" t="s">
        <v>25</v>
      </c>
      <c r="AB848" t="s">
        <v>26</v>
      </c>
    </row>
    <row r="849" spans="1:28" x14ac:dyDescent="0.25">
      <c r="A849" t="s">
        <v>707</v>
      </c>
      <c r="B849" t="s">
        <v>1174</v>
      </c>
      <c r="C849">
        <v>1</v>
      </c>
      <c r="D849" t="s">
        <v>1178</v>
      </c>
      <c r="E849" t="s">
        <v>1175</v>
      </c>
      <c r="F849" t="s">
        <v>1176</v>
      </c>
      <c r="G849" t="s">
        <v>1177</v>
      </c>
      <c r="H849">
        <v>0.86</v>
      </c>
      <c r="I849">
        <v>0.86</v>
      </c>
      <c r="J849">
        <v>18000</v>
      </c>
      <c r="K849">
        <v>0</v>
      </c>
      <c r="L849" s="3">
        <v>46208.958333333336</v>
      </c>
      <c r="M849" s="3">
        <v>46209.326388888891</v>
      </c>
      <c r="N849" t="s">
        <v>86</v>
      </c>
      <c r="AA849" t="s">
        <v>25</v>
      </c>
      <c r="AB849" t="s">
        <v>26</v>
      </c>
    </row>
    <row r="850" spans="1:28" x14ac:dyDescent="0.25">
      <c r="A850" t="s">
        <v>707</v>
      </c>
      <c r="B850" t="s">
        <v>1174</v>
      </c>
      <c r="C850">
        <v>1</v>
      </c>
      <c r="D850" t="s">
        <v>1178</v>
      </c>
      <c r="E850" t="s">
        <v>1179</v>
      </c>
      <c r="F850" t="s">
        <v>1176</v>
      </c>
      <c r="G850" t="s">
        <v>1177</v>
      </c>
      <c r="H850">
        <v>0.86</v>
      </c>
      <c r="I850">
        <v>0.86</v>
      </c>
      <c r="J850">
        <v>18000</v>
      </c>
      <c r="K850">
        <v>0</v>
      </c>
      <c r="L850" s="3">
        <v>46209.333333333336</v>
      </c>
      <c r="M850" s="3">
        <v>46209.701388888891</v>
      </c>
      <c r="N850" t="s">
        <v>86</v>
      </c>
      <c r="AA850" t="s">
        <v>25</v>
      </c>
      <c r="AB850" t="s">
        <v>26</v>
      </c>
    </row>
    <row r="851" spans="1:28" x14ac:dyDescent="0.25">
      <c r="A851" t="s">
        <v>707</v>
      </c>
      <c r="B851" t="s">
        <v>1174</v>
      </c>
      <c r="C851">
        <v>1</v>
      </c>
      <c r="D851" t="s">
        <v>1178</v>
      </c>
      <c r="E851" t="s">
        <v>1180</v>
      </c>
      <c r="F851" t="s">
        <v>1176</v>
      </c>
      <c r="G851" t="s">
        <v>1177</v>
      </c>
      <c r="H851">
        <v>0.86</v>
      </c>
      <c r="I851">
        <v>0.86</v>
      </c>
      <c r="J851">
        <v>18000</v>
      </c>
      <c r="K851">
        <v>0</v>
      </c>
      <c r="L851" s="3">
        <v>46209.708333333336</v>
      </c>
      <c r="M851" s="3">
        <v>46210.076388888891</v>
      </c>
      <c r="AA851" t="s">
        <v>25</v>
      </c>
      <c r="AB851" t="s">
        <v>26</v>
      </c>
    </row>
    <row r="852" spans="1:28" x14ac:dyDescent="0.25">
      <c r="A852" t="s">
        <v>707</v>
      </c>
      <c r="B852" t="s">
        <v>1174</v>
      </c>
      <c r="C852">
        <v>1</v>
      </c>
      <c r="D852" t="s">
        <v>1178</v>
      </c>
      <c r="E852" t="s">
        <v>1181</v>
      </c>
      <c r="F852" t="s">
        <v>1176</v>
      </c>
      <c r="G852" t="s">
        <v>1177</v>
      </c>
      <c r="H852">
        <v>0.86</v>
      </c>
      <c r="I852">
        <v>0.86</v>
      </c>
      <c r="J852">
        <v>18000</v>
      </c>
      <c r="K852">
        <v>0</v>
      </c>
      <c r="L852" s="3">
        <v>46210.083333333336</v>
      </c>
      <c r="M852" s="3">
        <v>46210.451388888891</v>
      </c>
      <c r="AA852" t="s">
        <v>25</v>
      </c>
      <c r="AB852" t="s">
        <v>26</v>
      </c>
    </row>
    <row r="853" spans="1:28" x14ac:dyDescent="0.25">
      <c r="A853" t="s">
        <v>707</v>
      </c>
      <c r="B853" t="s">
        <v>1182</v>
      </c>
      <c r="C853">
        <v>1</v>
      </c>
      <c r="D853" t="s">
        <v>1186</v>
      </c>
      <c r="E853" t="s">
        <v>1183</v>
      </c>
      <c r="F853" t="s">
        <v>1184</v>
      </c>
      <c r="G853" t="s">
        <v>1185</v>
      </c>
      <c r="H853">
        <v>2.72</v>
      </c>
      <c r="I853">
        <v>2.72</v>
      </c>
      <c r="J853">
        <v>40500</v>
      </c>
      <c r="K853">
        <v>0</v>
      </c>
      <c r="L853" s="3">
        <v>46208.958333333336</v>
      </c>
      <c r="M853" s="3">
        <v>46209.402777777781</v>
      </c>
      <c r="AA853" t="s">
        <v>25</v>
      </c>
      <c r="AB853" t="s">
        <v>26</v>
      </c>
    </row>
    <row r="854" spans="1:28" x14ac:dyDescent="0.25">
      <c r="A854" t="s">
        <v>707</v>
      </c>
      <c r="B854" t="s">
        <v>1182</v>
      </c>
      <c r="C854">
        <v>1</v>
      </c>
      <c r="D854" t="s">
        <v>1186</v>
      </c>
      <c r="E854" t="s">
        <v>1187</v>
      </c>
      <c r="F854" t="s">
        <v>1184</v>
      </c>
      <c r="G854" t="s">
        <v>1185</v>
      </c>
      <c r="H854">
        <v>2.72</v>
      </c>
      <c r="I854">
        <v>2.72</v>
      </c>
      <c r="J854">
        <v>40500</v>
      </c>
      <c r="K854">
        <v>0</v>
      </c>
      <c r="L854" s="3">
        <v>46209.409722222219</v>
      </c>
      <c r="M854" s="3">
        <v>46209.854166666664</v>
      </c>
      <c r="AA854" t="s">
        <v>25</v>
      </c>
      <c r="AB854" t="s">
        <v>26</v>
      </c>
    </row>
    <row r="855" spans="1:28" x14ac:dyDescent="0.25">
      <c r="A855" t="s">
        <v>707</v>
      </c>
      <c r="B855" t="s">
        <v>1182</v>
      </c>
      <c r="C855">
        <v>1</v>
      </c>
      <c r="D855" t="s">
        <v>1186</v>
      </c>
      <c r="E855" t="s">
        <v>1188</v>
      </c>
      <c r="F855" t="s">
        <v>1184</v>
      </c>
      <c r="G855" t="s">
        <v>1185</v>
      </c>
      <c r="H855">
        <v>2.72</v>
      </c>
      <c r="I855">
        <v>2.72</v>
      </c>
      <c r="J855">
        <v>40500</v>
      </c>
      <c r="K855">
        <v>0</v>
      </c>
      <c r="L855" s="3">
        <v>46209.861111111109</v>
      </c>
      <c r="M855" s="3">
        <v>46210.305555555555</v>
      </c>
      <c r="AA855" t="s">
        <v>25</v>
      </c>
      <c r="AB855" t="s">
        <v>26</v>
      </c>
    </row>
    <row r="856" spans="1:28" x14ac:dyDescent="0.25">
      <c r="A856" t="s">
        <v>707</v>
      </c>
      <c r="B856" t="s">
        <v>1182</v>
      </c>
      <c r="C856">
        <v>1</v>
      </c>
      <c r="D856" t="s">
        <v>1186</v>
      </c>
      <c r="E856" t="s">
        <v>1189</v>
      </c>
      <c r="F856" t="s">
        <v>1184</v>
      </c>
      <c r="G856" t="s">
        <v>1185</v>
      </c>
      <c r="H856">
        <v>2.72</v>
      </c>
      <c r="I856">
        <v>2.72</v>
      </c>
      <c r="J856">
        <v>40500</v>
      </c>
      <c r="K856">
        <v>0</v>
      </c>
      <c r="L856" s="3">
        <v>46210.3125</v>
      </c>
      <c r="M856" s="3">
        <v>46210.756944444445</v>
      </c>
      <c r="AA856" t="s">
        <v>25</v>
      </c>
      <c r="AB856" t="s">
        <v>26</v>
      </c>
    </row>
    <row r="857" spans="1:28" x14ac:dyDescent="0.25">
      <c r="A857" t="s">
        <v>707</v>
      </c>
      <c r="B857" t="s">
        <v>1182</v>
      </c>
      <c r="C857">
        <v>1</v>
      </c>
      <c r="D857" t="s">
        <v>1186</v>
      </c>
      <c r="E857" t="s">
        <v>1190</v>
      </c>
      <c r="F857" t="s">
        <v>1184</v>
      </c>
      <c r="G857" t="s">
        <v>1185</v>
      </c>
      <c r="H857">
        <v>2.72</v>
      </c>
      <c r="I857">
        <v>2.72</v>
      </c>
      <c r="J857">
        <v>40500</v>
      </c>
      <c r="K857">
        <v>0</v>
      </c>
      <c r="L857" s="3">
        <v>46210.763888888891</v>
      </c>
      <c r="M857" s="3">
        <v>46211.208333333336</v>
      </c>
      <c r="AA857" t="s">
        <v>25</v>
      </c>
      <c r="AB857" t="s">
        <v>26</v>
      </c>
    </row>
    <row r="858" spans="1:28" x14ac:dyDescent="0.25">
      <c r="A858" t="s">
        <v>707</v>
      </c>
      <c r="B858" t="s">
        <v>1182</v>
      </c>
      <c r="C858">
        <v>1</v>
      </c>
      <c r="D858" t="s">
        <v>1186</v>
      </c>
      <c r="E858" t="s">
        <v>1191</v>
      </c>
      <c r="F858" t="s">
        <v>1184</v>
      </c>
      <c r="G858" t="s">
        <v>1185</v>
      </c>
      <c r="H858">
        <v>2.72</v>
      </c>
      <c r="I858">
        <v>2.72</v>
      </c>
      <c r="J858">
        <v>40500</v>
      </c>
      <c r="K858">
        <v>0</v>
      </c>
      <c r="L858" s="3">
        <v>46211.215277777781</v>
      </c>
      <c r="M858" s="3">
        <v>46211.659722222219</v>
      </c>
      <c r="AA858" t="s">
        <v>25</v>
      </c>
      <c r="AB858" t="s">
        <v>26</v>
      </c>
    </row>
  </sheetData>
  <customSheetViews>
    <customSheetView guid="{31B4C6D2-0335-443E-840F-0BE68859C862}" topLeftCell="A290">
      <selection activeCell="G295" sqref="G295"/>
      <pageMargins left="0.7" right="0.7" top="0.75" bottom="0.75" header="0.3" footer="0.3"/>
      <pageSetup paperSize="9" orientation="portrait" r:id="rId1"/>
    </customSheetView>
    <customSheetView guid="{78DC66DA-BE70-4175-B2D2-DDCFEC7F5D1E}" topLeftCell="A584">
      <selection activeCell="J616" sqref="J616"/>
      <pageMargins left="0.7" right="0.7" top="0.75" bottom="0.75" header="0.3" footer="0.3"/>
      <pageSetup paperSize="9" orientation="portrait" r:id="rId2"/>
    </customSheetView>
    <customSheetView guid="{B4D97B87-EF97-47BB-8AED-6BEC13B5929D}" topLeftCell="A91">
      <selection activeCell="D119" sqref="D119"/>
      <pageMargins left="0.7" right="0.7" top="0.75" bottom="0.75" header="0.3" footer="0.3"/>
      <pageSetup paperSize="9" orientation="portrait" r:id="rId3"/>
    </customSheetView>
    <customSheetView guid="{5AC04785-9563-4E87-A211-A9F0B44B833C}" topLeftCell="A761">
      <selection activeCell="E773" sqref="E773"/>
      <pageMargins left="0.7" right="0.7" top="0.75" bottom="0.75" header="0.3" footer="0.3"/>
      <pageSetup paperSize="9" orientation="portrait" r:id="rId4"/>
    </customSheetView>
    <customSheetView guid="{8E025219-1ED0-443C-B3D2-C803CC4C7D58}" topLeftCell="A238">
      <selection activeCell="F249" sqref="F249"/>
      <pageMargins left="0.7" right="0.7" top="0.75" bottom="0.75" header="0.3" footer="0.3"/>
      <pageSetup paperSize="9" orientation="portrait" r:id="rId5"/>
    </customSheetView>
    <customSheetView guid="{B63A7C13-3D7C-43C1-83E0-5EC101891A9A}" topLeftCell="A731">
      <selection activeCell="E747" sqref="E747"/>
      <pageMargins left="0.7" right="0.7" top="0.75" bottom="0.75" header="0.3" footer="0.3"/>
      <pageSetup paperSize="9" orientation="portrait" r:id="rId6"/>
    </customSheetView>
    <customSheetView guid="{CE87C36A-6610-4BAA-91D3-CACA2F61657E}" topLeftCell="A208">
      <selection activeCell="D231" sqref="D231"/>
      <pageMargins left="0.7" right="0.7" top="0.75" bottom="0.75" header="0.3" footer="0.3"/>
      <pageSetup paperSize="9" orientation="portrait" r:id="rId7"/>
    </customSheetView>
    <customSheetView guid="{4805E4CC-F0DA-48EF-BB3C-6FC8381E6725}" topLeftCell="A90">
      <selection activeCell="I227" sqref="I227"/>
      <pageMargins left="0.7" right="0.7" top="0.75" bottom="0.75" header="0.3" footer="0.3"/>
      <pageSetup paperSize="9" orientation="portrait" r:id="rId8"/>
    </customSheetView>
    <customSheetView guid="{762CA562-56B3-4EDA-A62C-825AB49B4B24}" topLeftCell="A607">
      <selection activeCell="F622" sqref="F622"/>
      <pageMargins left="0.7" right="0.7" top="0.75" bottom="0.75" header="0.3" footer="0.3"/>
      <pageSetup paperSize="9" orientation="portrait" r:id="rId9"/>
    </customSheetView>
    <customSheetView guid="{18C7549D-5684-4D56-9442-4D85880122F5}" topLeftCell="A245">
      <selection activeCell="N257" sqref="N257"/>
      <pageMargins left="0.7" right="0.7" top="0.75" bottom="0.75" header="0.3" footer="0.3"/>
      <pageSetup paperSize="9" orientation="portrait" r:id="rId10"/>
    </customSheetView>
    <customSheetView guid="{85A59D49-6826-4D9D-864D-004AE17B1817}" topLeftCell="A228">
      <selection activeCell="F354" sqref="F354"/>
      <pageMargins left="0.7" right="0.7" top="0.75" bottom="0.75" header="0.3" footer="0.3"/>
      <pageSetup paperSize="9" orientation="portrait" r:id="rId11"/>
    </customSheetView>
    <customSheetView guid="{8C6BE0E4-5BF0-46EC-835C-A13FCC94ED15}" topLeftCell="A17">
      <selection activeCell="A38" sqref="A38:XFD38"/>
      <pageMargins left="0.7" right="0.7" top="0.75" bottom="0.75" header="0.3" footer="0.3"/>
      <pageSetup paperSize="9" orientation="portrait" r:id="rId12"/>
    </customSheetView>
    <customSheetView guid="{04A9B559-E089-4E44-B956-D68202AB66E0}" topLeftCell="A214">
      <selection activeCell="M225" sqref="M225"/>
      <pageMargins left="0.7" right="0.7" top="0.75" bottom="0.75" header="0.3" footer="0.3"/>
      <pageSetup paperSize="9" orientation="portrait" r:id="rId13"/>
    </customSheetView>
    <customSheetView guid="{82E54C9D-3F8A-42DE-969A-A2E8DB66D676}" topLeftCell="A537">
      <selection activeCell="D557" sqref="D557"/>
      <pageMargins left="0.7" right="0.7" top="0.75" bottom="0.75" header="0.3" footer="0.3"/>
      <pageSetup paperSize="9" orientation="portrait" r:id="rId14"/>
    </customSheetView>
    <customSheetView guid="{7B06D917-CD5C-4A57-82B8-7060905DC15D}" topLeftCell="A641">
      <selection activeCell="G659" sqref="G659"/>
      <pageMargins left="0.7" right="0.7" top="0.75" bottom="0.75" header="0.3" footer="0.3"/>
      <pageSetup paperSize="9" orientation="portrait" r:id="rId15"/>
    </customSheetView>
    <customSheetView guid="{AAB7B9A4-CF23-421A-A54A-0D020AC81537}" topLeftCell="A63">
      <selection activeCell="F82" sqref="F82"/>
      <pageMargins left="0.7" right="0.7" top="0.75" bottom="0.75" header="0.3" footer="0.3"/>
      <pageSetup paperSize="9" orientation="portrait" r:id="rId16"/>
    </customSheetView>
    <customSheetView guid="{C5A9C93B-8955-400D-A975-D1A770BB7517}" topLeftCell="A541">
      <selection activeCell="H546" sqref="H546"/>
      <pageMargins left="0.7" right="0.7" top="0.75" bottom="0.75" header="0.3" footer="0.3"/>
      <pageSetup paperSize="9" orientation="portrait" r:id="rId17"/>
    </customSheetView>
    <customSheetView guid="{88632445-F0C1-4286-9F20-1B96C4E8571B}" topLeftCell="A135">
      <selection activeCell="A166" sqref="A166:Q166"/>
      <pageMargins left="0.7" right="0.7" top="0.75" bottom="0.75" header="0.3" footer="0.3"/>
      <pageSetup paperSize="9" orientation="portrait" r:id="rId18"/>
    </customSheetView>
    <customSheetView guid="{10BACC6C-BD8E-422E-A067-1B9586C4059E}">
      <pane ySplit="1" topLeftCell="A126" activePane="bottomLeft" state="frozen"/>
      <selection pane="bottomLeft" activeCell="G151" sqref="G151"/>
      <pageMargins left="0.7" right="0.7" top="0.75" bottom="0.75" header="0.3" footer="0.3"/>
      <pageSetup paperSize="9" orientation="portrait" r:id="rId19"/>
    </customSheetView>
    <customSheetView guid="{9717C610-E317-4A8E-A3DA-9B09B3F19190}" topLeftCell="A341">
      <selection activeCell="D376" sqref="D376"/>
      <pageMargins left="0.7" right="0.7" top="0.75" bottom="0.75" header="0.3" footer="0.3"/>
      <pageSetup paperSize="9" orientation="portrait" r:id="rId20"/>
    </customSheetView>
    <customSheetView guid="{F71ADF4E-7B20-46DA-AD22-B150D2D44083}" topLeftCell="A342">
      <selection activeCell="P360" sqref="P360"/>
      <pageMargins left="0.7" right="0.7" top="0.75" bottom="0.75" header="0.3" footer="0.3"/>
      <pageSetup paperSize="9" orientation="portrait" r:id="rId21"/>
    </customSheetView>
    <customSheetView guid="{A9066737-D214-4998-B3AE-C1B60D50E4FC}" topLeftCell="A644">
      <selection activeCell="G661" sqref="G661"/>
      <pageMargins left="0.7" right="0.7" top="0.75" bottom="0.75" header="0.3" footer="0.3"/>
      <pageSetup paperSize="9" orientation="portrait" r:id="rId22"/>
    </customSheetView>
    <customSheetView guid="{5E43336C-C4AC-4860-9F15-9A8E94A38B84}" topLeftCell="A356">
      <selection activeCell="A359" sqref="A359:XFD359"/>
      <pageMargins left="0.7" right="0.7" top="0.75" bottom="0.75" header="0.3" footer="0.3"/>
      <pageSetup paperSize="9" orientation="portrait" r:id="rId23"/>
    </customSheetView>
  </customSheetViews>
  <phoneticPr fontId="8" type="noConversion"/>
  <conditionalFormatting sqref="E3">
    <cfRule type="duplicateValues" dxfId="161" priority="260"/>
  </conditionalFormatting>
  <conditionalFormatting sqref="E4">
    <cfRule type="duplicateValues" dxfId="160" priority="259"/>
  </conditionalFormatting>
  <conditionalFormatting sqref="E5">
    <cfRule type="duplicateValues" dxfId="159" priority="258"/>
  </conditionalFormatting>
  <conditionalFormatting sqref="E6">
    <cfRule type="duplicateValues" dxfId="158" priority="257"/>
  </conditionalFormatting>
  <conditionalFormatting sqref="E7">
    <cfRule type="duplicateValues" dxfId="157" priority="256"/>
  </conditionalFormatting>
  <conditionalFormatting sqref="E9">
    <cfRule type="duplicateValues" dxfId="156" priority="255"/>
  </conditionalFormatting>
  <conditionalFormatting sqref="E10">
    <cfRule type="duplicateValues" dxfId="155" priority="254"/>
  </conditionalFormatting>
  <conditionalFormatting sqref="E74">
    <cfRule type="duplicateValues" dxfId="154" priority="253"/>
  </conditionalFormatting>
  <conditionalFormatting sqref="E75:E104">
    <cfRule type="duplicateValues" dxfId="153" priority="264"/>
  </conditionalFormatting>
  <conditionalFormatting sqref="E106">
    <cfRule type="duplicateValues" dxfId="152" priority="245"/>
  </conditionalFormatting>
  <conditionalFormatting sqref="E108">
    <cfRule type="duplicateValues" dxfId="151" priority="244"/>
  </conditionalFormatting>
  <conditionalFormatting sqref="E111:E113">
    <cfRule type="duplicateValues" dxfId="150" priority="243"/>
  </conditionalFormatting>
  <conditionalFormatting sqref="E117">
    <cfRule type="duplicateValues" dxfId="149" priority="242"/>
  </conditionalFormatting>
  <conditionalFormatting sqref="E125:E126">
    <cfRule type="duplicateValues" dxfId="148" priority="240"/>
  </conditionalFormatting>
  <conditionalFormatting sqref="E129">
    <cfRule type="duplicateValues" dxfId="147" priority="239"/>
  </conditionalFormatting>
  <conditionalFormatting sqref="E130">
    <cfRule type="duplicateValues" dxfId="146" priority="238"/>
  </conditionalFormatting>
  <conditionalFormatting sqref="E138">
    <cfRule type="duplicateValues" dxfId="145" priority="237"/>
  </conditionalFormatting>
  <conditionalFormatting sqref="E139:E140">
    <cfRule type="duplicateValues" dxfId="144" priority="236"/>
  </conditionalFormatting>
  <conditionalFormatting sqref="E143">
    <cfRule type="duplicateValues" dxfId="143" priority="235"/>
  </conditionalFormatting>
  <conditionalFormatting sqref="E144">
    <cfRule type="duplicateValues" dxfId="142" priority="234"/>
  </conditionalFormatting>
  <conditionalFormatting sqref="E153">
    <cfRule type="duplicateValues" dxfId="141" priority="232"/>
  </conditionalFormatting>
  <conditionalFormatting sqref="E155:E157 F154">
    <cfRule type="duplicateValues" dxfId="140" priority="231"/>
  </conditionalFormatting>
  <conditionalFormatting sqref="E161">
    <cfRule type="duplicateValues" dxfId="139" priority="230"/>
  </conditionalFormatting>
  <conditionalFormatting sqref="E163">
    <cfRule type="duplicateValues" dxfId="138" priority="229"/>
  </conditionalFormatting>
  <conditionalFormatting sqref="E164">
    <cfRule type="duplicateValues" dxfId="137" priority="228"/>
  </conditionalFormatting>
  <conditionalFormatting sqref="E172">
    <cfRule type="duplicateValues" dxfId="136" priority="225"/>
  </conditionalFormatting>
  <conditionalFormatting sqref="E176">
    <cfRule type="duplicateValues" dxfId="135" priority="224"/>
  </conditionalFormatting>
  <conditionalFormatting sqref="E198">
    <cfRule type="duplicateValues" dxfId="134" priority="195"/>
  </conditionalFormatting>
  <conditionalFormatting sqref="E199">
    <cfRule type="duplicateValues" dxfId="133" priority="194"/>
  </conditionalFormatting>
  <conditionalFormatting sqref="E200">
    <cfRule type="duplicateValues" dxfId="132" priority="198"/>
  </conditionalFormatting>
  <conditionalFormatting sqref="E201">
    <cfRule type="duplicateValues" dxfId="131" priority="197"/>
  </conditionalFormatting>
  <conditionalFormatting sqref="E202">
    <cfRule type="duplicateValues" dxfId="130" priority="196"/>
  </conditionalFormatting>
  <conditionalFormatting sqref="E210">
    <cfRule type="duplicateValues" dxfId="129" priority="223"/>
  </conditionalFormatting>
  <conditionalFormatting sqref="E211">
    <cfRule type="duplicateValues" dxfId="128" priority="222"/>
  </conditionalFormatting>
  <conditionalFormatting sqref="E221">
    <cfRule type="duplicateValues" dxfId="127" priority="221"/>
  </conditionalFormatting>
  <conditionalFormatting sqref="E222">
    <cfRule type="duplicateValues" dxfId="126" priority="220"/>
  </conditionalFormatting>
  <conditionalFormatting sqref="E227">
    <cfRule type="duplicateValues" dxfId="125" priority="219"/>
  </conditionalFormatting>
  <conditionalFormatting sqref="E228">
    <cfRule type="duplicateValues" dxfId="124" priority="218"/>
  </conditionalFormatting>
  <conditionalFormatting sqref="E229">
    <cfRule type="duplicateValues" dxfId="123" priority="217"/>
  </conditionalFormatting>
  <conditionalFormatting sqref="E230">
    <cfRule type="duplicateValues" dxfId="122" priority="216"/>
  </conditionalFormatting>
  <conditionalFormatting sqref="E237">
    <cfRule type="duplicateValues" dxfId="121" priority="215"/>
  </conditionalFormatting>
  <conditionalFormatting sqref="E559">
    <cfRule type="duplicateValues" dxfId="120" priority="147"/>
  </conditionalFormatting>
  <conditionalFormatting sqref="E586">
    <cfRule type="duplicateValues" dxfId="119" priority="141"/>
  </conditionalFormatting>
  <conditionalFormatting sqref="E587">
    <cfRule type="duplicateValues" dxfId="118" priority="138"/>
  </conditionalFormatting>
  <conditionalFormatting sqref="E588">
    <cfRule type="duplicateValues" dxfId="117" priority="146"/>
  </conditionalFormatting>
  <conditionalFormatting sqref="E589">
    <cfRule type="duplicateValues" dxfId="116" priority="140"/>
  </conditionalFormatting>
  <conditionalFormatting sqref="E590">
    <cfRule type="duplicateValues" dxfId="115" priority="143"/>
  </conditionalFormatting>
  <conditionalFormatting sqref="E591">
    <cfRule type="duplicateValues" dxfId="114" priority="139"/>
  </conditionalFormatting>
  <conditionalFormatting sqref="E592:E599">
    <cfRule type="duplicateValues" dxfId="113" priority="261"/>
  </conditionalFormatting>
  <conditionalFormatting sqref="E617">
    <cfRule type="duplicateValues" dxfId="112" priority="132"/>
  </conditionalFormatting>
  <conditionalFormatting sqref="E618">
    <cfRule type="duplicateValues" dxfId="111" priority="131"/>
  </conditionalFormatting>
  <conditionalFormatting sqref="E619:E620">
    <cfRule type="duplicateValues" dxfId="110" priority="130"/>
  </conditionalFormatting>
  <conditionalFormatting sqref="E621">
    <cfRule type="duplicateValues" dxfId="109" priority="129"/>
  </conditionalFormatting>
  <conditionalFormatting sqref="E622">
    <cfRule type="duplicateValues" dxfId="108" priority="128"/>
  </conditionalFormatting>
  <conditionalFormatting sqref="E623">
    <cfRule type="duplicateValues" dxfId="107" priority="127"/>
  </conditionalFormatting>
  <conditionalFormatting sqref="E624">
    <cfRule type="duplicateValues" dxfId="106" priority="126"/>
  </conditionalFormatting>
  <conditionalFormatting sqref="E625">
    <cfRule type="duplicateValues" dxfId="105" priority="125"/>
  </conditionalFormatting>
  <conditionalFormatting sqref="E626">
    <cfRule type="duplicateValues" dxfId="104" priority="124"/>
  </conditionalFormatting>
  <conditionalFormatting sqref="E627">
    <cfRule type="duplicateValues" dxfId="103" priority="123"/>
  </conditionalFormatting>
  <conditionalFormatting sqref="E629:E630">
    <cfRule type="duplicateValues" dxfId="102" priority="122"/>
  </conditionalFormatting>
  <conditionalFormatting sqref="E631:E632">
    <cfRule type="duplicateValues" dxfId="101" priority="121"/>
  </conditionalFormatting>
  <conditionalFormatting sqref="E640">
    <cfRule type="duplicateValues" dxfId="100" priority="120"/>
  </conditionalFormatting>
  <conditionalFormatting sqref="E641">
    <cfRule type="duplicateValues" dxfId="99" priority="119"/>
  </conditionalFormatting>
  <conditionalFormatting sqref="E647">
    <cfRule type="duplicateValues" dxfId="98" priority="118"/>
  </conditionalFormatting>
  <conditionalFormatting sqref="E648">
    <cfRule type="duplicateValues" dxfId="97" priority="117"/>
  </conditionalFormatting>
  <conditionalFormatting sqref="E649:E650">
    <cfRule type="duplicateValues" dxfId="96" priority="116"/>
  </conditionalFormatting>
  <conditionalFormatting sqref="E651">
    <cfRule type="duplicateValues" dxfId="95" priority="112"/>
  </conditionalFormatting>
  <conditionalFormatting sqref="E652">
    <cfRule type="duplicateValues" dxfId="94" priority="111"/>
  </conditionalFormatting>
  <conditionalFormatting sqref="E654">
    <cfRule type="duplicateValues" dxfId="93" priority="115"/>
  </conditionalFormatting>
  <conditionalFormatting sqref="E655">
    <cfRule type="duplicateValues" dxfId="92" priority="114"/>
  </conditionalFormatting>
  <conditionalFormatting sqref="E656">
    <cfRule type="duplicateValues" dxfId="91" priority="113"/>
  </conditionalFormatting>
  <conditionalFormatting sqref="E657">
    <cfRule type="duplicateValues" dxfId="90" priority="108"/>
  </conditionalFormatting>
  <conditionalFormatting sqref="E658">
    <cfRule type="duplicateValues" dxfId="89" priority="110"/>
  </conditionalFormatting>
  <conditionalFormatting sqref="E659">
    <cfRule type="duplicateValues" dxfId="88" priority="109"/>
  </conditionalFormatting>
  <conditionalFormatting sqref="E670">
    <cfRule type="duplicateValues" dxfId="87" priority="107"/>
  </conditionalFormatting>
  <conditionalFormatting sqref="E676">
    <cfRule type="duplicateValues" dxfId="86" priority="106"/>
  </conditionalFormatting>
  <conditionalFormatting sqref="E677">
    <cfRule type="duplicateValues" dxfId="85" priority="105"/>
  </conditionalFormatting>
  <conditionalFormatting sqref="E678">
    <cfRule type="duplicateValues" dxfId="84" priority="104"/>
  </conditionalFormatting>
  <conditionalFormatting sqref="E681">
    <cfRule type="duplicateValues" dxfId="83" priority="102"/>
  </conditionalFormatting>
  <conditionalFormatting sqref="E682">
    <cfRule type="duplicateValues" dxfId="82" priority="103"/>
  </conditionalFormatting>
  <conditionalFormatting sqref="E686">
    <cfRule type="duplicateValues" dxfId="81" priority="101"/>
  </conditionalFormatting>
  <conditionalFormatting sqref="E692">
    <cfRule type="duplicateValues" dxfId="80" priority="100"/>
  </conditionalFormatting>
  <conditionalFormatting sqref="E693">
    <cfRule type="duplicateValues" dxfId="79" priority="99"/>
  </conditionalFormatting>
  <conditionalFormatting sqref="E694:E695">
    <cfRule type="duplicateValues" dxfId="78" priority="98"/>
  </conditionalFormatting>
  <conditionalFormatting sqref="E697">
    <cfRule type="duplicateValues" dxfId="77" priority="97"/>
  </conditionalFormatting>
  <conditionalFormatting sqref="E699">
    <cfRule type="duplicateValues" dxfId="76" priority="96"/>
  </conditionalFormatting>
  <conditionalFormatting sqref="E712">
    <cfRule type="duplicateValues" dxfId="75" priority="91"/>
  </conditionalFormatting>
  <conditionalFormatting sqref="E713">
    <cfRule type="duplicateValues" dxfId="74" priority="90"/>
  </conditionalFormatting>
  <conditionalFormatting sqref="E714">
    <cfRule type="duplicateValues" dxfId="73" priority="89"/>
  </conditionalFormatting>
  <conditionalFormatting sqref="E715">
    <cfRule type="duplicateValues" dxfId="72" priority="88"/>
  </conditionalFormatting>
  <conditionalFormatting sqref="E716">
    <cfRule type="duplicateValues" dxfId="71" priority="87"/>
  </conditionalFormatting>
  <conditionalFormatting sqref="E717">
    <cfRule type="duplicateValues" dxfId="70" priority="86"/>
  </conditionalFormatting>
  <conditionalFormatting sqref="E719">
    <cfRule type="duplicateValues" dxfId="69" priority="85"/>
  </conditionalFormatting>
  <conditionalFormatting sqref="E720">
    <cfRule type="duplicateValues" dxfId="68" priority="84"/>
  </conditionalFormatting>
  <conditionalFormatting sqref="E727">
    <cfRule type="duplicateValues" dxfId="67" priority="82"/>
  </conditionalFormatting>
  <conditionalFormatting sqref="E729">
    <cfRule type="duplicateValues" dxfId="66" priority="80"/>
  </conditionalFormatting>
  <conditionalFormatting sqref="E730">
    <cfRule type="duplicateValues" dxfId="65" priority="79"/>
  </conditionalFormatting>
  <conditionalFormatting sqref="E731">
    <cfRule type="duplicateValues" dxfId="64" priority="81"/>
  </conditionalFormatting>
  <conditionalFormatting sqref="E732">
    <cfRule type="duplicateValues" dxfId="63" priority="78"/>
  </conditionalFormatting>
  <conditionalFormatting sqref="E734">
    <cfRule type="duplicateValues" dxfId="62" priority="77"/>
  </conditionalFormatting>
  <conditionalFormatting sqref="E735">
    <cfRule type="duplicateValues" dxfId="61" priority="76"/>
  </conditionalFormatting>
  <conditionalFormatting sqref="E736">
    <cfRule type="duplicateValues" dxfId="60" priority="75"/>
  </conditionalFormatting>
  <conditionalFormatting sqref="E737">
    <cfRule type="duplicateValues" dxfId="59" priority="74"/>
  </conditionalFormatting>
  <conditionalFormatting sqref="E738">
    <cfRule type="duplicateValues" dxfId="58" priority="73"/>
  </conditionalFormatting>
  <conditionalFormatting sqref="E739">
    <cfRule type="duplicateValues" dxfId="57" priority="72"/>
  </conditionalFormatting>
  <conditionalFormatting sqref="E740">
    <cfRule type="duplicateValues" dxfId="56" priority="71"/>
  </conditionalFormatting>
  <conditionalFormatting sqref="E748 E746">
    <cfRule type="duplicateValues" dxfId="55" priority="263"/>
  </conditionalFormatting>
  <conditionalFormatting sqref="E769">
    <cfRule type="duplicateValues" dxfId="54" priority="65"/>
  </conditionalFormatting>
  <conditionalFormatting sqref="E770">
    <cfRule type="duplicateValues" dxfId="53" priority="64"/>
  </conditionalFormatting>
  <conditionalFormatting sqref="E771">
    <cfRule type="duplicateValues" dxfId="52" priority="63"/>
  </conditionalFormatting>
  <conditionalFormatting sqref="E776:E777">
    <cfRule type="duplicateValues" dxfId="51" priority="62"/>
  </conditionalFormatting>
  <conditionalFormatting sqref="E778">
    <cfRule type="duplicateValues" dxfId="50" priority="60"/>
  </conditionalFormatting>
  <conditionalFormatting sqref="E779">
    <cfRule type="duplicateValues" dxfId="49" priority="61"/>
  </conditionalFormatting>
  <conditionalFormatting sqref="E780">
    <cfRule type="duplicateValues" dxfId="48" priority="59"/>
  </conditionalFormatting>
  <conditionalFormatting sqref="E781">
    <cfRule type="duplicateValues" dxfId="47" priority="58"/>
  </conditionalFormatting>
  <conditionalFormatting sqref="E782">
    <cfRule type="duplicateValues" dxfId="46" priority="57"/>
  </conditionalFormatting>
  <conditionalFormatting sqref="E785">
    <cfRule type="duplicateValues" dxfId="45" priority="56"/>
  </conditionalFormatting>
  <conditionalFormatting sqref="E787">
    <cfRule type="duplicateValues" dxfId="44" priority="55"/>
  </conditionalFormatting>
  <conditionalFormatting sqref="E788">
    <cfRule type="duplicateValues" dxfId="43" priority="54"/>
  </conditionalFormatting>
  <conditionalFormatting sqref="E789">
    <cfRule type="duplicateValues" dxfId="42" priority="53"/>
  </conditionalFormatting>
  <conditionalFormatting sqref="E795">
    <cfRule type="duplicateValues" dxfId="41" priority="52"/>
  </conditionalFormatting>
  <conditionalFormatting sqref="E796">
    <cfRule type="duplicateValues" dxfId="40" priority="51"/>
  </conditionalFormatting>
  <conditionalFormatting sqref="E797">
    <cfRule type="duplicateValues" dxfId="39" priority="50"/>
  </conditionalFormatting>
  <conditionalFormatting sqref="E798">
    <cfRule type="duplicateValues" dxfId="38" priority="49"/>
  </conditionalFormatting>
  <conditionalFormatting sqref="E799">
    <cfRule type="duplicateValues" dxfId="37" priority="48"/>
  </conditionalFormatting>
  <conditionalFormatting sqref="E800">
    <cfRule type="duplicateValues" dxfId="36" priority="47"/>
  </conditionalFormatting>
  <conditionalFormatting sqref="E801">
    <cfRule type="duplicateValues" dxfId="35" priority="46"/>
  </conditionalFormatting>
  <conditionalFormatting sqref="E802">
    <cfRule type="duplicateValues" dxfId="34" priority="45"/>
  </conditionalFormatting>
  <conditionalFormatting sqref="E803">
    <cfRule type="duplicateValues" dxfId="33" priority="44"/>
  </conditionalFormatting>
  <conditionalFormatting sqref="E804">
    <cfRule type="duplicateValues" dxfId="32" priority="43"/>
  </conditionalFormatting>
  <conditionalFormatting sqref="E805">
    <cfRule type="duplicateValues" dxfId="31" priority="42"/>
  </conditionalFormatting>
  <conditionalFormatting sqref="E806">
    <cfRule type="duplicateValues" dxfId="30" priority="41"/>
  </conditionalFormatting>
  <conditionalFormatting sqref="E807">
    <cfRule type="duplicateValues" dxfId="29" priority="40"/>
  </conditionalFormatting>
  <conditionalFormatting sqref="E808">
    <cfRule type="duplicateValues" dxfId="28" priority="39"/>
  </conditionalFormatting>
  <conditionalFormatting sqref="E809">
    <cfRule type="duplicateValues" dxfId="27" priority="38"/>
  </conditionalFormatting>
  <conditionalFormatting sqref="E810">
    <cfRule type="duplicateValues" dxfId="26" priority="37"/>
  </conditionalFormatting>
  <conditionalFormatting sqref="E811">
    <cfRule type="duplicateValues" dxfId="25" priority="36"/>
  </conditionalFormatting>
  <conditionalFormatting sqref="E812">
    <cfRule type="duplicateValues" dxfId="24" priority="35"/>
  </conditionalFormatting>
  <conditionalFormatting sqref="E813">
    <cfRule type="duplicateValues" dxfId="23" priority="34"/>
  </conditionalFormatting>
  <conditionalFormatting sqref="E814">
    <cfRule type="duplicateValues" dxfId="22" priority="33"/>
  </conditionalFormatting>
  <conditionalFormatting sqref="E815">
    <cfRule type="duplicateValues" dxfId="21" priority="32"/>
  </conditionalFormatting>
  <conditionalFormatting sqref="E816">
    <cfRule type="duplicateValues" dxfId="20" priority="31"/>
  </conditionalFormatting>
  <conditionalFormatting sqref="E817">
    <cfRule type="duplicateValues" dxfId="19" priority="30"/>
  </conditionalFormatting>
  <conditionalFormatting sqref="E832:E839">
    <cfRule type="duplicateValues" dxfId="18" priority="262"/>
  </conditionalFormatting>
  <conditionalFormatting sqref="E841">
    <cfRule type="duplicateValues" dxfId="17" priority="18"/>
  </conditionalFormatting>
  <conditionalFormatting sqref="E842">
    <cfRule type="duplicateValues" dxfId="16" priority="17"/>
  </conditionalFormatting>
  <conditionalFormatting sqref="E843">
    <cfRule type="duplicateValues" dxfId="15" priority="16"/>
  </conditionalFormatting>
  <conditionalFormatting sqref="E844">
    <cfRule type="duplicateValues" dxfId="14" priority="15"/>
  </conditionalFormatting>
  <conditionalFormatting sqref="E845">
    <cfRule type="duplicateValues" dxfId="13" priority="14"/>
  </conditionalFormatting>
  <conditionalFormatting sqref="E846">
    <cfRule type="duplicateValues" dxfId="12" priority="13"/>
  </conditionalFormatting>
  <conditionalFormatting sqref="E847">
    <cfRule type="duplicateValues" dxfId="11" priority="12"/>
  </conditionalFormatting>
  <conditionalFormatting sqref="E848">
    <cfRule type="duplicateValues" dxfId="10" priority="11"/>
  </conditionalFormatting>
  <conditionalFormatting sqref="E849">
    <cfRule type="duplicateValues" dxfId="9" priority="10"/>
  </conditionalFormatting>
  <conditionalFormatting sqref="E850">
    <cfRule type="duplicateValues" dxfId="8" priority="9"/>
  </conditionalFormatting>
  <conditionalFormatting sqref="E851">
    <cfRule type="duplicateValues" dxfId="7" priority="8"/>
  </conditionalFormatting>
  <conditionalFormatting sqref="E852">
    <cfRule type="duplicateValues" dxfId="6" priority="7"/>
  </conditionalFormatting>
  <conditionalFormatting sqref="E853">
    <cfRule type="duplicateValues" dxfId="5" priority="6"/>
  </conditionalFormatting>
  <conditionalFormatting sqref="E854">
    <cfRule type="duplicateValues" dxfId="4" priority="5"/>
  </conditionalFormatting>
  <conditionalFormatting sqref="E855">
    <cfRule type="duplicateValues" dxfId="3" priority="4"/>
  </conditionalFormatting>
  <conditionalFormatting sqref="E856">
    <cfRule type="duplicateValues" dxfId="2" priority="3"/>
  </conditionalFormatting>
  <conditionalFormatting sqref="E857">
    <cfRule type="duplicateValues" dxfId="1" priority="2"/>
  </conditionalFormatting>
  <conditionalFormatting sqref="E858">
    <cfRule type="duplicateValues" dxfId="0" priority="1"/>
  </conditionalFormatting>
  <pageMargins left="0.7" right="0.7" top="0.75" bottom="0.75" header="0.3" footer="0.3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customSheetViews>
    <customSheetView guid="{31B4C6D2-0335-443E-840F-0BE68859C862}">
      <pageMargins left="0.7" right="0.7" top="0.75" bottom="0.75" header="0.3" footer="0.3"/>
    </customSheetView>
    <customSheetView guid="{78DC66DA-BE70-4175-B2D2-DDCFEC7F5D1E}">
      <pageMargins left="0.7" right="0.7" top="0.75" bottom="0.75" header="0.3" footer="0.3"/>
    </customSheetView>
    <customSheetView guid="{B4D97B87-EF97-47BB-8AED-6BEC13B5929D}">
      <pageMargins left="0.7" right="0.7" top="0.75" bottom="0.75" header="0.3" footer="0.3"/>
    </customSheetView>
    <customSheetView guid="{5AC04785-9563-4E87-A211-A9F0B44B833C}">
      <pageMargins left="0.7" right="0.7" top="0.75" bottom="0.75" header="0.3" footer="0.3"/>
    </customSheetView>
    <customSheetView guid="{8E025219-1ED0-443C-B3D2-C803CC4C7D58}">
      <pageMargins left="0.7" right="0.7" top="0.75" bottom="0.75" header="0.3" footer="0.3"/>
    </customSheetView>
    <customSheetView guid="{B63A7C13-3D7C-43C1-83E0-5EC101891A9A}">
      <pageMargins left="0.7" right="0.7" top="0.75" bottom="0.75" header="0.3" footer="0.3"/>
    </customSheetView>
    <customSheetView guid="{CE87C36A-6610-4BAA-91D3-CACA2F61657E}">
      <pageMargins left="0.7" right="0.7" top="0.75" bottom="0.75" header="0.3" footer="0.3"/>
    </customSheetView>
    <customSheetView guid="{4805E4CC-F0DA-48EF-BB3C-6FC8381E6725}">
      <pageMargins left="0.7" right="0.7" top="0.75" bottom="0.75" header="0.3" footer="0.3"/>
    </customSheetView>
    <customSheetView guid="{762CA562-56B3-4EDA-A62C-825AB49B4B24}">
      <pageMargins left="0.7" right="0.7" top="0.75" bottom="0.75" header="0.3" footer="0.3"/>
    </customSheetView>
    <customSheetView guid="{18C7549D-5684-4D56-9442-4D85880122F5}">
      <pageMargins left="0.7" right="0.7" top="0.75" bottom="0.75" header="0.3" footer="0.3"/>
    </customSheetView>
    <customSheetView guid="{85A59D49-6826-4D9D-864D-004AE17B1817}">
      <pageMargins left="0.7" right="0.7" top="0.75" bottom="0.75" header="0.3" footer="0.3"/>
    </customSheetView>
    <customSheetView guid="{8C6BE0E4-5BF0-46EC-835C-A13FCC94ED15}">
      <pageMargins left="0.7" right="0.7" top="0.75" bottom="0.75" header="0.3" footer="0.3"/>
    </customSheetView>
    <customSheetView guid="{04A9B559-E089-4E44-B956-D68202AB66E0}">
      <pageMargins left="0.7" right="0.7" top="0.75" bottom="0.75" header="0.3" footer="0.3"/>
    </customSheetView>
    <customSheetView guid="{82E54C9D-3F8A-42DE-969A-A2E8DB66D676}">
      <pageMargins left="0.7" right="0.7" top="0.75" bottom="0.75" header="0.3" footer="0.3"/>
    </customSheetView>
    <customSheetView guid="{7B06D917-CD5C-4A57-82B8-7060905DC15D}">
      <pageMargins left="0.7" right="0.7" top="0.75" bottom="0.75" header="0.3" footer="0.3"/>
    </customSheetView>
    <customSheetView guid="{AAB7B9A4-CF23-421A-A54A-0D020AC81537}">
      <pageMargins left="0.7" right="0.7" top="0.75" bottom="0.75" header="0.3" footer="0.3"/>
    </customSheetView>
    <customSheetView guid="{C5A9C93B-8955-400D-A975-D1A770BB7517}">
      <pageMargins left="0.7" right="0.7" top="0.75" bottom="0.75" header="0.3" footer="0.3"/>
    </customSheetView>
    <customSheetView guid="{88632445-F0C1-4286-9F20-1B96C4E8571B}">
      <pageMargins left="0.7" right="0.7" top="0.75" bottom="0.75" header="0.3" footer="0.3"/>
    </customSheetView>
    <customSheetView guid="{10BACC6C-BD8E-422E-A067-1B9586C4059E}">
      <pageMargins left="0.7" right="0.7" top="0.75" bottom="0.75" header="0.3" footer="0.3"/>
    </customSheetView>
    <customSheetView guid="{9717C610-E317-4A8E-A3DA-9B09B3F19190}">
      <pageMargins left="0.7" right="0.7" top="0.75" bottom="0.75" header="0.3" footer="0.3"/>
    </customSheetView>
    <customSheetView guid="{F71ADF4E-7B20-46DA-AD22-B150D2D44083}">
      <pageMargins left="0.7" right="0.7" top="0.75" bottom="0.75" header="0.3" footer="0.3"/>
    </customSheetView>
    <customSheetView guid="{A9066737-D214-4998-B3AE-C1B60D50E4FC}">
      <pageMargins left="0.7" right="0.7" top="0.75" bottom="0.75" header="0.3" footer="0.3"/>
    </customSheetView>
    <customSheetView guid="{5E43336C-C4AC-4860-9F15-9A8E94A38B84}"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 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Oliver</dc:creator>
  <cp:lastModifiedBy>Zahra Haghi</cp:lastModifiedBy>
  <dcterms:created xsi:type="dcterms:W3CDTF">2026-07-02T17:53:37Z</dcterms:created>
  <dcterms:modified xsi:type="dcterms:W3CDTF">2026-07-10T15:53:27Z</dcterms:modified>
</cp:coreProperties>
</file>